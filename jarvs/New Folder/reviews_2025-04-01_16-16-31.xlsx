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reviews_2025-04-01_16-16-3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<sst xmlns="http://schemas.openxmlformats.org/spreadsheetml/2006/main" count="708" uniqueCount="183">
  <si>
    <t>Review</t>
  </si>
  <si>
    <t>Star Rating</t>
  </si>
  <si>
    <t>Valence</t>
  </si>
  <si>
    <t>Internal Consistency</t>
  </si>
  <si>
    <t>Review Quality</t>
  </si>
  <si>
    <t>Objectivity</t>
  </si>
  <si>
    <t>Sidedness</t>
  </si>
  <si>
    <t>RIQ Score</t>
  </si>
  <si>
    <t>RIQ Label</t>
  </si>
  <si>
    <t>Template Flag</t>
  </si>
  <si>
    <t>Spam Flag</t>
  </si>
  <si>
    <t>Credibility</t>
  </si>
  <si>
    <t>Great value for the price  Clear and crisp audio  Love the sleek black color  Easy to connect to my phone  Impressive battery life  Impressive battery life  Noise cancellation works well</t>
  </si>
  <si>
    <t>MODERATE</t>
  </si>
  <si>
    <t>HIGH</t>
  </si>
  <si>
    <t>OS</t>
  </si>
  <si>
    <t>Quality:  Good Quality   Great sound quality!</t>
  </si>
  <si>
    <t>maganda ang quality affordable. matibay. tama ang order. kumpleto ang order.  fast delivery. salamat</t>
  </si>
  <si>
    <t xml:space="preserve">Convenient built-in microphone  Clear and crisp audio  Impressive battery life  Comfortable to wear for long periods </t>
  </si>
  <si>
    <t>Easy to connect to my phone  Clear and crisp audio  Noise cancellation works well    🎧Sound Quality:okk</t>
  </si>
  <si>
    <t xml:space="preserve">Impressive battery life  Easy to connect to my phone  Comfortable to wear for long periods  Noise cancellation works well  Noise cancellation works well </t>
  </si>
  <si>
    <t xml:space="preserve">Clear and crisp audio  Impressive battery life  Easy to connect to my phone  Comfortable to wear for long periods  Foldable design is convenient for travel </t>
  </si>
  <si>
    <t xml:space="preserve">Impressive battery life  Love the sleek black color  Great sound quality!    🎧Comfort:Easy to connect to my phone  Foldable design is convenient for travel  Noise cancellation works well </t>
  </si>
  <si>
    <t xml:space="preserve">Easy to connect to my phone  Easy to connect to my phone  Noise cancellation works well  Foldable design is convenient for travel  Foldable design is convenient for travel </t>
  </si>
  <si>
    <t xml:space="preserve">Impressive battery life  Impressive battery life  Convenient built-in microphone  Noise cancellation works well </t>
  </si>
  <si>
    <t xml:space="preserve">Clear and crisp audio  Great sound quality!  Impressive battery life  Great value for the price </t>
  </si>
  <si>
    <t>superb.... ang ganda ng sounds pero yon nga lng pagmalakas na ang volume  lumalabas na sound naririnig na ng katabi😁 but overall satisfied costumer here😊 highly recommend bilis pa ng shipment😍 thank u seller  lazada and most kuya rider🥰</t>
  </si>
  <si>
    <t>TS</t>
  </si>
  <si>
    <t>idk good... (ignore jdjdjjdjdjdmwkkeksndnfkfkdkskskjsjsjshshhdhdhdhdhdhdhhdhxhxisiwiiwiw)</t>
  </si>
  <si>
    <t>LOW</t>
  </si>
  <si>
    <t xml:space="preserve">Love the sleek black color  Impressive battery life  Foldable design is convenient for travel  Great value for the price  Great sound quality! </t>
  </si>
  <si>
    <t>Clear and crisp audio   okay naman mabilis lang malowbat  thank you..... seller</t>
  </si>
  <si>
    <t xml:space="preserve">Noise cancellation works well  Impressive battery life  Great sound quality!  Convenient built-in microphone  Noise cancellation works well  Impressive battery life  Great sound quality!  Convenient built-in microphone  Impressive battery life  Noise cancellation works well  Convenient built-in microphone </t>
  </si>
  <si>
    <t>Nice for the price....... Goods........................ ..... C. I.. I. I. I...........</t>
  </si>
  <si>
    <t>verry nice</t>
  </si>
  <si>
    <t>Quality:  okay na po ngayon delivery nyo salamat at ginawan nyo nang action ang concern ko</t>
  </si>
  <si>
    <t xml:space="preserve">Easy to connect to my phone </t>
  </si>
  <si>
    <t>Quality: quality</t>
  </si>
  <si>
    <t>Noise cancellation works well    🎧Comfort:kkk  🔋Battery Life:jj  🎧Sound Quality:bhh</t>
  </si>
  <si>
    <t xml:space="preserve">Foldable design is convenient for travel  Clear and crisp audio  Convenient built-in microphone  Convenient built-in microphone  Comfortable to wear for long periods </t>
  </si>
  <si>
    <t>🎧Sound Quality:100✓ Excellent   🎧Comfort:80✓ Medium for Children Only   🔋Battery Life:100✓ Excellent Thank you sa seller maganda at maayos yung item  walang damage at maganda ung itsura pati tunog.</t>
  </si>
  <si>
    <t xml:space="preserve">Easy to connect to my phone  Foldable design is convenient for travel  Noise cancellation works well </t>
  </si>
  <si>
    <t>Love the sleek black color  Noise cancellation works well  💖💖💖💖💖💖💖💖💖💖💖💖💖💖💖💖💖💖💖💖💖💖💖💖💖💖💖💖💖💖💖💖💖💖💖💖</t>
  </si>
  <si>
    <t xml:space="preserve">Great sound quality!  Comfortable to wear for long periods  Easy to connect to my phone </t>
  </si>
  <si>
    <t>lex phil courier did not observe the due diligence again like the other one the magnifier cp that I expected. I believe the seller is also to blame irregardless of the price whether expensive or cheap . Dismayed when the item arrived box was damaged and the box wasConvenient built-in microphone   not handled carefully and a missing part as shown the P 47 should have a wire included but it was nowhere to be found. lastly there was no no instructional.  you tube had an instructional some 6 years ago that's when I saw the unboxing that a lot was missing. my God  lets be careful and exercise the proper delivery as mentioned in your ads in Lazada.  Again Lazada was put in a bad light.</t>
  </si>
  <si>
    <t xml:space="preserve">🎧Comfort:Great value for the price  Great sound quality!  Convenient built-in microphone  Love the sleek black color </t>
  </si>
  <si>
    <t>Great value for the price   thanks rider.. i love it..</t>
  </si>
  <si>
    <t xml:space="preserve">Noise cancellation works well  Clear and crisp audio  Impressive battery life </t>
  </si>
  <si>
    <t xml:space="preserve">Noise cancellation works well  Clear and crisp audio </t>
  </si>
  <si>
    <t xml:space="preserve">Easy to connect to my phone  Clear and crisp audio </t>
  </si>
  <si>
    <t xml:space="preserve">Comfortable to wear for long periods </t>
  </si>
  <si>
    <t xml:space="preserve">thankyou  fast delivery  correct colors  good quality and sounds </t>
  </si>
  <si>
    <t>good quality  malakas sya at matagal ma lowbat tas mabilis rin i-charge. napakalegit at worth it ng pagbili. thank you seller at sa rider.</t>
  </si>
  <si>
    <t>ok naman wrong color lang kasi white yung pinili ko pero parehas na black ang dumating pero no problem naman all goods ang product at working well naman.</t>
  </si>
  <si>
    <t xml:space="preserve">Noise cancellation works well </t>
  </si>
  <si>
    <t>Maganda syaa  nagamit ko sya ng matagal and mabilis lang sya mag charge. but the packaging was not good  halos punit punit na yung paper for instructions na nilukot. But this is Good 💯</t>
  </si>
  <si>
    <t xml:space="preserve">ayos ganda Noise cancellation works well </t>
  </si>
  <si>
    <t xml:space="preserve">Great value for the price  Love the sleek black color  Convenient built-in microphone  Noise cancellation works well  Convenient built-in microphone  Noise cancellation works well  Noise cancellation works well  Noise cancellation works well  Love the sleek black color  Love the sleek black color  Love the sleek black color  Great value for the price </t>
  </si>
  <si>
    <t>🎧Sound Quality:goods sana tumagal..nagustuhan q sya.</t>
  </si>
  <si>
    <t>sira ayaw gumna nakaka dismaya🥺</t>
  </si>
  <si>
    <t>Quality: defective item! ayaw gumana tapos mali pa ang item  P47 ang order YO8 ang pinadala.</t>
  </si>
  <si>
    <t xml:space="preserve">Clear and crisp audio </t>
  </si>
  <si>
    <t xml:space="preserve">Easy to connect to my phone  Convenient built-in microphone  Convenient built-in microphone  Convenient built-in microphone  Convenient built-in microphone  Convenient built-in microphone  Great value for the price  Great value for the price  Impressive battery life  Impressive battery life  Impressive battery life  Easy to connect to my phone </t>
  </si>
  <si>
    <t xml:space="preserve">Love the sleek black color  Foldable design is convenient for travel  Convenient built-in microphone  Noise cancellation works well </t>
  </si>
  <si>
    <t xml:space="preserve">Clear and crisp audio  Convenient built-in microphone  Great value for the price  Easy to connect to my phone </t>
  </si>
  <si>
    <t>oks naman  sana tumagal... thanks</t>
  </si>
  <si>
    <t>Nakuha ko na po order ko Ok naman po ang sound  Impressive battery life Easy to connect to my phone Foldable design is convenient for travel Salamat po seller</t>
  </si>
  <si>
    <t>gumagana naman. ang tagal dumating. green yung order ko blue ang dumating. akala may kasamang wire/cord para kahit hindi bluetooth magagamit  hindi pala.. bluetooth lang siya.</t>
  </si>
  <si>
    <t>thank you po seller maganda ang tunog nya napakabait din ni kuya rider 🙏🙏🙏🙏🙏🙏👍🏿👍🏿👍🏿👍🏿</t>
  </si>
  <si>
    <t xml:space="preserve">Functionality:Foldable design is convenient for travel  Comfortable to wear for long periods </t>
  </si>
  <si>
    <t xml:space="preserve">Love the sleek black color  Love the sleek black color </t>
  </si>
  <si>
    <t>okey po yung items mahusay at ang bilis lang nadeliver maraming salamat po seller 👍👍👍👍👍  sana hindi agadasira</t>
  </si>
  <si>
    <t>omg ang ganda nya po thank you seller order ulit ako next time 😍💓</t>
  </si>
  <si>
    <t xml:space="preserve">maganda at malakas din.Comfortable to wear for long periods </t>
  </si>
  <si>
    <t>ang cute complete items tank you seller at k kuyang rider will order again god bless po . ty ty</t>
  </si>
  <si>
    <t>Great value for the price  Great sound quality! The foldable design is convenient for travel  Clear and crisp audio  I love the sleek black color.</t>
  </si>
  <si>
    <t>Pwedeng-pwede pa ring mag-Pera Padala sa higit 25k Palawan outlets nationwide kung saan cash agad ang tanggap. Kung ang habol ay Pera Padala anytime  anywhere  i-download na ang PalawanPay!</t>
  </si>
  <si>
    <t>Noise cancellation works well  Comfortable to wear for long periods  Easy to connect to my phone  Convenient built-in microphone  Impressive battery life  Great sound quality!   picture not related   dko na po na pic ei ginamit na ni hubby agad</t>
  </si>
  <si>
    <t>Comfortable to wear for long periods  kaso Mali lng na kulay pinadala Sakin😔</t>
  </si>
  <si>
    <t xml:space="preserve">Convenient built-in microphone  Easy to connect to my phone  Foldable design is convenient for travel  Love the sleek blue color </t>
  </si>
  <si>
    <t xml:space="preserve">Great sound quality! </t>
  </si>
  <si>
    <t>pula order ko blue ang dumating</t>
  </si>
  <si>
    <t>disappointed since hindi sya dumating instead mini fan Yung dumating so imbes na headphone naging mini fan</t>
  </si>
  <si>
    <t>Great value for the price  and maganda sya    medyo lang lukot yung box nya pero okey lang Basta okey Yung item 👍😊 thank you seller 😊</t>
  </si>
  <si>
    <t xml:space="preserve">Clear and crisp audio  Great sound quality!  Great value for the price  Noise cancellation works well </t>
  </si>
  <si>
    <t>Great sound quality!  Easy to connect to my phone . medyo disappointed lang ako kasi wala yung wire connector nya  .yung para sa charger lang yung binigay .</t>
  </si>
  <si>
    <t xml:space="preserve">hdjdjdjfjfjfkfkkffkkfkckcjcComfortable to wear for long periods  Noise cancellation works well  Convenient built-in microphone  Impressive battery life  Convenient built-in microphone  Noise cancellation works well  Comfortable to wear for long periods </t>
  </si>
  <si>
    <t xml:space="preserve">Great sound quality!  Impressive battery life  Noise cancellation works well  Comfortable to wear for long periods </t>
  </si>
  <si>
    <t>the charger don t work its smaal the the packeging is bad the headphones is only for todlers the chager don t wort</t>
  </si>
  <si>
    <t>🎧Sound Quality:Malakas   🔋Battery Life:12 to 24hrs Bago ma lowbat pero it depends sa pag gamit</t>
  </si>
  <si>
    <t xml:space="preserve">Love the sleek black color  Clear and crisp audio  Great sound quality! </t>
  </si>
  <si>
    <t>Maganda at ok ang sound👌👌👌👌👌</t>
  </si>
  <si>
    <t xml:space="preserve">Great sound quality!  Easy to connect to my phone  Comfortable to wear for long periods  Great value for the price  Impressive battery life </t>
  </si>
  <si>
    <t xml:space="preserve">🎧Sound Quality:Good  🎧Comfort:Good  🔋Battery Life:Idk Great value for the price and great sound quality! </t>
  </si>
  <si>
    <t xml:space="preserve">Comfortable to wear for long periods  Clear and crisp audio  Impressive battery life  Great value for the price  Great sound quality!  Easy to connect to my phone  Love the sleek black color  Convenient built-in microphone </t>
  </si>
  <si>
    <t>Tnx</t>
  </si>
  <si>
    <t xml:space="preserve">Impressive battery life  Easy to connect to my phone  Comfortable to wear for long periods </t>
  </si>
  <si>
    <t>maganda siya at matibay  swak na swak sa anak ko kaso black ang dumating  pero blue ang order hahay</t>
  </si>
  <si>
    <t>this product is working and napaka clear ng sounds. Mabilis din dumating thank you for this product ❤️</t>
  </si>
  <si>
    <t>Ok sya maganda malakas ang tunog thanks sller and rider mabilis sila..</t>
  </si>
  <si>
    <t>nice sobrang nagustuhan ko po ang bilis po pati ng deliver thanks po more power order po ako ulit sa susunod</t>
  </si>
  <si>
    <t>Comfortable to wear for long periods  Great sound quality!    🎧Sound Quality:excellent</t>
  </si>
  <si>
    <t xml:space="preserve">Comfortable to wear for long periods  Convenient built-in microphone </t>
  </si>
  <si>
    <t>looks elegance and new. The material arrived is all I can say that seller has packed and shipped me his/her items in brand new conditions.</t>
  </si>
  <si>
    <t>🎧Sound Quality:good   🎧Comfort:yes comfortable   🔋Battery Life:yeah</t>
  </si>
  <si>
    <t>super ganda thank you sa voucher dahil libre</t>
  </si>
  <si>
    <t>🔋Battery Life:gooood</t>
  </si>
  <si>
    <t>sulit ung item para sa price kudos kay seller thankyou a lot po more sell for your shop ganda dn Ng sounds buong buo</t>
  </si>
  <si>
    <t xml:space="preserve">Comfortable to wear for long periods  Clear and crisp audio </t>
  </si>
  <si>
    <t xml:space="preserve">Great sound quality!  Easy to connect to my phone </t>
  </si>
  <si>
    <t>thank you seller gnda ng headset good quality</t>
  </si>
  <si>
    <t>Functionality:Nagana   Quality:good prang iba Sya sa personal kyasa jn sa nka advertise niu ang layo  Material:good Mali lng ang kulay ng  order koooó Kalinaw  ng nkalagay white dumating ei black😅 nkaka dismaya lng  dko pa na try kong gumana sna gumana ireregalo ko pa nman un</t>
  </si>
  <si>
    <t xml:space="preserve">Foldable design is convenient for travel </t>
  </si>
  <si>
    <t xml:space="preserve">Noise cancellation works well  Impressive battery life  Clear and crisp audio  Comfortable to wear for long periods  Noise cancellation works well  Impressive battery life  Clear and crisp audio  Comfortable to wear for long periods </t>
  </si>
  <si>
    <t>Maganda goods yung sound maganda den kulay</t>
  </si>
  <si>
    <t>good job..</t>
  </si>
  <si>
    <t>Nice have bluetooth and Auxiliary</t>
  </si>
  <si>
    <t>it's good po kaso mabilis ma lowbat kung sige sige mo gamitin Pero if patigil tigil matagal sya gamitin at  ayus sya hangang ngayon nandito pa sakin</t>
  </si>
  <si>
    <t>Great value for the price  👍👍</t>
  </si>
  <si>
    <t xml:space="preserve">Convenient built-in microphone  Convenient built-in microphone </t>
  </si>
  <si>
    <t xml:space="preserve">Great value for the price </t>
  </si>
  <si>
    <t>its not working</t>
  </si>
  <si>
    <t xml:space="preserve">Great value for the price  Foldable design is convenient for travel  Great sound quality!  Easy to connect to my phone </t>
  </si>
  <si>
    <t>Paki check ang product bago iship out! Hindi gumagana ang nadeliver saaken. Maayos naman ang packaging pero ang product talaga ang problema! Hindi gumagana!!! Sayang lang ang pera.</t>
  </si>
  <si>
    <t>🎧Comfort：</t>
  </si>
  <si>
    <t>ganda na gustuhan ko po☺☺☺</t>
  </si>
  <si>
    <t xml:space="preserve">Foldable design is convenient for travel  Great sound quality!  Great value for the price  Clear and crisp audio </t>
  </si>
  <si>
    <t xml:space="preserve">Great value for the price  Clear and crisp audio  Easy to connect to my phone  Great sound quality! </t>
  </si>
  <si>
    <t>thankyou very much for this wonderful bluetooth headset🥰 nice sounds  nice color  no damage  overall perfect!!</t>
  </si>
  <si>
    <t>Box is damaged when it arrived proper sealing  but overall good quality and good design will buy again thank you^^</t>
  </si>
  <si>
    <t>mabilis ang delivery...................................................... ..</t>
  </si>
  <si>
    <t>Maganda po yupi lang ying box pero goods naman po. Pangvregalo ko kasi sana eh yuping yupi po yung box.</t>
  </si>
  <si>
    <t>super ganda nagustuhan talaga ng tita ko mtibay sya at matagal ma lowbat💖💖💖💖💖💖💖👌</t>
  </si>
  <si>
    <t>nagagamit naman sya sa laptop at cp pero gamit ang connector hindi as bluetooth. nagcharge naman pero di magamit as bluetooth</t>
  </si>
  <si>
    <t>ok nman siya maliit lang pala pero tama nman sa pambata n pang regalo. thanks ☺️🤗🥰</t>
  </si>
  <si>
    <t xml:space="preserve">Foldable design is convenient for travel  Great value for the price  Impressive battery life </t>
  </si>
  <si>
    <t>Sobrang Ganda ng headphone  nyu Ganda ng tunog wala nman cya sira ok na ok kaya ginamit kaagad ng anak ko sobrang ntuwa cya😊👍slamat seller at Kay kua ate delivery 5 ⭐⭐⭐⭐⭐ po sa uulitin po😁😀👍</t>
  </si>
  <si>
    <t>🎧Sound Quality:maganda ang sound matagal malowbat.yun nga lang walang mic</t>
  </si>
  <si>
    <t>good matagal malow bat ok Naman so cute and perfect sha thanks seller 😊😊 super gandaaaaa</t>
  </si>
  <si>
    <t>as in napa kaganda at buti nalang talaga dto ako umorder sa susunod oorder ule ako   pero sana tumaGAl ung headset nato and thank u seller!❤  Functionality:good  Quality:good  Material:ang gandaa walang sira</t>
  </si>
  <si>
    <t>Quality:very good!..</t>
  </si>
  <si>
    <t xml:space="preserve">Love the sleek black color </t>
  </si>
  <si>
    <t>Good sound quality  highly recommend.</t>
  </si>
  <si>
    <t>ok po yung quality gumagana</t>
  </si>
  <si>
    <t>ang ganda ng quility ng tunog astig to!</t>
  </si>
  <si>
    <t>maganda siya</t>
  </si>
  <si>
    <t>Thank You So much sa seller and goods pratact and maganda sya tiknan and ma Ganda pala Yung tunog Niya thank you sa ninja van Yung na deliver</t>
  </si>
  <si>
    <t>mganda sia kaso iba color at design ang dumating blue ung order ko black ang dmtng</t>
  </si>
  <si>
    <t>Ok to nagana kahit sa sd card</t>
  </si>
  <si>
    <t>Mali yung color pero ok naman</t>
  </si>
  <si>
    <t>nice</t>
  </si>
  <si>
    <t>Quality:very nice quality</t>
  </si>
  <si>
    <t>okey lng</t>
  </si>
  <si>
    <t>Quality：</t>
  </si>
  <si>
    <t>Quality:good</t>
  </si>
  <si>
    <t>🎧Sound Quality:sakto lang</t>
  </si>
  <si>
    <t>good</t>
  </si>
  <si>
    <t>legit</t>
  </si>
  <si>
    <t>Functionality:  Quality:  Material:</t>
  </si>
  <si>
    <t>Quality:good job</t>
  </si>
  <si>
    <t>thank you po! thank you po! thank you po! thank you po! thank you po! thank you po! late review he he</t>
  </si>
  <si>
    <t>Good Quality</t>
  </si>
  <si>
    <t>goods Yung sound quality  worth it na sa price.</t>
  </si>
  <si>
    <t>goods na good pang 4 na order ko na to  lahat ok tatagal pa ma lowbatt ang bilis din ng deliver nila thanks seller may order pa ulit ako ng 2 pa</t>
  </si>
  <si>
    <t>sorry po ngayon lang nagcomment maaga po siya dumating at good quality po siya salamat po sa seller at sa rider</t>
  </si>
  <si>
    <t>maganda Ang lakas ng tunog at buo tunog..nagustuhan ng anak ko..ooreder ulit ako para sakin next time..hehehe salamat seller at sa nag deliver</t>
  </si>
  <si>
    <t>Ok naman siya mabilis dumating good quality namansya  na gusto Han ko lagi ko ngang ginagamit eh salamat seller good bless you 😊 ಥ⌣ಥ</t>
  </si>
  <si>
    <t>ang ganda nya ty</t>
  </si>
  <si>
    <t>maganda na mora pa salamat po malakas ang tunog tagal malowbat order ako  olit Nyan pang regalo sa sunod</t>
  </si>
  <si>
    <t>tnx seller fast delivery.</t>
  </si>
  <si>
    <t>Ganda ng item malakas yung  sounds nya and cheaper price lang sya sana tumagal. Thank you seller sa mabilis na ship.</t>
  </si>
  <si>
    <t>verygood</t>
  </si>
  <si>
    <t>malakas at goods sya</t>
  </si>
  <si>
    <t>very nice</t>
  </si>
  <si>
    <t xml:space="preserve">Quality:okay naman Kaso bilis malowbat Great sound quality!  Easy to connect to my phone </t>
  </si>
  <si>
    <t>its ok</t>
  </si>
  <si>
    <t>Sira . Di mapakinabangan! Grrrrr</t>
  </si>
  <si>
    <t>2order ko ok yong isa ang isa sira yong  pinadala nyo cgurado akung alam nyo n sira yon kc pag bukas ko ng carton bumungad n yong sira imposible nman na hnd nyo na check bago nyo e ship.</t>
  </si>
  <si>
    <t>🙄 as expected poor quality</t>
  </si>
  <si>
    <t>ngchacharge xa pero ayaw maopen.nkakadisaapoint sna check muna item kung-OK oh nde pra pgdting ky buyer wlng mging problema ..</t>
  </si>
  <si>
    <t>I ordered P47 foldable wireless bluetooth headphone but I got a wrong brand which Y08 instead and its headband is not adjustable noise from the surroundings can also be heard though it has some problems but it works at least</t>
  </si>
  <si>
    <t>not same item  in picture.  I order is plain headphone but delivered cat style headphone but item is working.</t>
  </si>
  <si>
    <t>Defective yung item. nakailang return ako pero cancel ko na lang. gawin na lang laruan ng anak ko. sana next time pacheck na lang muna siguro if ok ba yung item before ideliver. fragile rin naman tong item eh sana yung packaging secure na secure kasi di mo rin naman alam if magiging ok sa pagdeliver.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</si>
</sst>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6"/>
  <sheetViews>
    <sheetView tabSelected="1" zoomScaleSheetLayoutView="60" topLeftCell="A67" workbookViewId="0">
      <selection activeCell="D81" sqref="D81"/>
    </sheetView>
  </sheetViews>
  <sheetFormatPr defaultColWidth="10.2857142857143" defaultRowHeight="15"/>
  <cols>
    <col min="1" max="1" width="115" style="1" customWidth="1"/>
    <col min="3" max="3" width="8.71428571428571" customWidth="1"/>
    <col min="4" max="4" width="20.7142857142857" customWidth="1"/>
    <col min="5" max="5" width="15.5714285714286" customWidth="1"/>
    <col min="6" max="6" width="11.4285714285714" customWidth="1"/>
    <col min="7" max="7" width="10.5714285714286" customWidth="1"/>
    <col min="9" max="9" width="14.2857142857143" customWidth="1"/>
    <col min="10" max="10" width="14.4285714285714" customWidth="1"/>
    <col min="11" max="11" width="10.4285714285714" customWidth="1"/>
  </cols>
  <sheetData>
    <row r="1" spans="1:12">
      <c r="A1" s="1" t="s">
        <v>0</v>
      </c>
      <c r="B1" t="s">
        <v>1</v>
      </c>
      <c r="C1" t="s">
        <v>2</v>
      </c>
      <c r="D1" t="s">
        <v>3</v>
      </c>
      <c r="E1" t="s">
        <v>4</v>
      </c>
      <c r="F1" t="s">
        <v>5</v>
      </c>
      <c r="G1" t="s">
        <v>6</v>
      </c>
      <c r="H1" t="s">
        <v>7</v>
      </c>
      <c r="I1" t="s">
        <v>8</v>
      </c>
      <c r="J1" t="s">
        <v>9</v>
      </c>
      <c r="K1" t="s">
        <v>10</v>
      </c>
      <c r="L1" t="s">
        <v>11</v>
      </c>
    </row>
    <row r="2" ht="30" spans="1:11">
      <c r="A2" s="1" t="s">
        <v>12</v>
      </c>
      <c r="B2">
        <v>5</v>
      </c>
      <c r="E2" t="s">
        <v>13</v>
      </c>
      <c r="F2" t="s">
        <v>14</v>
      </c>
      <c r="G2" t="s">
        <v>15</v>
      </c>
      <c r="H2">
        <f>IF(E2="Low",0,IF(E2="Moderate",1,IF(E2="High",2)))+IF(F2="Low",0,IF(F2="Moderate",1,IF(F2="High",2)))+IF(G2="OS",0,IF(G2="TS",1))</f>
        <v>3</v>
      </c>
      <c r="I2" t="str">
        <f>IF(H2&lt;=1,"Low RIQ",IF(H2&lt;=3,"Moderate RIQ","High RIQ"))</f>
        <v>Moderate RIQ</v>
      </c>
      <c r="J2">
        <v>2</v>
      </c>
      <c r="K2">
        <v>0</v>
      </c>
    </row>
    <row r="3" spans="1:11">
      <c r="A3" s="1" t="s">
        <v>16</v>
      </c>
      <c r="B3">
        <v>5</v>
      </c>
      <c r="E3" t="s">
        <v>13</v>
      </c>
      <c r="F3" t="s">
        <v>14</v>
      </c>
      <c r="G3" t="s">
        <v>15</v>
      </c>
      <c r="H3">
        <f t="shared" ref="H3:H34" si="0">IF(E3="Low",0,IF(E3="Moderate",1,IF(E3="High",2)))+IF(F3="Low",0,IF(F3="Moderate",1,IF(F3="High",2)))+IF(G3="OS",0,IF(G3="TS",1))</f>
        <v>3</v>
      </c>
      <c r="I3" t="str">
        <f t="shared" ref="I3:I34" si="1">IF(H3&lt;=1,"Low RIQ",IF(H3&lt;=3,"Moderate RIQ","High RIQ"))</f>
        <v>Moderate RIQ</v>
      </c>
      <c r="J3">
        <v>0</v>
      </c>
      <c r="K3">
        <v>0</v>
      </c>
    </row>
    <row r="4" spans="1:11">
      <c r="A4" s="1" t="s">
        <v>17</v>
      </c>
      <c r="B4">
        <v>5</v>
      </c>
      <c r="E4" t="s">
        <v>14</v>
      </c>
      <c r="F4" t="s">
        <v>14</v>
      </c>
      <c r="G4" t="s">
        <v>15</v>
      </c>
      <c r="H4">
        <f t="shared" si="0"/>
        <v>4</v>
      </c>
      <c r="I4" t="str">
        <f t="shared" si="1"/>
        <v>High RIQ</v>
      </c>
      <c r="J4">
        <v>0</v>
      </c>
      <c r="K4">
        <v>0</v>
      </c>
    </row>
    <row r="5" spans="1:11">
      <c r="A5" s="1" t="s">
        <v>18</v>
      </c>
      <c r="B5">
        <v>5</v>
      </c>
      <c r="E5" t="s">
        <v>13</v>
      </c>
      <c r="F5" t="s">
        <v>14</v>
      </c>
      <c r="G5" t="s">
        <v>15</v>
      </c>
      <c r="H5">
        <f t="shared" si="0"/>
        <v>3</v>
      </c>
      <c r="I5" t="str">
        <f t="shared" si="1"/>
        <v>Moderate RIQ</v>
      </c>
      <c r="J5">
        <v>2</v>
      </c>
      <c r="K5">
        <v>0</v>
      </c>
    </row>
    <row r="6" spans="1:11">
      <c r="A6" s="1" t="s">
        <v>19</v>
      </c>
      <c r="B6">
        <v>5</v>
      </c>
      <c r="E6" t="s">
        <v>13</v>
      </c>
      <c r="F6" t="s">
        <v>14</v>
      </c>
      <c r="G6" t="s">
        <v>15</v>
      </c>
      <c r="H6">
        <f t="shared" si="0"/>
        <v>3</v>
      </c>
      <c r="I6" t="str">
        <f t="shared" si="1"/>
        <v>Moderate RIQ</v>
      </c>
      <c r="J6">
        <v>2</v>
      </c>
      <c r="K6">
        <v>0</v>
      </c>
    </row>
    <row r="7" ht="30" spans="1:11">
      <c r="A7" s="1" t="s">
        <v>20</v>
      </c>
      <c r="B7">
        <v>5</v>
      </c>
      <c r="E7" t="s">
        <v>13</v>
      </c>
      <c r="F7" t="s">
        <v>14</v>
      </c>
      <c r="G7" t="s">
        <v>15</v>
      </c>
      <c r="H7">
        <f t="shared" si="0"/>
        <v>3</v>
      </c>
      <c r="I7" t="str">
        <f t="shared" si="1"/>
        <v>Moderate RIQ</v>
      </c>
      <c r="J7">
        <v>2</v>
      </c>
      <c r="K7">
        <v>0</v>
      </c>
    </row>
    <row r="8" ht="30" spans="1:11">
      <c r="A8" s="1" t="s">
        <v>21</v>
      </c>
      <c r="B8">
        <v>5</v>
      </c>
      <c r="E8" t="s">
        <v>13</v>
      </c>
      <c r="F8" t="s">
        <v>14</v>
      </c>
      <c r="G8" t="s">
        <v>15</v>
      </c>
      <c r="H8">
        <f t="shared" si="0"/>
        <v>3</v>
      </c>
      <c r="I8" t="str">
        <f t="shared" si="1"/>
        <v>Moderate RIQ</v>
      </c>
      <c r="J8">
        <v>2</v>
      </c>
      <c r="K8">
        <v>0</v>
      </c>
    </row>
    <row r="9" ht="30" spans="1:11">
      <c r="A9" s="1" t="s">
        <v>22</v>
      </c>
      <c r="B9">
        <v>5</v>
      </c>
      <c r="E9" t="s">
        <v>13</v>
      </c>
      <c r="F9" t="s">
        <v>14</v>
      </c>
      <c r="G9" t="s">
        <v>15</v>
      </c>
      <c r="H9">
        <f t="shared" si="0"/>
        <v>3</v>
      </c>
      <c r="I9" t="str">
        <f t="shared" si="1"/>
        <v>Moderate RIQ</v>
      </c>
      <c r="J9">
        <v>2</v>
      </c>
      <c r="K9">
        <v>0</v>
      </c>
    </row>
    <row r="10" ht="30" spans="1:11">
      <c r="A10" s="1" t="s">
        <v>23</v>
      </c>
      <c r="B10">
        <v>5</v>
      </c>
      <c r="E10" t="s">
        <v>13</v>
      </c>
      <c r="F10" t="s">
        <v>14</v>
      </c>
      <c r="G10" t="s">
        <v>15</v>
      </c>
      <c r="H10">
        <f t="shared" si="0"/>
        <v>3</v>
      </c>
      <c r="I10" t="str">
        <f t="shared" si="1"/>
        <v>Moderate RIQ</v>
      </c>
      <c r="J10">
        <v>2</v>
      </c>
      <c r="K10">
        <v>0</v>
      </c>
    </row>
    <row r="11" spans="1:11">
      <c r="A11" s="1" t="s">
        <v>24</v>
      </c>
      <c r="B11">
        <v>5</v>
      </c>
      <c r="E11" t="s">
        <v>13</v>
      </c>
      <c r="F11" t="s">
        <v>14</v>
      </c>
      <c r="G11" t="s">
        <v>15</v>
      </c>
      <c r="H11">
        <f t="shared" si="0"/>
        <v>3</v>
      </c>
      <c r="I11" t="str">
        <f t="shared" si="1"/>
        <v>Moderate RIQ</v>
      </c>
      <c r="J11">
        <v>2</v>
      </c>
      <c r="K11">
        <v>0</v>
      </c>
    </row>
    <row r="12" spans="1:11">
      <c r="A12" s="1" t="s">
        <v>25</v>
      </c>
      <c r="B12">
        <v>5</v>
      </c>
      <c r="E12" t="s">
        <v>13</v>
      </c>
      <c r="F12" t="s">
        <v>14</v>
      </c>
      <c r="G12" t="s">
        <v>15</v>
      </c>
      <c r="H12">
        <f t="shared" si="0"/>
        <v>3</v>
      </c>
      <c r="I12" t="str">
        <f t="shared" si="1"/>
        <v>Moderate RIQ</v>
      </c>
      <c r="J12">
        <v>2</v>
      </c>
      <c r="K12">
        <v>0</v>
      </c>
    </row>
    <row r="13" ht="30" spans="1:11">
      <c r="A13" s="1" t="s">
        <v>26</v>
      </c>
      <c r="B13">
        <v>5</v>
      </c>
      <c r="E13" t="s">
        <v>14</v>
      </c>
      <c r="F13" t="s">
        <v>14</v>
      </c>
      <c r="G13" t="s">
        <v>27</v>
      </c>
      <c r="H13">
        <f t="shared" si="0"/>
        <v>5</v>
      </c>
      <c r="I13" t="str">
        <f t="shared" si="1"/>
        <v>High RIQ</v>
      </c>
      <c r="J13">
        <v>0</v>
      </c>
      <c r="K13">
        <v>0</v>
      </c>
    </row>
    <row r="14" spans="1:11">
      <c r="A14" s="1" t="s">
        <v>28</v>
      </c>
      <c r="B14">
        <v>5</v>
      </c>
      <c r="E14" t="s">
        <v>29</v>
      </c>
      <c r="F14" t="s">
        <v>29</v>
      </c>
      <c r="G14" t="s">
        <v>15</v>
      </c>
      <c r="H14">
        <f t="shared" si="0"/>
        <v>0</v>
      </c>
      <c r="I14" t="str">
        <f t="shared" si="1"/>
        <v>Low RIQ</v>
      </c>
      <c r="J14">
        <v>0</v>
      </c>
      <c r="K14">
        <v>1</v>
      </c>
    </row>
    <row r="15" ht="30" spans="1:11">
      <c r="A15" s="1" t="s">
        <v>30</v>
      </c>
      <c r="B15">
        <v>5</v>
      </c>
      <c r="E15" t="s">
        <v>13</v>
      </c>
      <c r="F15" t="s">
        <v>14</v>
      </c>
      <c r="G15" t="s">
        <v>15</v>
      </c>
      <c r="H15">
        <f t="shared" si="0"/>
        <v>3</v>
      </c>
      <c r="I15" t="str">
        <f t="shared" si="1"/>
        <v>Moderate RIQ</v>
      </c>
      <c r="J15">
        <v>2</v>
      </c>
      <c r="K15">
        <v>0</v>
      </c>
    </row>
    <row r="16" spans="1:11">
      <c r="A16" s="1" t="s">
        <v>31</v>
      </c>
      <c r="B16">
        <v>5</v>
      </c>
      <c r="E16" t="s">
        <v>13</v>
      </c>
      <c r="F16" t="s">
        <v>14</v>
      </c>
      <c r="G16" t="s">
        <v>15</v>
      </c>
      <c r="H16">
        <f t="shared" si="0"/>
        <v>3</v>
      </c>
      <c r="I16" t="str">
        <f t="shared" si="1"/>
        <v>Moderate RIQ</v>
      </c>
      <c r="J16">
        <v>1</v>
      </c>
      <c r="K16">
        <v>0</v>
      </c>
    </row>
    <row r="17" ht="45" spans="1:11">
      <c r="A17" s="1" t="s">
        <v>32</v>
      </c>
      <c r="B17">
        <v>5</v>
      </c>
      <c r="E17" t="s">
        <v>13</v>
      </c>
      <c r="F17" t="s">
        <v>14</v>
      </c>
      <c r="G17" t="s">
        <v>15</v>
      </c>
      <c r="H17">
        <f t="shared" si="0"/>
        <v>3</v>
      </c>
      <c r="I17" t="str">
        <f t="shared" si="1"/>
        <v>Moderate RIQ</v>
      </c>
      <c r="J17">
        <v>2</v>
      </c>
      <c r="K17">
        <v>0</v>
      </c>
    </row>
    <row r="18" spans="1:11">
      <c r="A18" s="1" t="s">
        <v>33</v>
      </c>
      <c r="B18">
        <v>5</v>
      </c>
      <c r="E18" t="s">
        <v>29</v>
      </c>
      <c r="F18" t="s">
        <v>29</v>
      </c>
      <c r="G18" t="s">
        <v>15</v>
      </c>
      <c r="H18">
        <f t="shared" si="0"/>
        <v>0</v>
      </c>
      <c r="I18" t="str">
        <f t="shared" si="1"/>
        <v>Low RIQ</v>
      </c>
      <c r="J18">
        <v>1</v>
      </c>
      <c r="K18">
        <v>2</v>
      </c>
    </row>
    <row r="19" spans="1:11">
      <c r="A19" s="1" t="s">
        <v>34</v>
      </c>
      <c r="B19">
        <v>5</v>
      </c>
      <c r="E19" t="s">
        <v>29</v>
      </c>
      <c r="F19" t="s">
        <v>29</v>
      </c>
      <c r="G19" t="s">
        <v>15</v>
      </c>
      <c r="H19">
        <f t="shared" si="0"/>
        <v>0</v>
      </c>
      <c r="I19" t="str">
        <f t="shared" si="1"/>
        <v>Low RIQ</v>
      </c>
      <c r="J19">
        <v>0</v>
      </c>
      <c r="K19">
        <v>0</v>
      </c>
    </row>
    <row r="20" spans="1:11">
      <c r="A20" s="1" t="s">
        <v>35</v>
      </c>
      <c r="B20">
        <v>5</v>
      </c>
      <c r="E20" t="s">
        <v>13</v>
      </c>
      <c r="F20" t="s">
        <v>13</v>
      </c>
      <c r="G20" t="s">
        <v>15</v>
      </c>
      <c r="H20">
        <f t="shared" si="0"/>
        <v>2</v>
      </c>
      <c r="I20" t="str">
        <f t="shared" si="1"/>
        <v>Moderate RIQ</v>
      </c>
      <c r="J20">
        <v>0</v>
      </c>
      <c r="K20">
        <v>0</v>
      </c>
    </row>
    <row r="21" spans="1:11">
      <c r="A21" s="1" t="s">
        <v>36</v>
      </c>
      <c r="B21">
        <v>5</v>
      </c>
      <c r="E21" t="s">
        <v>13</v>
      </c>
      <c r="F21" t="s">
        <v>14</v>
      </c>
      <c r="G21" t="s">
        <v>15</v>
      </c>
      <c r="H21">
        <f t="shared" si="0"/>
        <v>3</v>
      </c>
      <c r="I21" t="str">
        <f t="shared" si="1"/>
        <v>Moderate RIQ</v>
      </c>
      <c r="J21">
        <v>2</v>
      </c>
      <c r="K21">
        <v>0</v>
      </c>
    </row>
    <row r="22" spans="1:11">
      <c r="A22" s="1" t="s">
        <v>37</v>
      </c>
      <c r="B22">
        <v>5</v>
      </c>
      <c r="E22" t="s">
        <v>29</v>
      </c>
      <c r="F22" t="s">
        <v>14</v>
      </c>
      <c r="G22" t="s">
        <v>15</v>
      </c>
      <c r="H22">
        <f t="shared" si="0"/>
        <v>2</v>
      </c>
      <c r="I22" t="str">
        <f t="shared" si="1"/>
        <v>Moderate RIQ</v>
      </c>
      <c r="J22">
        <v>0</v>
      </c>
      <c r="K22">
        <v>0</v>
      </c>
    </row>
    <row r="23" spans="1:11">
      <c r="A23" s="1" t="s">
        <v>38</v>
      </c>
      <c r="B23">
        <v>5</v>
      </c>
      <c r="E23" t="s">
        <v>13</v>
      </c>
      <c r="F23" t="s">
        <v>14</v>
      </c>
      <c r="G23" t="s">
        <v>15</v>
      </c>
      <c r="H23">
        <f t="shared" si="0"/>
        <v>3</v>
      </c>
      <c r="I23" t="str">
        <f t="shared" si="1"/>
        <v>Moderate RIQ</v>
      </c>
      <c r="J23">
        <v>1</v>
      </c>
      <c r="K23">
        <v>1</v>
      </c>
    </row>
    <row r="24" ht="30" spans="1:11">
      <c r="A24" s="1" t="s">
        <v>39</v>
      </c>
      <c r="B24">
        <v>5</v>
      </c>
      <c r="E24" t="s">
        <v>13</v>
      </c>
      <c r="F24" t="s">
        <v>14</v>
      </c>
      <c r="G24" t="s">
        <v>15</v>
      </c>
      <c r="H24">
        <f t="shared" si="0"/>
        <v>3</v>
      </c>
      <c r="I24" t="str">
        <f t="shared" si="1"/>
        <v>Moderate RIQ</v>
      </c>
      <c r="J24">
        <v>2</v>
      </c>
      <c r="K24">
        <v>0</v>
      </c>
    </row>
    <row r="25" ht="30" spans="1:11">
      <c r="A25" s="1" t="s">
        <v>40</v>
      </c>
      <c r="B25">
        <v>5</v>
      </c>
      <c r="E25" t="s">
        <v>14</v>
      </c>
      <c r="F25" t="s">
        <v>14</v>
      </c>
      <c r="G25" t="s">
        <v>15</v>
      </c>
      <c r="H25">
        <f t="shared" si="0"/>
        <v>4</v>
      </c>
      <c r="I25" t="str">
        <f t="shared" si="1"/>
        <v>High RIQ</v>
      </c>
      <c r="J25">
        <v>0</v>
      </c>
      <c r="K25">
        <v>0</v>
      </c>
    </row>
    <row r="26" spans="1:11">
      <c r="A26" s="1" t="s">
        <v>41</v>
      </c>
      <c r="B26">
        <v>5</v>
      </c>
      <c r="E26" t="s">
        <v>13</v>
      </c>
      <c r="F26" t="s">
        <v>14</v>
      </c>
      <c r="G26" t="s">
        <v>15</v>
      </c>
      <c r="H26">
        <f t="shared" si="0"/>
        <v>3</v>
      </c>
      <c r="I26" t="str">
        <f t="shared" si="1"/>
        <v>Moderate RIQ</v>
      </c>
      <c r="J26">
        <v>2</v>
      </c>
      <c r="K26">
        <v>0</v>
      </c>
    </row>
    <row r="27" ht="30" spans="1:11">
      <c r="A27" s="1" t="s">
        <v>42</v>
      </c>
      <c r="B27">
        <v>5</v>
      </c>
      <c r="E27" t="s">
        <v>13</v>
      </c>
      <c r="F27" t="s">
        <v>14</v>
      </c>
      <c r="G27" t="s">
        <v>15</v>
      </c>
      <c r="H27">
        <f t="shared" si="0"/>
        <v>3</v>
      </c>
      <c r="I27" t="str">
        <f t="shared" si="1"/>
        <v>Moderate RIQ</v>
      </c>
      <c r="J27">
        <v>2</v>
      </c>
      <c r="K27">
        <v>1</v>
      </c>
    </row>
    <row r="28" spans="1:11">
      <c r="A28" s="1" t="s">
        <v>43</v>
      </c>
      <c r="B28">
        <v>5</v>
      </c>
      <c r="E28" t="s">
        <v>13</v>
      </c>
      <c r="F28" t="s">
        <v>14</v>
      </c>
      <c r="G28" t="s">
        <v>15</v>
      </c>
      <c r="H28">
        <f t="shared" si="0"/>
        <v>3</v>
      </c>
      <c r="I28" t="str">
        <f t="shared" si="1"/>
        <v>Moderate RIQ</v>
      </c>
      <c r="J28">
        <v>2</v>
      </c>
      <c r="K28">
        <v>0</v>
      </c>
    </row>
    <row r="29" ht="90" spans="1:11">
      <c r="A29" s="1" t="s">
        <v>44</v>
      </c>
      <c r="B29">
        <v>5</v>
      </c>
      <c r="E29" t="s">
        <v>14</v>
      </c>
      <c r="F29" t="s">
        <v>14</v>
      </c>
      <c r="G29" t="s">
        <v>27</v>
      </c>
      <c r="H29">
        <f t="shared" si="0"/>
        <v>5</v>
      </c>
      <c r="I29" t="str">
        <f t="shared" si="1"/>
        <v>High RIQ</v>
      </c>
      <c r="J29">
        <v>0</v>
      </c>
      <c r="K29">
        <v>0</v>
      </c>
    </row>
    <row r="30" spans="1:11">
      <c r="A30" s="1" t="s">
        <v>45</v>
      </c>
      <c r="B30">
        <v>5</v>
      </c>
      <c r="E30" t="s">
        <v>13</v>
      </c>
      <c r="F30" t="s">
        <v>14</v>
      </c>
      <c r="G30" t="s">
        <v>15</v>
      </c>
      <c r="H30">
        <f t="shared" si="0"/>
        <v>3</v>
      </c>
      <c r="I30" t="str">
        <f t="shared" si="1"/>
        <v>Moderate RIQ</v>
      </c>
      <c r="J30">
        <v>2</v>
      </c>
      <c r="K30">
        <v>0</v>
      </c>
    </row>
    <row r="31" spans="1:11">
      <c r="A31" s="1" t="s">
        <v>46</v>
      </c>
      <c r="B31">
        <v>5</v>
      </c>
      <c r="E31" t="s">
        <v>13</v>
      </c>
      <c r="F31" t="s">
        <v>14</v>
      </c>
      <c r="G31" t="s">
        <v>15</v>
      </c>
      <c r="H31">
        <f t="shared" si="0"/>
        <v>3</v>
      </c>
      <c r="I31" t="str">
        <f t="shared" si="1"/>
        <v>Moderate RIQ</v>
      </c>
      <c r="J31">
        <v>1</v>
      </c>
      <c r="K31">
        <v>0</v>
      </c>
    </row>
    <row r="32" spans="1:11">
      <c r="A32" s="1" t="s">
        <v>47</v>
      </c>
      <c r="B32">
        <v>5</v>
      </c>
      <c r="E32" t="s">
        <v>13</v>
      </c>
      <c r="F32" t="s">
        <v>14</v>
      </c>
      <c r="G32" t="s">
        <v>15</v>
      </c>
      <c r="H32">
        <f t="shared" si="0"/>
        <v>3</v>
      </c>
      <c r="I32" t="str">
        <f t="shared" si="1"/>
        <v>Moderate RIQ</v>
      </c>
      <c r="J32">
        <v>2</v>
      </c>
      <c r="K32">
        <v>0</v>
      </c>
    </row>
    <row r="33" spans="1:11">
      <c r="A33" s="1" t="s">
        <v>48</v>
      </c>
      <c r="B33">
        <v>5</v>
      </c>
      <c r="E33" t="s">
        <v>13</v>
      </c>
      <c r="F33" t="s">
        <v>14</v>
      </c>
      <c r="G33" t="s">
        <v>15</v>
      </c>
      <c r="H33">
        <f t="shared" si="0"/>
        <v>3</v>
      </c>
      <c r="I33" t="str">
        <f t="shared" si="1"/>
        <v>Moderate RIQ</v>
      </c>
      <c r="J33">
        <v>2</v>
      </c>
      <c r="K33">
        <v>0</v>
      </c>
    </row>
    <row r="34" spans="1:11">
      <c r="A34" s="1" t="s">
        <v>49</v>
      </c>
      <c r="B34">
        <v>5</v>
      </c>
      <c r="E34" t="s">
        <v>13</v>
      </c>
      <c r="F34" t="s">
        <v>14</v>
      </c>
      <c r="G34" t="s">
        <v>15</v>
      </c>
      <c r="H34">
        <f t="shared" si="0"/>
        <v>3</v>
      </c>
      <c r="I34" t="str">
        <f t="shared" si="1"/>
        <v>Moderate RIQ</v>
      </c>
      <c r="J34">
        <v>2</v>
      </c>
      <c r="K34">
        <v>0</v>
      </c>
    </row>
    <row r="35" spans="1:11">
      <c r="A35" s="1" t="s">
        <v>50</v>
      </c>
      <c r="B35">
        <v>5</v>
      </c>
      <c r="E35" t="s">
        <v>13</v>
      </c>
      <c r="F35" t="s">
        <v>14</v>
      </c>
      <c r="G35" t="s">
        <v>15</v>
      </c>
      <c r="H35">
        <f t="shared" ref="H35:H66" si="2">IF(E35="Low",0,IF(E35="Moderate",1,IF(E35="High",2)))+IF(F35="Low",0,IF(F35="Moderate",1,IF(F35="High",2)))+IF(G35="OS",0,IF(G35="TS",1))</f>
        <v>3</v>
      </c>
      <c r="I35" t="str">
        <f t="shared" ref="I35:I66" si="3">IF(H35&lt;=1,"Low RIQ",IF(H35&lt;=3,"Moderate RIQ","High RIQ"))</f>
        <v>Moderate RIQ</v>
      </c>
      <c r="J35">
        <v>2</v>
      </c>
      <c r="K35">
        <v>0</v>
      </c>
    </row>
    <row r="36" spans="1:11">
      <c r="A36" s="1" t="s">
        <v>51</v>
      </c>
      <c r="B36">
        <v>5</v>
      </c>
      <c r="E36" t="s">
        <v>13</v>
      </c>
      <c r="F36" t="s">
        <v>13</v>
      </c>
      <c r="G36" t="s">
        <v>15</v>
      </c>
      <c r="H36">
        <f t="shared" si="2"/>
        <v>2</v>
      </c>
      <c r="I36" t="str">
        <f t="shared" si="3"/>
        <v>Moderate RIQ</v>
      </c>
      <c r="J36">
        <v>0</v>
      </c>
      <c r="K36">
        <v>0</v>
      </c>
    </row>
    <row r="37" ht="30" spans="1:11">
      <c r="A37" s="1" t="s">
        <v>52</v>
      </c>
      <c r="B37">
        <v>5</v>
      </c>
      <c r="E37" t="s">
        <v>14</v>
      </c>
      <c r="F37" t="s">
        <v>14</v>
      </c>
      <c r="G37" t="s">
        <v>15</v>
      </c>
      <c r="H37">
        <f t="shared" si="2"/>
        <v>4</v>
      </c>
      <c r="I37" t="str">
        <f t="shared" si="3"/>
        <v>High RIQ</v>
      </c>
      <c r="J37">
        <v>0</v>
      </c>
      <c r="K37">
        <v>0</v>
      </c>
    </row>
    <row r="38" ht="30" spans="1:11">
      <c r="A38" s="1" t="s">
        <v>53</v>
      </c>
      <c r="B38">
        <v>5</v>
      </c>
      <c r="E38" t="s">
        <v>14</v>
      </c>
      <c r="F38" t="s">
        <v>14</v>
      </c>
      <c r="G38" t="s">
        <v>27</v>
      </c>
      <c r="H38">
        <f t="shared" si="2"/>
        <v>5</v>
      </c>
      <c r="I38" t="str">
        <f t="shared" si="3"/>
        <v>High RIQ</v>
      </c>
      <c r="J38">
        <v>0</v>
      </c>
      <c r="K38">
        <v>0</v>
      </c>
    </row>
    <row r="39" spans="1:11">
      <c r="A39" s="1" t="s">
        <v>54</v>
      </c>
      <c r="B39">
        <v>5</v>
      </c>
      <c r="E39" t="s">
        <v>13</v>
      </c>
      <c r="F39" t="s">
        <v>14</v>
      </c>
      <c r="G39" t="s">
        <v>15</v>
      </c>
      <c r="H39">
        <f t="shared" si="2"/>
        <v>3</v>
      </c>
      <c r="I39" t="str">
        <f t="shared" si="3"/>
        <v>Moderate RIQ</v>
      </c>
      <c r="J39">
        <v>2</v>
      </c>
      <c r="K39">
        <v>0</v>
      </c>
    </row>
    <row r="40" ht="30" spans="1:11">
      <c r="A40" s="1" t="s">
        <v>55</v>
      </c>
      <c r="B40">
        <v>4</v>
      </c>
      <c r="E40" t="s">
        <v>14</v>
      </c>
      <c r="F40" t="s">
        <v>14</v>
      </c>
      <c r="G40" t="s">
        <v>27</v>
      </c>
      <c r="H40">
        <f t="shared" si="2"/>
        <v>5</v>
      </c>
      <c r="I40" t="str">
        <f t="shared" si="3"/>
        <v>High RIQ</v>
      </c>
      <c r="J40">
        <v>0</v>
      </c>
      <c r="K40">
        <v>0</v>
      </c>
    </row>
    <row r="41" spans="1:11">
      <c r="A41" s="1" t="s">
        <v>56</v>
      </c>
      <c r="B41">
        <v>5</v>
      </c>
      <c r="E41" t="s">
        <v>13</v>
      </c>
      <c r="F41" t="s">
        <v>13</v>
      </c>
      <c r="G41" t="s">
        <v>15</v>
      </c>
      <c r="H41">
        <f t="shared" si="2"/>
        <v>2</v>
      </c>
      <c r="I41" t="str">
        <f t="shared" si="3"/>
        <v>Moderate RIQ</v>
      </c>
      <c r="J41">
        <v>1</v>
      </c>
      <c r="K41">
        <v>0</v>
      </c>
    </row>
    <row r="42" ht="45" spans="1:11">
      <c r="A42" s="1" t="s">
        <v>57</v>
      </c>
      <c r="B42">
        <v>5</v>
      </c>
      <c r="E42" t="s">
        <v>13</v>
      </c>
      <c r="F42" t="s">
        <v>14</v>
      </c>
      <c r="G42" t="s">
        <v>15</v>
      </c>
      <c r="H42">
        <f t="shared" si="2"/>
        <v>3</v>
      </c>
      <c r="I42" t="str">
        <f t="shared" si="3"/>
        <v>Moderate RIQ</v>
      </c>
      <c r="J42">
        <v>2</v>
      </c>
      <c r="K42">
        <v>0</v>
      </c>
    </row>
    <row r="43" spans="1:11">
      <c r="A43" s="1" t="s">
        <v>58</v>
      </c>
      <c r="B43">
        <v>5</v>
      </c>
      <c r="E43" t="s">
        <v>13</v>
      </c>
      <c r="F43" t="s">
        <v>13</v>
      </c>
      <c r="G43" t="s">
        <v>15</v>
      </c>
      <c r="H43">
        <f t="shared" si="2"/>
        <v>2</v>
      </c>
      <c r="I43" t="str">
        <f t="shared" si="3"/>
        <v>Moderate RIQ</v>
      </c>
      <c r="J43">
        <v>0</v>
      </c>
      <c r="K43">
        <v>0</v>
      </c>
    </row>
    <row r="44" spans="1:11">
      <c r="A44" s="1" t="s">
        <v>59</v>
      </c>
      <c r="B44">
        <v>5</v>
      </c>
      <c r="E44" t="s">
        <v>13</v>
      </c>
      <c r="F44" t="s">
        <v>13</v>
      </c>
      <c r="G44" t="s">
        <v>15</v>
      </c>
      <c r="H44">
        <f t="shared" si="2"/>
        <v>2</v>
      </c>
      <c r="I44" t="str">
        <f t="shared" si="3"/>
        <v>Moderate RIQ</v>
      </c>
      <c r="J44">
        <v>0</v>
      </c>
      <c r="K44">
        <v>0</v>
      </c>
    </row>
    <row r="45" spans="1:11">
      <c r="A45" s="1" t="s">
        <v>60</v>
      </c>
      <c r="B45">
        <v>1</v>
      </c>
      <c r="E45" t="s">
        <v>13</v>
      </c>
      <c r="F45" t="s">
        <v>14</v>
      </c>
      <c r="G45" t="s">
        <v>15</v>
      </c>
      <c r="H45">
        <f t="shared" si="2"/>
        <v>3</v>
      </c>
      <c r="I45" t="str">
        <f t="shared" si="3"/>
        <v>Moderate RIQ</v>
      </c>
      <c r="J45">
        <v>0</v>
      </c>
      <c r="K45">
        <v>0</v>
      </c>
    </row>
    <row r="46" spans="1:11">
      <c r="A46" s="1" t="s">
        <v>61</v>
      </c>
      <c r="B46">
        <v>5</v>
      </c>
      <c r="E46" t="s">
        <v>13</v>
      </c>
      <c r="F46" t="s">
        <v>14</v>
      </c>
      <c r="G46" t="s">
        <v>15</v>
      </c>
      <c r="H46">
        <f t="shared" si="2"/>
        <v>3</v>
      </c>
      <c r="I46" t="str">
        <f t="shared" si="3"/>
        <v>Moderate RIQ</v>
      </c>
      <c r="J46">
        <v>2</v>
      </c>
      <c r="K46">
        <v>0</v>
      </c>
    </row>
    <row r="47" ht="45" spans="1:11">
      <c r="A47" s="1" t="s">
        <v>62</v>
      </c>
      <c r="B47">
        <v>5</v>
      </c>
      <c r="E47" t="s">
        <v>13</v>
      </c>
      <c r="F47" t="s">
        <v>14</v>
      </c>
      <c r="G47" t="s">
        <v>15</v>
      </c>
      <c r="H47">
        <f t="shared" si="2"/>
        <v>3</v>
      </c>
      <c r="I47" t="str">
        <f t="shared" si="3"/>
        <v>Moderate RIQ</v>
      </c>
      <c r="J47">
        <v>2</v>
      </c>
      <c r="K47">
        <v>0</v>
      </c>
    </row>
    <row r="48" ht="30" spans="1:11">
      <c r="A48" s="1" t="s">
        <v>63</v>
      </c>
      <c r="B48">
        <v>5</v>
      </c>
      <c r="E48" t="s">
        <v>13</v>
      </c>
      <c r="F48" t="s">
        <v>14</v>
      </c>
      <c r="G48" t="s">
        <v>15</v>
      </c>
      <c r="H48">
        <f t="shared" si="2"/>
        <v>3</v>
      </c>
      <c r="I48" t="str">
        <f t="shared" si="3"/>
        <v>Moderate RIQ</v>
      </c>
      <c r="J48">
        <v>2</v>
      </c>
      <c r="K48">
        <v>0</v>
      </c>
    </row>
    <row r="49" spans="1:11">
      <c r="A49" s="1" t="s">
        <v>64</v>
      </c>
      <c r="B49">
        <v>5</v>
      </c>
      <c r="E49" t="s">
        <v>13</v>
      </c>
      <c r="F49" t="s">
        <v>14</v>
      </c>
      <c r="G49" t="s">
        <v>15</v>
      </c>
      <c r="H49">
        <f t="shared" si="2"/>
        <v>3</v>
      </c>
      <c r="I49" t="str">
        <f t="shared" si="3"/>
        <v>Moderate RIQ</v>
      </c>
      <c r="J49">
        <v>2</v>
      </c>
      <c r="K49">
        <v>0</v>
      </c>
    </row>
    <row r="50" spans="1:11">
      <c r="A50" s="1" t="s">
        <v>65</v>
      </c>
      <c r="B50">
        <v>5</v>
      </c>
      <c r="E50" t="s">
        <v>29</v>
      </c>
      <c r="F50" t="s">
        <v>13</v>
      </c>
      <c r="G50" t="s">
        <v>15</v>
      </c>
      <c r="H50">
        <f t="shared" si="2"/>
        <v>1</v>
      </c>
      <c r="I50" t="str">
        <f t="shared" si="3"/>
        <v>Low RIQ</v>
      </c>
      <c r="J50">
        <v>0</v>
      </c>
      <c r="K50">
        <v>0</v>
      </c>
    </row>
    <row r="51" ht="30" spans="1:11">
      <c r="A51" s="1" t="s">
        <v>66</v>
      </c>
      <c r="B51">
        <v>5</v>
      </c>
      <c r="E51" t="s">
        <v>14</v>
      </c>
      <c r="F51" t="s">
        <v>14</v>
      </c>
      <c r="G51" t="s">
        <v>15</v>
      </c>
      <c r="H51">
        <f t="shared" si="2"/>
        <v>4</v>
      </c>
      <c r="I51" t="str">
        <f t="shared" si="3"/>
        <v>High RIQ</v>
      </c>
      <c r="J51">
        <v>0</v>
      </c>
      <c r="K51">
        <v>0</v>
      </c>
    </row>
    <row r="52" ht="30" spans="1:11">
      <c r="A52" s="1" t="s">
        <v>67</v>
      </c>
      <c r="B52">
        <v>5</v>
      </c>
      <c r="E52" t="s">
        <v>13</v>
      </c>
      <c r="F52" t="s">
        <v>13</v>
      </c>
      <c r="G52" t="s">
        <v>27</v>
      </c>
      <c r="H52">
        <f t="shared" si="2"/>
        <v>3</v>
      </c>
      <c r="I52" t="str">
        <f t="shared" si="3"/>
        <v>Moderate RIQ</v>
      </c>
      <c r="J52">
        <v>0</v>
      </c>
      <c r="K52">
        <v>0</v>
      </c>
    </row>
    <row r="53" spans="1:11">
      <c r="A53" s="1" t="s">
        <v>68</v>
      </c>
      <c r="B53">
        <v>5</v>
      </c>
      <c r="E53" t="s">
        <v>13</v>
      </c>
      <c r="F53" t="s">
        <v>13</v>
      </c>
      <c r="G53" t="s">
        <v>15</v>
      </c>
      <c r="H53">
        <f t="shared" si="2"/>
        <v>2</v>
      </c>
      <c r="I53" t="str">
        <f t="shared" si="3"/>
        <v>Moderate RIQ</v>
      </c>
      <c r="J53">
        <v>0</v>
      </c>
      <c r="K53">
        <v>1</v>
      </c>
    </row>
    <row r="54" spans="1:11">
      <c r="A54" s="1" t="s">
        <v>69</v>
      </c>
      <c r="B54">
        <v>5</v>
      </c>
      <c r="E54" t="s">
        <v>13</v>
      </c>
      <c r="F54" t="s">
        <v>14</v>
      </c>
      <c r="G54" t="s">
        <v>15</v>
      </c>
      <c r="H54">
        <f t="shared" si="2"/>
        <v>3</v>
      </c>
      <c r="I54" t="str">
        <f t="shared" si="3"/>
        <v>Moderate RIQ</v>
      </c>
      <c r="J54">
        <v>2</v>
      </c>
      <c r="K54">
        <v>0</v>
      </c>
    </row>
    <row r="55" spans="1:11">
      <c r="A55" s="1" t="s">
        <v>70</v>
      </c>
      <c r="B55">
        <v>5</v>
      </c>
      <c r="E55" t="s">
        <v>13</v>
      </c>
      <c r="F55" t="s">
        <v>14</v>
      </c>
      <c r="G55" t="s">
        <v>15</v>
      </c>
      <c r="H55">
        <f t="shared" si="2"/>
        <v>3</v>
      </c>
      <c r="I55" t="str">
        <f t="shared" si="3"/>
        <v>Moderate RIQ</v>
      </c>
      <c r="J55">
        <v>2</v>
      </c>
      <c r="K55">
        <v>0</v>
      </c>
    </row>
    <row r="56" spans="1:11">
      <c r="A56" s="1" t="s">
        <v>71</v>
      </c>
      <c r="B56">
        <v>5</v>
      </c>
      <c r="E56" t="s">
        <v>13</v>
      </c>
      <c r="F56" t="s">
        <v>13</v>
      </c>
      <c r="G56" t="s">
        <v>15</v>
      </c>
      <c r="H56">
        <f t="shared" si="2"/>
        <v>2</v>
      </c>
      <c r="I56" t="str">
        <f t="shared" si="3"/>
        <v>Moderate RIQ</v>
      </c>
      <c r="J56">
        <v>0</v>
      </c>
      <c r="K56">
        <v>1</v>
      </c>
    </row>
    <row r="57" spans="1:11">
      <c r="A57" s="1" t="s">
        <v>72</v>
      </c>
      <c r="B57">
        <v>5</v>
      </c>
      <c r="E57" t="s">
        <v>13</v>
      </c>
      <c r="F57" t="s">
        <v>13</v>
      </c>
      <c r="G57" t="s">
        <v>15</v>
      </c>
      <c r="H57">
        <f t="shared" si="2"/>
        <v>2</v>
      </c>
      <c r="I57" t="str">
        <f t="shared" si="3"/>
        <v>Moderate RIQ</v>
      </c>
      <c r="J57">
        <v>0</v>
      </c>
      <c r="K57">
        <v>0</v>
      </c>
    </row>
    <row r="58" spans="1:11">
      <c r="A58" s="1" t="s">
        <v>73</v>
      </c>
      <c r="B58">
        <v>5</v>
      </c>
      <c r="E58" t="s">
        <v>13</v>
      </c>
      <c r="F58" t="s">
        <v>14</v>
      </c>
      <c r="G58" t="s">
        <v>15</v>
      </c>
      <c r="H58">
        <f t="shared" si="2"/>
        <v>3</v>
      </c>
      <c r="I58" t="str">
        <f t="shared" si="3"/>
        <v>Moderate RIQ</v>
      </c>
      <c r="J58">
        <v>0</v>
      </c>
      <c r="K58">
        <v>0</v>
      </c>
    </row>
    <row r="59" spans="1:11">
      <c r="A59" s="1" t="s">
        <v>74</v>
      </c>
      <c r="B59">
        <v>5</v>
      </c>
      <c r="E59" t="s">
        <v>13</v>
      </c>
      <c r="F59" t="s">
        <v>13</v>
      </c>
      <c r="G59" t="s">
        <v>15</v>
      </c>
      <c r="H59">
        <f t="shared" si="2"/>
        <v>2</v>
      </c>
      <c r="I59" t="str">
        <f t="shared" si="3"/>
        <v>Moderate RIQ</v>
      </c>
      <c r="J59">
        <v>0</v>
      </c>
      <c r="K59">
        <v>0</v>
      </c>
    </row>
    <row r="60" ht="30" spans="1:11">
      <c r="A60" s="1" t="s">
        <v>75</v>
      </c>
      <c r="B60">
        <v>5</v>
      </c>
      <c r="E60" t="s">
        <v>13</v>
      </c>
      <c r="F60" t="s">
        <v>14</v>
      </c>
      <c r="G60" t="s">
        <v>15</v>
      </c>
      <c r="H60">
        <f t="shared" si="2"/>
        <v>3</v>
      </c>
      <c r="I60" t="str">
        <f t="shared" si="3"/>
        <v>Moderate RIQ</v>
      </c>
      <c r="J60">
        <v>2</v>
      </c>
      <c r="K60">
        <v>0</v>
      </c>
    </row>
    <row r="61" ht="30" spans="1:11">
      <c r="A61" s="1" t="s">
        <v>75</v>
      </c>
      <c r="B61">
        <v>5</v>
      </c>
      <c r="E61" t="s">
        <v>13</v>
      </c>
      <c r="F61" t="s">
        <v>14</v>
      </c>
      <c r="G61" t="s">
        <v>15</v>
      </c>
      <c r="H61">
        <f t="shared" si="2"/>
        <v>3</v>
      </c>
      <c r="I61" t="str">
        <f t="shared" si="3"/>
        <v>Moderate RIQ</v>
      </c>
      <c r="J61">
        <v>2</v>
      </c>
      <c r="K61">
        <v>0</v>
      </c>
    </row>
    <row r="62" ht="30" spans="1:11">
      <c r="A62" s="1" t="s">
        <v>76</v>
      </c>
      <c r="B62">
        <v>5</v>
      </c>
      <c r="E62" t="s">
        <v>29</v>
      </c>
      <c r="F62" t="s">
        <v>29</v>
      </c>
      <c r="G62" t="s">
        <v>15</v>
      </c>
      <c r="H62">
        <f t="shared" si="2"/>
        <v>0</v>
      </c>
      <c r="I62" t="str">
        <f t="shared" si="3"/>
        <v>Low RIQ</v>
      </c>
      <c r="J62">
        <v>0</v>
      </c>
      <c r="K62">
        <v>0</v>
      </c>
    </row>
    <row r="63" ht="30" spans="1:11">
      <c r="A63" s="1" t="s">
        <v>77</v>
      </c>
      <c r="B63">
        <v>5</v>
      </c>
      <c r="E63" t="s">
        <v>13</v>
      </c>
      <c r="F63" t="s">
        <v>14</v>
      </c>
      <c r="G63" t="s">
        <v>15</v>
      </c>
      <c r="H63">
        <f t="shared" si="2"/>
        <v>3</v>
      </c>
      <c r="I63" t="str">
        <f t="shared" si="3"/>
        <v>Moderate RIQ</v>
      </c>
      <c r="J63">
        <v>2</v>
      </c>
      <c r="K63">
        <v>0</v>
      </c>
    </row>
    <row r="64" spans="1:11">
      <c r="A64" s="1" t="s">
        <v>78</v>
      </c>
      <c r="B64">
        <v>5</v>
      </c>
      <c r="E64" t="s">
        <v>13</v>
      </c>
      <c r="F64" t="s">
        <v>13</v>
      </c>
      <c r="G64" t="s">
        <v>27</v>
      </c>
      <c r="H64">
        <f t="shared" si="2"/>
        <v>3</v>
      </c>
      <c r="I64" t="str">
        <f t="shared" si="3"/>
        <v>Moderate RIQ</v>
      </c>
      <c r="J64">
        <v>1</v>
      </c>
      <c r="K64">
        <v>0</v>
      </c>
    </row>
    <row r="65" spans="1:11">
      <c r="A65" s="1" t="s">
        <v>79</v>
      </c>
      <c r="B65">
        <v>5</v>
      </c>
      <c r="E65" t="s">
        <v>13</v>
      </c>
      <c r="F65" t="s">
        <v>14</v>
      </c>
      <c r="G65" t="s">
        <v>15</v>
      </c>
      <c r="H65">
        <f t="shared" si="2"/>
        <v>3</v>
      </c>
      <c r="I65" t="str">
        <f t="shared" si="3"/>
        <v>Moderate RIQ</v>
      </c>
      <c r="J65">
        <v>2</v>
      </c>
      <c r="K65">
        <v>0</v>
      </c>
    </row>
    <row r="66" spans="1:11">
      <c r="A66" s="1" t="s">
        <v>80</v>
      </c>
      <c r="B66">
        <v>5</v>
      </c>
      <c r="E66" t="s">
        <v>13</v>
      </c>
      <c r="F66" t="s">
        <v>14</v>
      </c>
      <c r="G66" t="s">
        <v>15</v>
      </c>
      <c r="H66">
        <f t="shared" si="2"/>
        <v>3</v>
      </c>
      <c r="I66" t="str">
        <f t="shared" si="3"/>
        <v>Moderate RIQ</v>
      </c>
      <c r="J66">
        <v>2</v>
      </c>
      <c r="K66">
        <v>0</v>
      </c>
    </row>
    <row r="67" spans="1:11">
      <c r="A67" s="1" t="s">
        <v>81</v>
      </c>
      <c r="B67">
        <v>5</v>
      </c>
      <c r="E67" t="s">
        <v>29</v>
      </c>
      <c r="F67" t="s">
        <v>14</v>
      </c>
      <c r="G67" t="s">
        <v>27</v>
      </c>
      <c r="H67">
        <f t="shared" ref="H67:H98" si="4">IF(E67="Low",0,IF(E67="Moderate",1,IF(E67="High",2)))+IF(F67="Low",0,IF(F67="Moderate",1,IF(F67="High",2)))+IF(G67="OS",0,IF(G67="TS",1))</f>
        <v>3</v>
      </c>
      <c r="I67" t="str">
        <f t="shared" ref="I67:I98" si="5">IF(H67&lt;=1,"Low RIQ",IF(H67&lt;=3,"Moderate RIQ","High RIQ"))</f>
        <v>Moderate RIQ</v>
      </c>
      <c r="J67">
        <v>0</v>
      </c>
      <c r="K67">
        <v>0</v>
      </c>
    </row>
    <row r="68" spans="1:11">
      <c r="A68" s="1" t="s">
        <v>82</v>
      </c>
      <c r="B68">
        <v>5</v>
      </c>
      <c r="E68" t="s">
        <v>13</v>
      </c>
      <c r="F68" t="s">
        <v>13</v>
      </c>
      <c r="G68" t="s">
        <v>15</v>
      </c>
      <c r="H68">
        <f t="shared" si="4"/>
        <v>2</v>
      </c>
      <c r="I68" t="str">
        <f t="shared" si="5"/>
        <v>Moderate RIQ</v>
      </c>
      <c r="J68">
        <v>0</v>
      </c>
      <c r="K68">
        <v>0</v>
      </c>
    </row>
    <row r="69" ht="30" spans="1:11">
      <c r="A69" s="1" t="s">
        <v>83</v>
      </c>
      <c r="B69">
        <v>5</v>
      </c>
      <c r="E69" t="s">
        <v>13</v>
      </c>
      <c r="F69" t="s">
        <v>14</v>
      </c>
      <c r="G69" t="s">
        <v>15</v>
      </c>
      <c r="H69">
        <f t="shared" si="4"/>
        <v>3</v>
      </c>
      <c r="I69" t="str">
        <f t="shared" si="5"/>
        <v>Moderate RIQ</v>
      </c>
      <c r="J69">
        <v>1</v>
      </c>
      <c r="K69">
        <v>0</v>
      </c>
    </row>
    <row r="70" spans="1:11">
      <c r="A70" s="1" t="s">
        <v>84</v>
      </c>
      <c r="B70">
        <v>5</v>
      </c>
      <c r="E70" t="s">
        <v>13</v>
      </c>
      <c r="F70" t="s">
        <v>14</v>
      </c>
      <c r="G70" t="s">
        <v>15</v>
      </c>
      <c r="H70">
        <f t="shared" si="4"/>
        <v>3</v>
      </c>
      <c r="I70" t="str">
        <f t="shared" si="5"/>
        <v>Moderate RIQ</v>
      </c>
      <c r="J70">
        <v>2</v>
      </c>
      <c r="K70">
        <v>0</v>
      </c>
    </row>
    <row r="71" ht="30" spans="1:11">
      <c r="A71" s="1" t="s">
        <v>85</v>
      </c>
      <c r="B71">
        <v>5</v>
      </c>
      <c r="E71" t="s">
        <v>13</v>
      </c>
      <c r="F71" t="s">
        <v>14</v>
      </c>
      <c r="G71" t="s">
        <v>27</v>
      </c>
      <c r="H71">
        <f t="shared" si="4"/>
        <v>4</v>
      </c>
      <c r="I71" t="str">
        <f t="shared" si="5"/>
        <v>High RIQ</v>
      </c>
      <c r="J71">
        <v>2</v>
      </c>
      <c r="K71">
        <v>0</v>
      </c>
    </row>
    <row r="72" ht="30" spans="1:11">
      <c r="A72" s="1" t="s">
        <v>86</v>
      </c>
      <c r="B72">
        <v>5</v>
      </c>
      <c r="E72" t="s">
        <v>13</v>
      </c>
      <c r="F72" t="s">
        <v>14</v>
      </c>
      <c r="G72" t="s">
        <v>15</v>
      </c>
      <c r="H72">
        <f t="shared" si="4"/>
        <v>3</v>
      </c>
      <c r="I72" t="str">
        <f t="shared" si="5"/>
        <v>Moderate RIQ</v>
      </c>
      <c r="J72">
        <v>1</v>
      </c>
      <c r="K72">
        <v>1</v>
      </c>
    </row>
    <row r="73" spans="1:11">
      <c r="A73" s="1" t="s">
        <v>87</v>
      </c>
      <c r="B73">
        <v>5</v>
      </c>
      <c r="E73" t="s">
        <v>13</v>
      </c>
      <c r="F73" t="s">
        <v>14</v>
      </c>
      <c r="G73" t="s">
        <v>15</v>
      </c>
      <c r="H73">
        <f t="shared" si="4"/>
        <v>3</v>
      </c>
      <c r="I73" t="str">
        <f t="shared" si="5"/>
        <v>Moderate RIQ</v>
      </c>
      <c r="J73">
        <v>2</v>
      </c>
      <c r="K73">
        <v>0</v>
      </c>
    </row>
    <row r="74" spans="1:11">
      <c r="A74" s="1" t="s">
        <v>88</v>
      </c>
      <c r="B74">
        <v>5</v>
      </c>
      <c r="E74" t="s">
        <v>14</v>
      </c>
      <c r="F74" t="s">
        <v>14</v>
      </c>
      <c r="G74" t="s">
        <v>15</v>
      </c>
      <c r="H74">
        <f t="shared" si="4"/>
        <v>4</v>
      </c>
      <c r="I74" t="str">
        <f t="shared" si="5"/>
        <v>High RIQ</v>
      </c>
      <c r="J74">
        <v>0</v>
      </c>
      <c r="K74">
        <v>0</v>
      </c>
    </row>
    <row r="75" spans="1:11">
      <c r="A75" s="1" t="s">
        <v>89</v>
      </c>
      <c r="B75">
        <v>5</v>
      </c>
      <c r="E75" t="s">
        <v>14</v>
      </c>
      <c r="F75" t="s">
        <v>14</v>
      </c>
      <c r="G75" t="s">
        <v>15</v>
      </c>
      <c r="H75">
        <f t="shared" si="4"/>
        <v>4</v>
      </c>
      <c r="I75" t="str">
        <f t="shared" si="5"/>
        <v>High RIQ</v>
      </c>
      <c r="J75">
        <v>0</v>
      </c>
      <c r="K75">
        <v>0</v>
      </c>
    </row>
    <row r="76" spans="1:11">
      <c r="A76" s="1" t="s">
        <v>90</v>
      </c>
      <c r="B76">
        <v>5</v>
      </c>
      <c r="E76" t="s">
        <v>13</v>
      </c>
      <c r="F76" t="s">
        <v>14</v>
      </c>
      <c r="G76" t="s">
        <v>15</v>
      </c>
      <c r="H76">
        <f t="shared" si="4"/>
        <v>3</v>
      </c>
      <c r="I76" t="str">
        <f t="shared" si="5"/>
        <v>Moderate RIQ</v>
      </c>
      <c r="J76">
        <v>2</v>
      </c>
      <c r="K76">
        <v>0</v>
      </c>
    </row>
    <row r="77" spans="1:11">
      <c r="A77" s="1" t="s">
        <v>91</v>
      </c>
      <c r="B77">
        <v>5</v>
      </c>
      <c r="E77" t="s">
        <v>13</v>
      </c>
      <c r="F77" t="s">
        <v>13</v>
      </c>
      <c r="G77" t="s">
        <v>15</v>
      </c>
      <c r="H77">
        <f t="shared" si="4"/>
        <v>2</v>
      </c>
      <c r="I77" t="str">
        <f t="shared" si="5"/>
        <v>Moderate RIQ</v>
      </c>
      <c r="J77">
        <v>0</v>
      </c>
      <c r="K77">
        <v>1</v>
      </c>
    </row>
    <row r="78" ht="30" spans="1:11">
      <c r="A78" s="1" t="s">
        <v>92</v>
      </c>
      <c r="B78">
        <v>5</v>
      </c>
      <c r="E78" t="s">
        <v>13</v>
      </c>
      <c r="F78" t="s">
        <v>14</v>
      </c>
      <c r="G78" t="s">
        <v>15</v>
      </c>
      <c r="H78">
        <f t="shared" si="4"/>
        <v>3</v>
      </c>
      <c r="I78" t="str">
        <f t="shared" si="5"/>
        <v>Moderate RIQ</v>
      </c>
      <c r="J78">
        <v>2</v>
      </c>
      <c r="K78">
        <v>0</v>
      </c>
    </row>
    <row r="79" spans="1:11">
      <c r="A79" s="1" t="s">
        <v>93</v>
      </c>
      <c r="B79">
        <v>5</v>
      </c>
      <c r="E79" t="s">
        <v>13</v>
      </c>
      <c r="F79" t="s">
        <v>14</v>
      </c>
      <c r="G79" t="s">
        <v>15</v>
      </c>
      <c r="H79">
        <f t="shared" si="4"/>
        <v>3</v>
      </c>
      <c r="I79" t="str">
        <f t="shared" si="5"/>
        <v>Moderate RIQ</v>
      </c>
      <c r="J79">
        <v>2</v>
      </c>
      <c r="K79">
        <v>0</v>
      </c>
    </row>
    <row r="80" ht="30" spans="1:11">
      <c r="A80" s="1" t="s">
        <v>94</v>
      </c>
      <c r="B80">
        <v>5</v>
      </c>
      <c r="E80" t="s">
        <v>13</v>
      </c>
      <c r="F80" t="s">
        <v>14</v>
      </c>
      <c r="G80" t="s">
        <v>15</v>
      </c>
      <c r="H80">
        <f t="shared" si="4"/>
        <v>3</v>
      </c>
      <c r="I80" t="str">
        <f t="shared" si="5"/>
        <v>Moderate RIQ</v>
      </c>
      <c r="J80">
        <v>2</v>
      </c>
      <c r="K80">
        <v>0</v>
      </c>
    </row>
    <row r="81" spans="1:11">
      <c r="A81" s="1" t="s">
        <v>80</v>
      </c>
      <c r="B81">
        <v>5</v>
      </c>
      <c r="E81" t="s">
        <v>13</v>
      </c>
      <c r="F81" t="s">
        <v>14</v>
      </c>
      <c r="G81" t="s">
        <v>15</v>
      </c>
      <c r="H81">
        <f t="shared" si="4"/>
        <v>3</v>
      </c>
      <c r="I81" t="str">
        <f t="shared" si="5"/>
        <v>Moderate RIQ</v>
      </c>
      <c r="J81">
        <v>2</v>
      </c>
      <c r="K81">
        <v>0</v>
      </c>
    </row>
    <row r="82" spans="1:11">
      <c r="A82" s="1" t="s">
        <v>95</v>
      </c>
      <c r="B82">
        <v>5</v>
      </c>
      <c r="E82" t="s">
        <v>29</v>
      </c>
      <c r="F82" t="s">
        <v>29</v>
      </c>
      <c r="G82" t="s">
        <v>15</v>
      </c>
      <c r="H82">
        <f t="shared" si="4"/>
        <v>0</v>
      </c>
      <c r="I82" t="str">
        <f t="shared" si="5"/>
        <v>Low RIQ</v>
      </c>
      <c r="J82">
        <v>0</v>
      </c>
      <c r="K82">
        <v>0</v>
      </c>
    </row>
    <row r="83" spans="1:11">
      <c r="A83" s="1" t="s">
        <v>96</v>
      </c>
      <c r="B83">
        <v>5</v>
      </c>
      <c r="E83" t="s">
        <v>13</v>
      </c>
      <c r="F83" t="s">
        <v>14</v>
      </c>
      <c r="G83" t="s">
        <v>15</v>
      </c>
      <c r="H83">
        <f t="shared" si="4"/>
        <v>3</v>
      </c>
      <c r="I83" t="str">
        <f t="shared" si="5"/>
        <v>Moderate RIQ</v>
      </c>
      <c r="J83">
        <v>2</v>
      </c>
      <c r="K83">
        <v>0</v>
      </c>
    </row>
    <row r="84" spans="1:11">
      <c r="A84" s="1" t="s">
        <v>97</v>
      </c>
      <c r="B84">
        <v>5</v>
      </c>
      <c r="E84" t="s">
        <v>13</v>
      </c>
      <c r="F84" t="s">
        <v>14</v>
      </c>
      <c r="G84" t="s">
        <v>15</v>
      </c>
      <c r="H84">
        <f t="shared" si="4"/>
        <v>3</v>
      </c>
      <c r="I84" t="str">
        <f t="shared" si="5"/>
        <v>Moderate RIQ</v>
      </c>
      <c r="J84">
        <v>0</v>
      </c>
      <c r="K84">
        <v>0</v>
      </c>
    </row>
    <row r="85" spans="1:11">
      <c r="A85" s="1" t="s">
        <v>98</v>
      </c>
      <c r="B85">
        <v>5</v>
      </c>
      <c r="E85" t="s">
        <v>13</v>
      </c>
      <c r="F85" t="s">
        <v>14</v>
      </c>
      <c r="G85" t="s">
        <v>15</v>
      </c>
      <c r="H85">
        <f t="shared" si="4"/>
        <v>3</v>
      </c>
      <c r="I85" t="str">
        <f t="shared" si="5"/>
        <v>Moderate RIQ</v>
      </c>
      <c r="J85">
        <v>0</v>
      </c>
      <c r="K85">
        <v>0</v>
      </c>
    </row>
    <row r="86" spans="1:11">
      <c r="A86" s="1" t="s">
        <v>99</v>
      </c>
      <c r="B86">
        <v>5</v>
      </c>
      <c r="E86" t="s">
        <v>13</v>
      </c>
      <c r="F86" t="s">
        <v>14</v>
      </c>
      <c r="G86" t="s">
        <v>15</v>
      </c>
      <c r="H86">
        <f t="shared" si="4"/>
        <v>3</v>
      </c>
      <c r="I86" t="str">
        <f t="shared" si="5"/>
        <v>Moderate RIQ</v>
      </c>
      <c r="J86">
        <v>0</v>
      </c>
      <c r="K86">
        <v>0</v>
      </c>
    </row>
    <row r="87" spans="1:11">
      <c r="A87" s="1" t="s">
        <v>100</v>
      </c>
      <c r="B87">
        <v>5</v>
      </c>
      <c r="E87" t="s">
        <v>13</v>
      </c>
      <c r="F87" t="s">
        <v>14</v>
      </c>
      <c r="G87" t="s">
        <v>15</v>
      </c>
      <c r="H87">
        <f t="shared" si="4"/>
        <v>3</v>
      </c>
      <c r="I87" t="str">
        <f t="shared" si="5"/>
        <v>Moderate RIQ</v>
      </c>
      <c r="J87">
        <v>0</v>
      </c>
      <c r="K87">
        <v>0</v>
      </c>
    </row>
    <row r="88" spans="1:11">
      <c r="A88" s="1" t="s">
        <v>101</v>
      </c>
      <c r="B88">
        <v>5</v>
      </c>
      <c r="E88" t="s">
        <v>13</v>
      </c>
      <c r="F88" t="s">
        <v>14</v>
      </c>
      <c r="G88" t="s">
        <v>15</v>
      </c>
      <c r="H88">
        <f t="shared" si="4"/>
        <v>3</v>
      </c>
      <c r="I88" t="str">
        <f t="shared" si="5"/>
        <v>Moderate RIQ</v>
      </c>
      <c r="J88">
        <v>2</v>
      </c>
      <c r="K88">
        <v>0</v>
      </c>
    </row>
    <row r="89" spans="1:11">
      <c r="A89" s="1" t="s">
        <v>49</v>
      </c>
      <c r="B89">
        <v>5</v>
      </c>
      <c r="E89" t="s">
        <v>13</v>
      </c>
      <c r="F89" t="s">
        <v>14</v>
      </c>
      <c r="G89" t="s">
        <v>15</v>
      </c>
      <c r="H89">
        <f t="shared" si="4"/>
        <v>3</v>
      </c>
      <c r="I89" t="str">
        <f t="shared" si="5"/>
        <v>Moderate RIQ</v>
      </c>
      <c r="J89">
        <v>2</v>
      </c>
      <c r="K89">
        <v>0</v>
      </c>
    </row>
    <row r="90" spans="1:11">
      <c r="A90" s="1" t="s">
        <v>102</v>
      </c>
      <c r="B90">
        <v>5</v>
      </c>
      <c r="E90" t="s">
        <v>13</v>
      </c>
      <c r="F90" t="s">
        <v>14</v>
      </c>
      <c r="G90" t="s">
        <v>15</v>
      </c>
      <c r="H90">
        <f t="shared" si="4"/>
        <v>3</v>
      </c>
      <c r="I90" t="str">
        <f t="shared" si="5"/>
        <v>Moderate RIQ</v>
      </c>
      <c r="J90">
        <v>2</v>
      </c>
      <c r="K90">
        <v>0</v>
      </c>
    </row>
    <row r="91" ht="30" spans="1:11">
      <c r="A91" s="1" t="s">
        <v>103</v>
      </c>
      <c r="B91">
        <v>5</v>
      </c>
      <c r="E91" t="s">
        <v>14</v>
      </c>
      <c r="F91" t="s">
        <v>14</v>
      </c>
      <c r="G91" t="s">
        <v>15</v>
      </c>
      <c r="H91">
        <f t="shared" si="4"/>
        <v>4</v>
      </c>
      <c r="I91" t="str">
        <f t="shared" si="5"/>
        <v>High RIQ</v>
      </c>
      <c r="J91">
        <v>0</v>
      </c>
      <c r="K91">
        <v>0</v>
      </c>
    </row>
    <row r="92" spans="1:11">
      <c r="A92" s="1" t="s">
        <v>104</v>
      </c>
      <c r="B92">
        <v>5</v>
      </c>
      <c r="E92" t="s">
        <v>13</v>
      </c>
      <c r="F92" t="s">
        <v>14</v>
      </c>
      <c r="G92" t="s">
        <v>15</v>
      </c>
      <c r="H92">
        <f t="shared" si="4"/>
        <v>3</v>
      </c>
      <c r="I92" t="str">
        <f t="shared" si="5"/>
        <v>Moderate RIQ</v>
      </c>
      <c r="J92">
        <v>0</v>
      </c>
      <c r="K92">
        <v>0</v>
      </c>
    </row>
    <row r="93" spans="1:11">
      <c r="A93" s="1" t="s">
        <v>105</v>
      </c>
      <c r="B93">
        <v>5</v>
      </c>
      <c r="E93" t="s">
        <v>29</v>
      </c>
      <c r="F93" t="s">
        <v>13</v>
      </c>
      <c r="G93" t="s">
        <v>15</v>
      </c>
      <c r="H93">
        <f t="shared" si="4"/>
        <v>1</v>
      </c>
      <c r="I93" t="str">
        <f t="shared" si="5"/>
        <v>Low RIQ</v>
      </c>
      <c r="J93">
        <v>0</v>
      </c>
      <c r="K93">
        <v>0</v>
      </c>
    </row>
    <row r="94" spans="1:11">
      <c r="A94" s="1" t="s">
        <v>106</v>
      </c>
      <c r="B94">
        <v>5</v>
      </c>
      <c r="E94" t="s">
        <v>13</v>
      </c>
      <c r="F94" t="s">
        <v>14</v>
      </c>
      <c r="G94" t="s">
        <v>15</v>
      </c>
      <c r="H94">
        <f t="shared" si="4"/>
        <v>3</v>
      </c>
      <c r="I94" t="str">
        <f t="shared" si="5"/>
        <v>Moderate RIQ</v>
      </c>
      <c r="J94">
        <v>0</v>
      </c>
      <c r="K94">
        <v>0</v>
      </c>
    </row>
    <row r="95" spans="1:11">
      <c r="A95" s="1" t="s">
        <v>107</v>
      </c>
      <c r="B95">
        <v>5</v>
      </c>
      <c r="G95" t="s">
        <v>15</v>
      </c>
      <c r="H95">
        <f t="shared" si="4"/>
        <v>0</v>
      </c>
      <c r="I95" t="str">
        <f t="shared" si="5"/>
        <v>Low RIQ</v>
      </c>
      <c r="J95">
        <v>0</v>
      </c>
      <c r="K95">
        <v>0</v>
      </c>
    </row>
    <row r="96" spans="1:11">
      <c r="A96" s="1" t="s">
        <v>36</v>
      </c>
      <c r="B96">
        <v>5</v>
      </c>
      <c r="E96" t="s">
        <v>13</v>
      </c>
      <c r="F96" t="s">
        <v>14</v>
      </c>
      <c r="G96" t="s">
        <v>15</v>
      </c>
      <c r="H96">
        <f t="shared" si="4"/>
        <v>3</v>
      </c>
      <c r="I96" t="str">
        <f t="shared" si="5"/>
        <v>Moderate RIQ</v>
      </c>
      <c r="J96">
        <v>2</v>
      </c>
      <c r="K96">
        <v>0</v>
      </c>
    </row>
    <row r="97" spans="1:11">
      <c r="A97" s="1" t="s">
        <v>108</v>
      </c>
      <c r="B97">
        <v>5</v>
      </c>
      <c r="E97" t="s">
        <v>13</v>
      </c>
      <c r="F97" t="s">
        <v>14</v>
      </c>
      <c r="G97" t="s">
        <v>15</v>
      </c>
      <c r="H97">
        <f t="shared" si="4"/>
        <v>3</v>
      </c>
      <c r="I97" t="str">
        <f t="shared" si="5"/>
        <v>Moderate RIQ</v>
      </c>
      <c r="J97">
        <v>2</v>
      </c>
      <c r="K97">
        <v>0</v>
      </c>
    </row>
    <row r="98" spans="1:11">
      <c r="A98" s="1" t="s">
        <v>109</v>
      </c>
      <c r="B98">
        <v>5</v>
      </c>
      <c r="E98" t="s">
        <v>13</v>
      </c>
      <c r="F98" t="s">
        <v>14</v>
      </c>
      <c r="G98" t="s">
        <v>15</v>
      </c>
      <c r="H98">
        <f t="shared" si="4"/>
        <v>3</v>
      </c>
      <c r="I98" t="str">
        <f t="shared" si="5"/>
        <v>Moderate RIQ</v>
      </c>
      <c r="J98">
        <v>2</v>
      </c>
      <c r="K98">
        <v>0</v>
      </c>
    </row>
    <row r="99" spans="1:11">
      <c r="A99" s="1" t="s">
        <v>110</v>
      </c>
      <c r="B99">
        <v>5</v>
      </c>
      <c r="E99" t="s">
        <v>13</v>
      </c>
      <c r="F99" t="s">
        <v>13</v>
      </c>
      <c r="G99" t="s">
        <v>15</v>
      </c>
      <c r="H99">
        <f t="shared" ref="H99:H130" si="6">IF(E99="Low",0,IF(E99="Moderate",1,IF(E99="High",2)))+IF(F99="Low",0,IF(F99="Moderate",1,IF(F99="High",2)))+IF(G99="OS",0,IF(G99="TS",1))</f>
        <v>2</v>
      </c>
      <c r="I99" t="str">
        <f t="shared" ref="I99:I130" si="7">IF(H99&lt;=1,"Low RIQ",IF(H99&lt;=3,"Moderate RIQ","High RIQ"))</f>
        <v>Moderate RIQ</v>
      </c>
      <c r="J99">
        <v>0</v>
      </c>
      <c r="K99">
        <v>0</v>
      </c>
    </row>
    <row r="100" ht="45" spans="1:11">
      <c r="A100" s="1" t="s">
        <v>111</v>
      </c>
      <c r="B100">
        <v>2</v>
      </c>
      <c r="E100" t="s">
        <v>14</v>
      </c>
      <c r="F100" t="s">
        <v>14</v>
      </c>
      <c r="G100" t="s">
        <v>27</v>
      </c>
      <c r="H100">
        <f t="shared" si="6"/>
        <v>5</v>
      </c>
      <c r="I100" t="str">
        <f t="shared" si="7"/>
        <v>High RIQ</v>
      </c>
      <c r="J100">
        <v>0</v>
      </c>
      <c r="K100">
        <v>0</v>
      </c>
    </row>
    <row r="101" spans="1:11">
      <c r="A101" s="1" t="s">
        <v>112</v>
      </c>
      <c r="B101">
        <v>5</v>
      </c>
      <c r="E101" t="s">
        <v>13</v>
      </c>
      <c r="F101" t="s">
        <v>14</v>
      </c>
      <c r="G101" t="s">
        <v>15</v>
      </c>
      <c r="H101">
        <f t="shared" si="6"/>
        <v>3</v>
      </c>
      <c r="I101" t="str">
        <f t="shared" si="7"/>
        <v>Moderate RIQ</v>
      </c>
      <c r="J101">
        <v>2</v>
      </c>
      <c r="K101">
        <v>0</v>
      </c>
    </row>
    <row r="102" ht="30" spans="1:11">
      <c r="A102" s="1" t="s">
        <v>113</v>
      </c>
      <c r="B102">
        <v>5</v>
      </c>
      <c r="E102" t="s">
        <v>13</v>
      </c>
      <c r="F102" t="s">
        <v>14</v>
      </c>
      <c r="G102" t="s">
        <v>15</v>
      </c>
      <c r="H102">
        <f t="shared" si="6"/>
        <v>3</v>
      </c>
      <c r="I102" t="str">
        <f t="shared" si="7"/>
        <v>Moderate RIQ</v>
      </c>
      <c r="J102">
        <v>2</v>
      </c>
      <c r="K102">
        <v>0</v>
      </c>
    </row>
    <row r="103" spans="1:11">
      <c r="A103" s="1" t="s">
        <v>114</v>
      </c>
      <c r="B103">
        <v>5</v>
      </c>
      <c r="E103" t="s">
        <v>13</v>
      </c>
      <c r="F103" t="s">
        <v>14</v>
      </c>
      <c r="G103" t="s">
        <v>15</v>
      </c>
      <c r="H103">
        <f t="shared" si="6"/>
        <v>3</v>
      </c>
      <c r="I103" t="str">
        <f t="shared" si="7"/>
        <v>Moderate RIQ</v>
      </c>
      <c r="J103">
        <v>0</v>
      </c>
      <c r="K103">
        <v>0</v>
      </c>
    </row>
    <row r="104" spans="1:11">
      <c r="A104" s="1" t="s">
        <v>115</v>
      </c>
      <c r="B104">
        <v>5</v>
      </c>
      <c r="E104" t="s">
        <v>29</v>
      </c>
      <c r="F104" t="s">
        <v>29</v>
      </c>
      <c r="G104" t="s">
        <v>15</v>
      </c>
      <c r="H104">
        <f t="shared" si="6"/>
        <v>0</v>
      </c>
      <c r="I104" t="str">
        <f t="shared" si="7"/>
        <v>Low RIQ</v>
      </c>
      <c r="J104">
        <v>0</v>
      </c>
      <c r="K104">
        <v>0</v>
      </c>
    </row>
    <row r="105" spans="1:11">
      <c r="A105" s="1" t="s">
        <v>116</v>
      </c>
      <c r="B105">
        <v>5</v>
      </c>
      <c r="E105" t="s">
        <v>13</v>
      </c>
      <c r="F105" t="s">
        <v>14</v>
      </c>
      <c r="G105" t="s">
        <v>15</v>
      </c>
      <c r="H105">
        <f t="shared" si="6"/>
        <v>3</v>
      </c>
      <c r="I105" t="str">
        <f t="shared" si="7"/>
        <v>Moderate RIQ</v>
      </c>
      <c r="J105">
        <v>0</v>
      </c>
      <c r="K105">
        <v>0</v>
      </c>
    </row>
    <row r="106" spans="1:11">
      <c r="A106" s="1" t="s">
        <v>36</v>
      </c>
      <c r="B106">
        <v>5</v>
      </c>
      <c r="E106" t="s">
        <v>13</v>
      </c>
      <c r="F106" t="s">
        <v>14</v>
      </c>
      <c r="G106" t="s">
        <v>15</v>
      </c>
      <c r="H106">
        <f t="shared" si="6"/>
        <v>3</v>
      </c>
      <c r="I106" t="str">
        <f t="shared" si="7"/>
        <v>Moderate RIQ</v>
      </c>
      <c r="J106">
        <v>2</v>
      </c>
      <c r="K106">
        <v>0</v>
      </c>
    </row>
    <row r="107" spans="1:11">
      <c r="A107" s="1" t="s">
        <v>61</v>
      </c>
      <c r="B107">
        <v>5</v>
      </c>
      <c r="E107" t="s">
        <v>13</v>
      </c>
      <c r="F107" t="s">
        <v>14</v>
      </c>
      <c r="G107" t="s">
        <v>15</v>
      </c>
      <c r="H107">
        <f t="shared" si="6"/>
        <v>3</v>
      </c>
      <c r="I107" t="str">
        <f t="shared" si="7"/>
        <v>Moderate RIQ</v>
      </c>
      <c r="J107">
        <v>2</v>
      </c>
      <c r="K107">
        <v>0</v>
      </c>
    </row>
    <row r="108" ht="30" spans="1:11">
      <c r="A108" s="1" t="s">
        <v>117</v>
      </c>
      <c r="B108">
        <v>5</v>
      </c>
      <c r="E108" t="s">
        <v>14</v>
      </c>
      <c r="F108" t="s">
        <v>14</v>
      </c>
      <c r="G108" t="s">
        <v>27</v>
      </c>
      <c r="H108">
        <f t="shared" si="6"/>
        <v>5</v>
      </c>
      <c r="I108" t="str">
        <f t="shared" si="7"/>
        <v>High RIQ</v>
      </c>
      <c r="J108">
        <v>0</v>
      </c>
      <c r="K108">
        <v>0</v>
      </c>
    </row>
    <row r="109" spans="1:11">
      <c r="A109" s="1" t="s">
        <v>118</v>
      </c>
      <c r="B109">
        <v>5</v>
      </c>
      <c r="E109" t="s">
        <v>13</v>
      </c>
      <c r="F109" t="s">
        <v>14</v>
      </c>
      <c r="G109" t="s">
        <v>15</v>
      </c>
      <c r="H109">
        <f t="shared" si="6"/>
        <v>3</v>
      </c>
      <c r="I109" t="str">
        <f t="shared" si="7"/>
        <v>Moderate RIQ</v>
      </c>
      <c r="J109">
        <v>2</v>
      </c>
      <c r="K109">
        <v>0</v>
      </c>
    </row>
    <row r="110" spans="1:11">
      <c r="A110" s="1" t="s">
        <v>119</v>
      </c>
      <c r="B110">
        <v>5</v>
      </c>
      <c r="E110" t="s">
        <v>13</v>
      </c>
      <c r="F110" t="s">
        <v>14</v>
      </c>
      <c r="G110" t="s">
        <v>15</v>
      </c>
      <c r="H110">
        <f t="shared" si="6"/>
        <v>3</v>
      </c>
      <c r="I110" t="str">
        <f t="shared" si="7"/>
        <v>Moderate RIQ</v>
      </c>
      <c r="J110">
        <v>2</v>
      </c>
      <c r="K110">
        <v>0</v>
      </c>
    </row>
    <row r="111" spans="1:11">
      <c r="A111" s="1" t="s">
        <v>120</v>
      </c>
      <c r="B111">
        <v>5</v>
      </c>
      <c r="E111" t="s">
        <v>13</v>
      </c>
      <c r="F111" t="s">
        <v>14</v>
      </c>
      <c r="G111" t="s">
        <v>15</v>
      </c>
      <c r="H111">
        <f t="shared" si="6"/>
        <v>3</v>
      </c>
      <c r="I111" t="str">
        <f t="shared" si="7"/>
        <v>Moderate RIQ</v>
      </c>
      <c r="J111">
        <v>2</v>
      </c>
      <c r="K111">
        <v>0</v>
      </c>
    </row>
    <row r="112" spans="1:11">
      <c r="A112" s="1" t="s">
        <v>121</v>
      </c>
      <c r="B112">
        <v>1</v>
      </c>
      <c r="G112" t="s">
        <v>15</v>
      </c>
      <c r="H112">
        <f t="shared" si="6"/>
        <v>0</v>
      </c>
      <c r="I112" t="str">
        <f t="shared" si="7"/>
        <v>Low RIQ</v>
      </c>
      <c r="J112">
        <v>0</v>
      </c>
      <c r="K112">
        <v>0</v>
      </c>
    </row>
    <row r="113" spans="1:11">
      <c r="A113" s="1" t="s">
        <v>122</v>
      </c>
      <c r="B113">
        <v>5</v>
      </c>
      <c r="E113" t="s">
        <v>13</v>
      </c>
      <c r="F113" t="s">
        <v>14</v>
      </c>
      <c r="G113" t="s">
        <v>15</v>
      </c>
      <c r="H113">
        <f t="shared" si="6"/>
        <v>3</v>
      </c>
      <c r="I113" t="str">
        <f t="shared" si="7"/>
        <v>Moderate RIQ</v>
      </c>
      <c r="J113">
        <v>2</v>
      </c>
      <c r="K113">
        <v>0</v>
      </c>
    </row>
    <row r="114" ht="30" spans="1:11">
      <c r="A114" s="1" t="s">
        <v>123</v>
      </c>
      <c r="B114">
        <v>1</v>
      </c>
      <c r="E114" t="s">
        <v>14</v>
      </c>
      <c r="F114" t="s">
        <v>29</v>
      </c>
      <c r="G114" t="s">
        <v>27</v>
      </c>
      <c r="H114">
        <f t="shared" si="6"/>
        <v>3</v>
      </c>
      <c r="I114" t="str">
        <f t="shared" si="7"/>
        <v>Moderate RIQ</v>
      </c>
      <c r="J114">
        <v>0</v>
      </c>
      <c r="K114">
        <v>0</v>
      </c>
    </row>
    <row r="115" spans="1:11">
      <c r="A115" s="1" t="s">
        <v>124</v>
      </c>
      <c r="B115">
        <v>4</v>
      </c>
      <c r="E115" t="s">
        <v>29</v>
      </c>
      <c r="F115" t="s">
        <v>29</v>
      </c>
      <c r="G115" t="s">
        <v>15</v>
      </c>
      <c r="H115">
        <f t="shared" si="6"/>
        <v>0</v>
      </c>
      <c r="I115" t="str">
        <f t="shared" si="7"/>
        <v>Low RIQ</v>
      </c>
      <c r="J115">
        <v>0</v>
      </c>
      <c r="K115">
        <v>0</v>
      </c>
    </row>
    <row r="116" spans="1:11">
      <c r="A116" s="1" t="s">
        <v>125</v>
      </c>
      <c r="B116">
        <v>5</v>
      </c>
      <c r="E116" t="s">
        <v>29</v>
      </c>
      <c r="F116" t="s">
        <v>29</v>
      </c>
      <c r="G116" t="s">
        <v>15</v>
      </c>
      <c r="H116">
        <f t="shared" si="6"/>
        <v>0</v>
      </c>
      <c r="I116" t="str">
        <f t="shared" si="7"/>
        <v>Low RIQ</v>
      </c>
      <c r="J116">
        <v>0</v>
      </c>
      <c r="K116">
        <v>0</v>
      </c>
    </row>
    <row r="117" spans="1:11">
      <c r="A117" s="1" t="s">
        <v>126</v>
      </c>
      <c r="B117">
        <v>5</v>
      </c>
      <c r="E117" t="s">
        <v>13</v>
      </c>
      <c r="F117" t="s">
        <v>14</v>
      </c>
      <c r="G117" t="s">
        <v>15</v>
      </c>
      <c r="H117">
        <f t="shared" si="6"/>
        <v>3</v>
      </c>
      <c r="I117" t="str">
        <f t="shared" si="7"/>
        <v>Moderate RIQ</v>
      </c>
      <c r="J117">
        <v>2</v>
      </c>
      <c r="K117">
        <v>0</v>
      </c>
    </row>
    <row r="118" spans="1:11">
      <c r="A118" s="1" t="s">
        <v>127</v>
      </c>
      <c r="B118">
        <v>5</v>
      </c>
      <c r="E118" t="s">
        <v>13</v>
      </c>
      <c r="F118" t="s">
        <v>14</v>
      </c>
      <c r="G118" t="s">
        <v>15</v>
      </c>
      <c r="H118">
        <f t="shared" si="6"/>
        <v>3</v>
      </c>
      <c r="I118" t="str">
        <f t="shared" si="7"/>
        <v>Moderate RIQ</v>
      </c>
      <c r="J118">
        <v>2</v>
      </c>
      <c r="K118">
        <v>0</v>
      </c>
    </row>
    <row r="119" spans="1:11">
      <c r="A119" s="1" t="s">
        <v>128</v>
      </c>
      <c r="B119">
        <v>5</v>
      </c>
      <c r="E119" t="s">
        <v>14</v>
      </c>
      <c r="F119" t="s">
        <v>14</v>
      </c>
      <c r="G119" t="s">
        <v>15</v>
      </c>
      <c r="H119">
        <f t="shared" si="6"/>
        <v>4</v>
      </c>
      <c r="I119" t="str">
        <f t="shared" si="7"/>
        <v>High RIQ</v>
      </c>
      <c r="J119">
        <v>0</v>
      </c>
      <c r="K119">
        <v>0</v>
      </c>
    </row>
    <row r="120" spans="1:11">
      <c r="A120" s="1" t="s">
        <v>129</v>
      </c>
      <c r="B120">
        <v>5</v>
      </c>
      <c r="E120" t="s">
        <v>14</v>
      </c>
      <c r="F120" t="s">
        <v>14</v>
      </c>
      <c r="G120" t="s">
        <v>15</v>
      </c>
      <c r="H120">
        <f t="shared" si="6"/>
        <v>4</v>
      </c>
      <c r="I120" t="str">
        <f t="shared" si="7"/>
        <v>High RIQ</v>
      </c>
      <c r="J120">
        <v>0</v>
      </c>
      <c r="K120">
        <v>0</v>
      </c>
    </row>
    <row r="121" spans="1:11">
      <c r="A121" s="1" t="s">
        <v>130</v>
      </c>
      <c r="B121">
        <v>5</v>
      </c>
      <c r="E121" t="s">
        <v>29</v>
      </c>
      <c r="F121" t="s">
        <v>13</v>
      </c>
      <c r="G121" t="s">
        <v>15</v>
      </c>
      <c r="H121">
        <f t="shared" si="6"/>
        <v>1</v>
      </c>
      <c r="I121" t="str">
        <f t="shared" si="7"/>
        <v>Low RIQ</v>
      </c>
      <c r="J121">
        <v>0</v>
      </c>
      <c r="K121">
        <v>0</v>
      </c>
    </row>
    <row r="122" spans="1:11">
      <c r="A122" s="1" t="s">
        <v>131</v>
      </c>
      <c r="B122">
        <v>5</v>
      </c>
      <c r="E122" t="s">
        <v>13</v>
      </c>
      <c r="F122" t="s">
        <v>13</v>
      </c>
      <c r="G122" t="s">
        <v>27</v>
      </c>
      <c r="H122">
        <f t="shared" si="6"/>
        <v>3</v>
      </c>
      <c r="I122" t="str">
        <f t="shared" si="7"/>
        <v>Moderate RIQ</v>
      </c>
      <c r="J122">
        <v>0</v>
      </c>
      <c r="K122">
        <v>0</v>
      </c>
    </row>
    <row r="123" spans="1:11">
      <c r="A123" s="1" t="s">
        <v>132</v>
      </c>
      <c r="B123">
        <v>5</v>
      </c>
      <c r="E123" t="s">
        <v>14</v>
      </c>
      <c r="F123" t="s">
        <v>14</v>
      </c>
      <c r="G123" t="s">
        <v>15</v>
      </c>
      <c r="H123">
        <f t="shared" si="6"/>
        <v>4</v>
      </c>
      <c r="I123" t="str">
        <f t="shared" si="7"/>
        <v>High RIQ</v>
      </c>
      <c r="J123">
        <v>0</v>
      </c>
      <c r="K123">
        <v>0</v>
      </c>
    </row>
    <row r="124" spans="1:11">
      <c r="A124" s="1" t="s">
        <v>133</v>
      </c>
      <c r="B124">
        <v>5</v>
      </c>
      <c r="E124" t="s">
        <v>13</v>
      </c>
      <c r="F124" t="s">
        <v>13</v>
      </c>
      <c r="G124" t="s">
        <v>27</v>
      </c>
      <c r="H124">
        <f t="shared" si="6"/>
        <v>3</v>
      </c>
      <c r="I124" t="str">
        <f t="shared" si="7"/>
        <v>Moderate RIQ</v>
      </c>
      <c r="J124">
        <v>0</v>
      </c>
      <c r="K124">
        <v>0</v>
      </c>
    </row>
    <row r="125" spans="1:11">
      <c r="A125" s="1" t="s">
        <v>134</v>
      </c>
      <c r="B125">
        <v>5</v>
      </c>
      <c r="E125" t="s">
        <v>13</v>
      </c>
      <c r="F125" t="s">
        <v>13</v>
      </c>
      <c r="G125" t="s">
        <v>27</v>
      </c>
      <c r="H125">
        <f t="shared" si="6"/>
        <v>3</v>
      </c>
      <c r="I125" t="str">
        <f t="shared" si="7"/>
        <v>Moderate RIQ</v>
      </c>
      <c r="J125">
        <v>0</v>
      </c>
      <c r="K125">
        <v>0</v>
      </c>
    </row>
    <row r="126" spans="1:11">
      <c r="A126" s="1" t="s">
        <v>135</v>
      </c>
      <c r="B126">
        <v>5</v>
      </c>
      <c r="E126" t="s">
        <v>13</v>
      </c>
      <c r="F126" t="s">
        <v>14</v>
      </c>
      <c r="G126" t="s">
        <v>15</v>
      </c>
      <c r="H126">
        <f t="shared" si="6"/>
        <v>3</v>
      </c>
      <c r="I126" t="str">
        <f t="shared" si="7"/>
        <v>Moderate RIQ</v>
      </c>
      <c r="J126">
        <v>2</v>
      </c>
      <c r="K126">
        <v>0</v>
      </c>
    </row>
    <row r="127" ht="30" spans="1:11">
      <c r="A127" s="1" t="s">
        <v>136</v>
      </c>
      <c r="B127">
        <v>5</v>
      </c>
      <c r="E127" t="s">
        <v>14</v>
      </c>
      <c r="F127" t="s">
        <v>14</v>
      </c>
      <c r="G127" t="s">
        <v>15</v>
      </c>
      <c r="H127">
        <f t="shared" si="6"/>
        <v>4</v>
      </c>
      <c r="I127" t="str">
        <f t="shared" si="7"/>
        <v>High RIQ</v>
      </c>
      <c r="J127">
        <v>0</v>
      </c>
      <c r="K127">
        <v>0</v>
      </c>
    </row>
    <row r="128" spans="1:11">
      <c r="A128" s="1" t="s">
        <v>137</v>
      </c>
      <c r="B128">
        <v>3</v>
      </c>
      <c r="E128" t="s">
        <v>13</v>
      </c>
      <c r="F128" t="s">
        <v>13</v>
      </c>
      <c r="G128" t="s">
        <v>27</v>
      </c>
      <c r="H128">
        <f t="shared" si="6"/>
        <v>3</v>
      </c>
      <c r="I128" t="str">
        <f t="shared" si="7"/>
        <v>Moderate RIQ</v>
      </c>
      <c r="J128">
        <v>0</v>
      </c>
      <c r="K128">
        <v>0</v>
      </c>
    </row>
    <row r="129" spans="1:11">
      <c r="A129" s="1" t="s">
        <v>138</v>
      </c>
      <c r="B129">
        <v>5</v>
      </c>
      <c r="E129" t="s">
        <v>13</v>
      </c>
      <c r="F129" t="s">
        <v>13</v>
      </c>
      <c r="G129" t="s">
        <v>15</v>
      </c>
      <c r="H129">
        <f t="shared" si="6"/>
        <v>2</v>
      </c>
      <c r="I129" t="str">
        <f t="shared" si="7"/>
        <v>Moderate RIQ</v>
      </c>
      <c r="J129">
        <v>0</v>
      </c>
      <c r="K129">
        <v>0</v>
      </c>
    </row>
    <row r="130" ht="30" spans="1:11">
      <c r="A130" s="1" t="s">
        <v>139</v>
      </c>
      <c r="B130">
        <v>5</v>
      </c>
      <c r="E130" t="s">
        <v>14</v>
      </c>
      <c r="F130" t="s">
        <v>14</v>
      </c>
      <c r="G130" t="s">
        <v>15</v>
      </c>
      <c r="H130">
        <f t="shared" si="6"/>
        <v>4</v>
      </c>
      <c r="I130" t="str">
        <f t="shared" si="7"/>
        <v>High RIQ</v>
      </c>
      <c r="J130">
        <v>0</v>
      </c>
      <c r="K130">
        <v>0</v>
      </c>
    </row>
    <row r="131" spans="1:11">
      <c r="A131" s="1" t="s">
        <v>140</v>
      </c>
      <c r="B131">
        <v>5</v>
      </c>
      <c r="E131" t="s">
        <v>13</v>
      </c>
      <c r="F131" t="s">
        <v>14</v>
      </c>
      <c r="G131" t="s">
        <v>15</v>
      </c>
      <c r="H131">
        <f t="shared" ref="H131:H162" si="8">IF(E131="Low",0,IF(E131="Moderate",1,IF(E131="High",2)))+IF(F131="Low",0,IF(F131="Moderate",1,IF(F131="High",2)))+IF(G131="OS",0,IF(G131="TS",1))</f>
        <v>3</v>
      </c>
      <c r="I131" t="str">
        <f t="shared" ref="I131:I162" si="9">IF(H131&lt;=1,"Low RIQ",IF(H131&lt;=3,"Moderate RIQ","High RIQ"))</f>
        <v>Moderate RIQ</v>
      </c>
      <c r="J131">
        <v>0</v>
      </c>
      <c r="K131">
        <v>0</v>
      </c>
    </row>
    <row r="132" spans="1:11">
      <c r="A132" s="1" t="s">
        <v>141</v>
      </c>
      <c r="B132">
        <v>5</v>
      </c>
      <c r="E132" t="s">
        <v>13</v>
      </c>
      <c r="F132" t="s">
        <v>14</v>
      </c>
      <c r="G132" t="s">
        <v>15</v>
      </c>
      <c r="H132">
        <f t="shared" si="8"/>
        <v>3</v>
      </c>
      <c r="I132" t="str">
        <f t="shared" si="9"/>
        <v>Moderate RIQ</v>
      </c>
      <c r="J132">
        <v>2</v>
      </c>
      <c r="K132">
        <v>0</v>
      </c>
    </row>
    <row r="133" spans="1:11">
      <c r="A133" s="1" t="s">
        <v>142</v>
      </c>
      <c r="B133">
        <v>5</v>
      </c>
      <c r="E133" t="s">
        <v>13</v>
      </c>
      <c r="F133" t="s">
        <v>14</v>
      </c>
      <c r="G133" t="s">
        <v>15</v>
      </c>
      <c r="H133">
        <f t="shared" si="8"/>
        <v>3</v>
      </c>
      <c r="I133" t="str">
        <f t="shared" si="9"/>
        <v>Moderate RIQ</v>
      </c>
      <c r="J133">
        <v>2</v>
      </c>
      <c r="K133">
        <v>0</v>
      </c>
    </row>
    <row r="134" spans="1:11">
      <c r="A134" s="1" t="s">
        <v>143</v>
      </c>
      <c r="B134">
        <v>5</v>
      </c>
      <c r="E134" t="s">
        <v>29</v>
      </c>
      <c r="F134" t="s">
        <v>13</v>
      </c>
      <c r="G134" t="s">
        <v>15</v>
      </c>
      <c r="H134">
        <f t="shared" si="8"/>
        <v>1</v>
      </c>
      <c r="I134" t="str">
        <f t="shared" si="9"/>
        <v>Low RIQ</v>
      </c>
      <c r="J134">
        <v>0</v>
      </c>
      <c r="K134">
        <v>0</v>
      </c>
    </row>
    <row r="135" spans="1:11">
      <c r="A135" s="1" t="s">
        <v>36</v>
      </c>
      <c r="B135">
        <v>5</v>
      </c>
      <c r="E135" t="s">
        <v>13</v>
      </c>
      <c r="F135" t="s">
        <v>14</v>
      </c>
      <c r="G135" t="s">
        <v>15</v>
      </c>
      <c r="H135">
        <f t="shared" si="8"/>
        <v>3</v>
      </c>
      <c r="I135" t="str">
        <f t="shared" si="9"/>
        <v>Moderate RIQ</v>
      </c>
      <c r="J135">
        <v>2</v>
      </c>
      <c r="K135">
        <v>0</v>
      </c>
    </row>
    <row r="136" spans="1:11">
      <c r="A136" s="1" t="s">
        <v>144</v>
      </c>
      <c r="B136">
        <v>5</v>
      </c>
      <c r="E136" t="s">
        <v>29</v>
      </c>
      <c r="F136" t="s">
        <v>13</v>
      </c>
      <c r="G136" t="s">
        <v>15</v>
      </c>
      <c r="H136">
        <f t="shared" si="8"/>
        <v>1</v>
      </c>
      <c r="I136" t="str">
        <f t="shared" si="9"/>
        <v>Low RIQ</v>
      </c>
      <c r="J136">
        <v>0</v>
      </c>
      <c r="K136">
        <v>0</v>
      </c>
    </row>
    <row r="137" spans="1:11">
      <c r="A137" s="1" t="s">
        <v>145</v>
      </c>
      <c r="B137">
        <v>5</v>
      </c>
      <c r="E137" t="s">
        <v>29</v>
      </c>
      <c r="F137" t="s">
        <v>29</v>
      </c>
      <c r="G137" t="s">
        <v>15</v>
      </c>
      <c r="H137">
        <f t="shared" si="8"/>
        <v>0</v>
      </c>
      <c r="I137" t="str">
        <f t="shared" si="9"/>
        <v>Low RIQ</v>
      </c>
      <c r="J137">
        <v>0</v>
      </c>
      <c r="K137">
        <v>0</v>
      </c>
    </row>
    <row r="138" ht="30" spans="1:11">
      <c r="A138" s="1" t="s">
        <v>146</v>
      </c>
      <c r="B138">
        <v>5</v>
      </c>
      <c r="E138" t="s">
        <v>13</v>
      </c>
      <c r="F138" t="s">
        <v>13</v>
      </c>
      <c r="G138" t="s">
        <v>15</v>
      </c>
      <c r="H138">
        <f t="shared" si="8"/>
        <v>2</v>
      </c>
      <c r="I138" t="str">
        <f t="shared" si="9"/>
        <v>Moderate RIQ</v>
      </c>
      <c r="J138">
        <v>0</v>
      </c>
      <c r="K138">
        <v>0</v>
      </c>
    </row>
    <row r="139" spans="1:11">
      <c r="A139" s="1" t="s">
        <v>147</v>
      </c>
      <c r="B139">
        <v>5</v>
      </c>
      <c r="E139" t="s">
        <v>13</v>
      </c>
      <c r="F139" t="s">
        <v>14</v>
      </c>
      <c r="G139" t="s">
        <v>15</v>
      </c>
      <c r="H139">
        <f t="shared" si="8"/>
        <v>3</v>
      </c>
      <c r="I139" t="str">
        <f t="shared" si="9"/>
        <v>Moderate RIQ</v>
      </c>
      <c r="J139">
        <v>0</v>
      </c>
      <c r="K139">
        <v>0</v>
      </c>
    </row>
    <row r="140" spans="1:11">
      <c r="A140" s="1" t="s">
        <v>148</v>
      </c>
      <c r="B140">
        <v>5</v>
      </c>
      <c r="E140" t="s">
        <v>29</v>
      </c>
      <c r="F140" t="s">
        <v>29</v>
      </c>
      <c r="G140" t="s">
        <v>15</v>
      </c>
      <c r="H140">
        <f t="shared" si="8"/>
        <v>0</v>
      </c>
      <c r="I140" t="str">
        <f t="shared" si="9"/>
        <v>Low RIQ</v>
      </c>
      <c r="J140">
        <v>0</v>
      </c>
      <c r="K140">
        <v>0</v>
      </c>
    </row>
    <row r="141" spans="1:11">
      <c r="A141" s="1" t="s">
        <v>149</v>
      </c>
      <c r="B141">
        <v>5</v>
      </c>
      <c r="E141" t="s">
        <v>13</v>
      </c>
      <c r="F141" t="s">
        <v>13</v>
      </c>
      <c r="G141" t="s">
        <v>15</v>
      </c>
      <c r="H141">
        <f t="shared" si="8"/>
        <v>2</v>
      </c>
      <c r="I141" t="str">
        <f t="shared" si="9"/>
        <v>Moderate RIQ</v>
      </c>
      <c r="J141">
        <v>0</v>
      </c>
      <c r="K141">
        <v>0</v>
      </c>
    </row>
    <row r="142" spans="1:11">
      <c r="A142" s="1" t="s">
        <v>150</v>
      </c>
      <c r="B142">
        <v>5</v>
      </c>
      <c r="E142" t="s">
        <v>29</v>
      </c>
      <c r="F142" t="s">
        <v>29</v>
      </c>
      <c r="G142" t="s">
        <v>15</v>
      </c>
      <c r="H142">
        <f t="shared" si="8"/>
        <v>0</v>
      </c>
      <c r="I142" t="str">
        <f t="shared" si="9"/>
        <v>Low RIQ</v>
      </c>
      <c r="J142">
        <v>0</v>
      </c>
      <c r="K142">
        <v>0</v>
      </c>
    </row>
    <row r="143" spans="1:11">
      <c r="A143" s="1" t="s">
        <v>151</v>
      </c>
      <c r="B143">
        <v>5</v>
      </c>
      <c r="E143" t="s">
        <v>29</v>
      </c>
      <c r="F143" t="s">
        <v>29</v>
      </c>
      <c r="G143" t="s">
        <v>15</v>
      </c>
      <c r="H143">
        <f t="shared" si="8"/>
        <v>0</v>
      </c>
      <c r="I143" t="str">
        <f t="shared" si="9"/>
        <v>Low RIQ</v>
      </c>
      <c r="J143">
        <v>0</v>
      </c>
      <c r="K143">
        <v>0</v>
      </c>
    </row>
    <row r="144" spans="1:11">
      <c r="A144" s="1" t="s">
        <v>152</v>
      </c>
      <c r="B144">
        <v>5</v>
      </c>
      <c r="E144" t="s">
        <v>29</v>
      </c>
      <c r="F144" t="s">
        <v>29</v>
      </c>
      <c r="G144" t="s">
        <v>15</v>
      </c>
      <c r="H144">
        <f t="shared" si="8"/>
        <v>0</v>
      </c>
      <c r="I144" t="str">
        <f t="shared" si="9"/>
        <v>Low RIQ</v>
      </c>
      <c r="J144">
        <v>0</v>
      </c>
      <c r="K144">
        <v>0</v>
      </c>
    </row>
    <row r="145" spans="1:11">
      <c r="A145" s="1" t="s">
        <v>153</v>
      </c>
      <c r="B145">
        <v>5</v>
      </c>
      <c r="E145" t="s">
        <v>29</v>
      </c>
      <c r="F145" t="s">
        <v>29</v>
      </c>
      <c r="G145" t="s">
        <v>15</v>
      </c>
      <c r="H145">
        <f t="shared" si="8"/>
        <v>0</v>
      </c>
      <c r="I145" t="str">
        <f t="shared" si="9"/>
        <v>Low RIQ</v>
      </c>
      <c r="J145">
        <v>0</v>
      </c>
      <c r="K145">
        <v>0</v>
      </c>
    </row>
    <row r="146" spans="1:11">
      <c r="A146" s="1" t="s">
        <v>154</v>
      </c>
      <c r="B146">
        <v>5</v>
      </c>
      <c r="E146" t="s">
        <v>29</v>
      </c>
      <c r="F146" t="s">
        <v>29</v>
      </c>
      <c r="G146" t="s">
        <v>15</v>
      </c>
      <c r="H146">
        <f t="shared" si="8"/>
        <v>0</v>
      </c>
      <c r="I146" t="str">
        <f t="shared" si="9"/>
        <v>Low RIQ</v>
      </c>
      <c r="J146">
        <v>0</v>
      </c>
      <c r="K146">
        <v>0</v>
      </c>
    </row>
    <row r="147" spans="1:11">
      <c r="A147" s="1" t="s">
        <v>155</v>
      </c>
      <c r="B147">
        <v>3</v>
      </c>
      <c r="E147" t="s">
        <v>29</v>
      </c>
      <c r="F147" t="s">
        <v>14</v>
      </c>
      <c r="G147" t="s">
        <v>15</v>
      </c>
      <c r="H147">
        <f t="shared" si="8"/>
        <v>2</v>
      </c>
      <c r="I147" t="str">
        <f t="shared" si="9"/>
        <v>Moderate RIQ</v>
      </c>
      <c r="J147">
        <v>0</v>
      </c>
      <c r="K147">
        <v>0</v>
      </c>
    </row>
    <row r="148" spans="1:11">
      <c r="A148" s="1" t="s">
        <v>156</v>
      </c>
      <c r="B148">
        <v>5</v>
      </c>
      <c r="E148" t="s">
        <v>29</v>
      </c>
      <c r="F148" t="s">
        <v>29</v>
      </c>
      <c r="G148" t="s">
        <v>15</v>
      </c>
      <c r="H148">
        <f t="shared" si="8"/>
        <v>0</v>
      </c>
      <c r="I148" t="str">
        <f t="shared" si="9"/>
        <v>Low RIQ</v>
      </c>
      <c r="J148">
        <v>0</v>
      </c>
      <c r="K148">
        <v>0</v>
      </c>
    </row>
    <row r="149" spans="1:11">
      <c r="A149" s="1" t="s">
        <v>153</v>
      </c>
      <c r="B149">
        <v>5</v>
      </c>
      <c r="E149" t="s">
        <v>29</v>
      </c>
      <c r="F149" t="s">
        <v>29</v>
      </c>
      <c r="G149" t="s">
        <v>15</v>
      </c>
      <c r="H149">
        <f t="shared" si="8"/>
        <v>0</v>
      </c>
      <c r="I149" t="str">
        <f t="shared" si="9"/>
        <v>Low RIQ</v>
      </c>
      <c r="J149">
        <v>0</v>
      </c>
      <c r="K149">
        <v>0</v>
      </c>
    </row>
    <row r="150" spans="1:11">
      <c r="A150" s="1" t="s">
        <v>157</v>
      </c>
      <c r="B150">
        <v>5</v>
      </c>
      <c r="E150" t="s">
        <v>29</v>
      </c>
      <c r="F150" t="s">
        <v>29</v>
      </c>
      <c r="G150" t="s">
        <v>15</v>
      </c>
      <c r="H150">
        <f t="shared" si="8"/>
        <v>0</v>
      </c>
      <c r="I150" t="str">
        <f t="shared" si="9"/>
        <v>Low RIQ</v>
      </c>
      <c r="J150">
        <v>0</v>
      </c>
      <c r="K150">
        <v>0</v>
      </c>
    </row>
    <row r="151" spans="1:11">
      <c r="A151" s="1" t="s">
        <v>158</v>
      </c>
      <c r="B151">
        <v>5</v>
      </c>
      <c r="E151" t="s">
        <v>29</v>
      </c>
      <c r="F151" t="s">
        <v>29</v>
      </c>
      <c r="G151" t="s">
        <v>15</v>
      </c>
      <c r="H151">
        <f t="shared" si="8"/>
        <v>0</v>
      </c>
      <c r="I151" t="str">
        <f t="shared" si="9"/>
        <v>Low RIQ</v>
      </c>
      <c r="J151">
        <v>0</v>
      </c>
      <c r="K151">
        <v>0</v>
      </c>
    </row>
    <row r="152" spans="1:11">
      <c r="A152" s="1" t="s">
        <v>159</v>
      </c>
      <c r="B152">
        <v>5</v>
      </c>
      <c r="E152" t="s">
        <v>29</v>
      </c>
      <c r="F152" t="s">
        <v>14</v>
      </c>
      <c r="G152" t="s">
        <v>15</v>
      </c>
      <c r="H152">
        <f t="shared" si="8"/>
        <v>2</v>
      </c>
      <c r="I152" t="str">
        <f t="shared" si="9"/>
        <v>Moderate RIQ</v>
      </c>
      <c r="J152">
        <v>0</v>
      </c>
      <c r="K152">
        <v>0</v>
      </c>
    </row>
    <row r="153" spans="1:11">
      <c r="A153" s="1" t="s">
        <v>160</v>
      </c>
      <c r="B153">
        <v>5</v>
      </c>
      <c r="E153" t="s">
        <v>29</v>
      </c>
      <c r="F153" t="s">
        <v>29</v>
      </c>
      <c r="G153" t="s">
        <v>15</v>
      </c>
      <c r="H153">
        <f t="shared" si="8"/>
        <v>0</v>
      </c>
      <c r="I153" t="str">
        <f t="shared" si="9"/>
        <v>Low RIQ</v>
      </c>
      <c r="J153">
        <v>0</v>
      </c>
      <c r="K153">
        <v>1</v>
      </c>
    </row>
    <row r="154" spans="1:11">
      <c r="A154" s="1" t="s">
        <v>161</v>
      </c>
      <c r="B154">
        <v>5</v>
      </c>
      <c r="E154" t="s">
        <v>29</v>
      </c>
      <c r="F154" t="s">
        <v>14</v>
      </c>
      <c r="G154" t="s">
        <v>15</v>
      </c>
      <c r="H154">
        <f t="shared" si="8"/>
        <v>2</v>
      </c>
      <c r="I154" t="str">
        <f t="shared" si="9"/>
        <v>Moderate RIQ</v>
      </c>
      <c r="J154">
        <v>0</v>
      </c>
      <c r="K154">
        <v>0</v>
      </c>
    </row>
    <row r="155" spans="1:11">
      <c r="A155" s="1" t="s">
        <v>162</v>
      </c>
      <c r="B155">
        <v>5</v>
      </c>
      <c r="E155" t="s">
        <v>13</v>
      </c>
      <c r="F155" t="s">
        <v>14</v>
      </c>
      <c r="G155" t="s">
        <v>15</v>
      </c>
      <c r="H155">
        <f t="shared" si="8"/>
        <v>3</v>
      </c>
      <c r="I155" t="str">
        <f t="shared" si="9"/>
        <v>Moderate RIQ</v>
      </c>
      <c r="J155">
        <v>2</v>
      </c>
      <c r="K155">
        <v>0</v>
      </c>
    </row>
    <row r="156" ht="30" spans="1:11">
      <c r="A156" s="1" t="s">
        <v>163</v>
      </c>
      <c r="B156">
        <v>5</v>
      </c>
      <c r="E156" t="s">
        <v>14</v>
      </c>
      <c r="F156" t="s">
        <v>14</v>
      </c>
      <c r="G156" t="s">
        <v>15</v>
      </c>
      <c r="H156">
        <f t="shared" si="8"/>
        <v>4</v>
      </c>
      <c r="I156" t="str">
        <f t="shared" si="9"/>
        <v>High RIQ</v>
      </c>
      <c r="J156">
        <v>0</v>
      </c>
      <c r="K156">
        <v>0</v>
      </c>
    </row>
    <row r="157" spans="1:11">
      <c r="A157" s="1" t="s">
        <v>164</v>
      </c>
      <c r="B157">
        <v>5</v>
      </c>
      <c r="E157" t="s">
        <v>13</v>
      </c>
      <c r="F157" t="s">
        <v>13</v>
      </c>
      <c r="G157" t="s">
        <v>15</v>
      </c>
      <c r="H157">
        <f t="shared" si="8"/>
        <v>2</v>
      </c>
      <c r="I157" t="str">
        <f t="shared" si="9"/>
        <v>Moderate RIQ</v>
      </c>
      <c r="J157">
        <v>0</v>
      </c>
      <c r="K157">
        <v>0</v>
      </c>
    </row>
    <row r="158" ht="30" spans="1:11">
      <c r="A158" s="1" t="s">
        <v>165</v>
      </c>
      <c r="B158">
        <v>5</v>
      </c>
      <c r="E158" t="s">
        <v>14</v>
      </c>
      <c r="F158" t="s">
        <v>14</v>
      </c>
      <c r="G158" t="s">
        <v>15</v>
      </c>
      <c r="H158">
        <f t="shared" si="8"/>
        <v>4</v>
      </c>
      <c r="I158" t="str">
        <f t="shared" si="9"/>
        <v>High RIQ</v>
      </c>
      <c r="J158">
        <v>0</v>
      </c>
      <c r="K158">
        <v>0</v>
      </c>
    </row>
    <row r="159" ht="31.5" spans="1:11">
      <c r="A159" s="1" t="s">
        <v>166</v>
      </c>
      <c r="B159">
        <v>5</v>
      </c>
      <c r="E159" t="s">
        <v>13</v>
      </c>
      <c r="F159" t="s">
        <v>14</v>
      </c>
      <c r="G159" t="s">
        <v>15</v>
      </c>
      <c r="H159">
        <f t="shared" si="8"/>
        <v>3</v>
      </c>
      <c r="I159" t="str">
        <f t="shared" si="9"/>
        <v>Moderate RIQ</v>
      </c>
      <c r="J159">
        <v>0</v>
      </c>
      <c r="K159">
        <v>0</v>
      </c>
    </row>
    <row r="160" spans="1:11">
      <c r="A160" s="1" t="s">
        <v>167</v>
      </c>
      <c r="B160">
        <v>5</v>
      </c>
      <c r="E160" t="s">
        <v>29</v>
      </c>
      <c r="F160" t="s">
        <v>14</v>
      </c>
      <c r="G160" t="s">
        <v>15</v>
      </c>
      <c r="H160">
        <f t="shared" si="8"/>
        <v>2</v>
      </c>
      <c r="I160" t="str">
        <f t="shared" si="9"/>
        <v>Moderate RIQ</v>
      </c>
      <c r="J160">
        <v>0</v>
      </c>
      <c r="K160">
        <v>0</v>
      </c>
    </row>
    <row r="161" spans="1:11">
      <c r="A161" s="1" t="s">
        <v>168</v>
      </c>
      <c r="B161">
        <v>5</v>
      </c>
      <c r="E161" t="s">
        <v>13</v>
      </c>
      <c r="F161" t="s">
        <v>13</v>
      </c>
      <c r="G161" t="s">
        <v>15</v>
      </c>
      <c r="H161">
        <f t="shared" si="8"/>
        <v>2</v>
      </c>
      <c r="I161" t="str">
        <f t="shared" si="9"/>
        <v>Moderate RIQ</v>
      </c>
      <c r="J161">
        <v>0</v>
      </c>
      <c r="K161">
        <v>0</v>
      </c>
    </row>
    <row r="162" spans="1:11">
      <c r="A162" s="1" t="s">
        <v>169</v>
      </c>
      <c r="B162">
        <v>5</v>
      </c>
      <c r="E162" t="s">
        <v>29</v>
      </c>
      <c r="F162" t="s">
        <v>13</v>
      </c>
      <c r="G162" t="s">
        <v>15</v>
      </c>
      <c r="H162">
        <f t="shared" si="8"/>
        <v>1</v>
      </c>
      <c r="I162" t="str">
        <f t="shared" si="9"/>
        <v>Low RIQ</v>
      </c>
      <c r="J162">
        <v>0</v>
      </c>
      <c r="K162">
        <v>0</v>
      </c>
    </row>
    <row r="163" spans="1:11">
      <c r="A163" s="1" t="s">
        <v>170</v>
      </c>
      <c r="B163">
        <v>5</v>
      </c>
      <c r="E163" t="s">
        <v>13</v>
      </c>
      <c r="F163" t="s">
        <v>14</v>
      </c>
      <c r="G163" t="s">
        <v>15</v>
      </c>
      <c r="H163">
        <f>IF(E163="Low",0,IF(E163="Moderate",1,IF(E163="High",2)))+IF(F163="Low",0,IF(F163="Moderate",1,IF(F163="High",2)))+IF(G163="OS",0,IF(G163="TS",1))</f>
        <v>3</v>
      </c>
      <c r="I163" t="str">
        <f>IF(H163&lt;=1,"Low RIQ",IF(H163&lt;=3,"Moderate RIQ","High RIQ"))</f>
        <v>Moderate RIQ</v>
      </c>
      <c r="J163">
        <v>0</v>
      </c>
      <c r="K163">
        <v>0</v>
      </c>
    </row>
    <row r="164" spans="1:11">
      <c r="A164" s="1" t="s">
        <v>171</v>
      </c>
      <c r="B164">
        <v>5</v>
      </c>
      <c r="E164" t="s">
        <v>29</v>
      </c>
      <c r="F164" t="s">
        <v>29</v>
      </c>
      <c r="G164" t="s">
        <v>15</v>
      </c>
      <c r="H164">
        <f>IF(E164="Low",0,IF(E164="Moderate",1,IF(E164="High",2)))+IF(F164="Low",0,IF(F164="Moderate",1,IF(F164="High",2)))+IF(G164="OS",0,IF(G164="TS",1))</f>
        <v>0</v>
      </c>
      <c r="I164" t="str">
        <f>IF(H164&lt;=1,"Low RIQ",IF(H164&lt;=3,"Moderate RIQ","High RIQ"))</f>
        <v>Low RIQ</v>
      </c>
      <c r="J164">
        <v>0</v>
      </c>
      <c r="K164">
        <v>0</v>
      </c>
    </row>
    <row r="165" spans="1:11">
      <c r="A165" s="1" t="s">
        <v>172</v>
      </c>
      <c r="B165">
        <v>5</v>
      </c>
      <c r="E165" t="s">
        <v>13</v>
      </c>
      <c r="F165" t="s">
        <v>14</v>
      </c>
      <c r="G165" t="s">
        <v>15</v>
      </c>
      <c r="H165">
        <f>IF(E165="Low",0,IF(E165="Moderate",1,IF(E165="High",2)))+IF(F165="Low",0,IF(F165="Moderate",1,IF(F165="High",2)))+IF(G165="OS",0,IF(G165="TS",1))</f>
        <v>3</v>
      </c>
      <c r="I165" t="str">
        <f>IF(H165&lt;=1,"Low RIQ",IF(H165&lt;=3,"Moderate RIQ","High RIQ"))</f>
        <v>Moderate RIQ</v>
      </c>
      <c r="J165">
        <v>0</v>
      </c>
      <c r="K165">
        <v>0</v>
      </c>
    </row>
    <row r="166" spans="1:11">
      <c r="A166" s="1" t="s">
        <v>173</v>
      </c>
      <c r="B166">
        <v>5</v>
      </c>
      <c r="E166" t="s">
        <v>29</v>
      </c>
      <c r="F166" t="s">
        <v>29</v>
      </c>
      <c r="G166" t="s">
        <v>15</v>
      </c>
      <c r="H166">
        <f>IF(E166="Low",0,IF(E166="Moderate",1,IF(E166="High",2)))+IF(F166="Low",0,IF(F166="Moderate",1,IF(F166="High",2)))+IF(G166="OS",0,IF(G166="TS",1))</f>
        <v>0</v>
      </c>
      <c r="I166" t="str">
        <f>IF(H166&lt;=1,"Low RIQ",IF(H166&lt;=3,"Moderate RIQ","High RIQ"))</f>
        <v>Low RIQ</v>
      </c>
      <c r="J166">
        <v>0</v>
      </c>
      <c r="K166">
        <v>0</v>
      </c>
    </row>
    <row r="167" spans="1:11">
      <c r="A167" s="1" t="s">
        <v>173</v>
      </c>
      <c r="B167">
        <v>5</v>
      </c>
      <c r="E167" t="s">
        <v>29</v>
      </c>
      <c r="F167" t="s">
        <v>29</v>
      </c>
      <c r="G167" t="s">
        <v>15</v>
      </c>
      <c r="H167">
        <f>IF(E167="Low",0,IF(E167="Moderate",1,IF(E167="High",2)))+IF(F167="Low",0,IF(F167="Moderate",1,IF(F167="High",2)))+IF(G167="OS",0,IF(G167="TS",1))</f>
        <v>0</v>
      </c>
      <c r="I167" t="str">
        <f>IF(H167&lt;=1,"Low RIQ",IF(H167&lt;=3,"Moderate RIQ","High RIQ"))</f>
        <v>Low RIQ</v>
      </c>
      <c r="J167">
        <v>0</v>
      </c>
      <c r="K167">
        <v>0</v>
      </c>
    </row>
    <row r="168" spans="1:11">
      <c r="A168" s="1" t="s">
        <v>174</v>
      </c>
      <c r="B168">
        <v>1</v>
      </c>
      <c r="E168" t="s">
        <v>14</v>
      </c>
      <c r="F168" t="s">
        <v>14</v>
      </c>
      <c r="G168" t="s">
        <v>15</v>
      </c>
      <c r="H168">
        <f>IF(E168="Low",0,IF(E168="Moderate",1,IF(E168="High",2)))+IF(F168="Low",0,IF(F168="Moderate",1,IF(F168="High",2)))+IF(G168="OS",0,IF(G168="TS",1))</f>
        <v>4</v>
      </c>
      <c r="I168" t="str">
        <f>IF(H168&lt;=1,"Low RIQ",IF(H168&lt;=3,"Moderate RIQ","High RIQ"))</f>
        <v>High RIQ</v>
      </c>
      <c r="J168">
        <v>0</v>
      </c>
      <c r="K168">
        <v>0</v>
      </c>
    </row>
    <row r="169" spans="1:11">
      <c r="A169" s="1" t="s">
        <v>175</v>
      </c>
      <c r="B169">
        <v>5</v>
      </c>
      <c r="E169" t="s">
        <v>29</v>
      </c>
      <c r="F169" t="s">
        <v>29</v>
      </c>
      <c r="G169" t="s">
        <v>15</v>
      </c>
      <c r="H169">
        <f>IF(E169="Low",0,IF(E169="Moderate",1,IF(E169="High",2)))+IF(F169="Low",0,IF(F169="Moderate",1,IF(F169="High",2)))+IF(G169="OS",0,IF(G169="TS",1))</f>
        <v>0</v>
      </c>
      <c r="I169" t="str">
        <f>IF(H169&lt;=1,"Low RIQ",IF(H169&lt;=3,"Moderate RIQ","High RIQ"))</f>
        <v>Low RIQ</v>
      </c>
      <c r="J169">
        <v>0</v>
      </c>
      <c r="K169">
        <v>0</v>
      </c>
    </row>
    <row r="170" spans="1:11">
      <c r="A170" s="1" t="s">
        <v>176</v>
      </c>
      <c r="B170">
        <v>1</v>
      </c>
      <c r="E170" t="s">
        <v>29</v>
      </c>
      <c r="F170" t="s">
        <v>13</v>
      </c>
      <c r="G170" t="s">
        <v>15</v>
      </c>
      <c r="H170">
        <f>IF(E170="Low",0,IF(E170="Moderate",1,IF(E170="High",2)))+IF(F170="Low",0,IF(F170="Moderate",1,IF(F170="High",2)))+IF(G170="OS",0,IF(G170="TS",1))</f>
        <v>1</v>
      </c>
      <c r="I170" t="str">
        <f>IF(H170&lt;=1,"Low RIQ",IF(H170&lt;=3,"Moderate RIQ","High RIQ"))</f>
        <v>Low RIQ</v>
      </c>
      <c r="J170">
        <v>0</v>
      </c>
      <c r="K170">
        <v>0</v>
      </c>
    </row>
    <row r="171" ht="30" spans="1:11">
      <c r="A171" s="1" t="s">
        <v>177</v>
      </c>
      <c r="B171">
        <v>3</v>
      </c>
      <c r="E171" t="s">
        <v>13</v>
      </c>
      <c r="F171" t="s">
        <v>13</v>
      </c>
      <c r="G171" t="s">
        <v>15</v>
      </c>
      <c r="H171">
        <f>IF(E171="Low",0,IF(E171="Moderate",1,IF(E171="High",2)))+IF(F171="Low",0,IF(F171="Moderate",1,IF(F171="High",2)))+IF(G171="OS",0,IF(G171="TS",1))</f>
        <v>2</v>
      </c>
      <c r="I171" t="str">
        <f>IF(H171&lt;=1,"Low RIQ",IF(H171&lt;=3,"Moderate RIQ","High RIQ"))</f>
        <v>Moderate RIQ</v>
      </c>
      <c r="J171">
        <v>0</v>
      </c>
      <c r="K171">
        <v>0</v>
      </c>
    </row>
    <row r="172" spans="1:11">
      <c r="A172" s="1" t="s">
        <v>178</v>
      </c>
      <c r="B172">
        <v>3</v>
      </c>
      <c r="E172" t="s">
        <v>13</v>
      </c>
      <c r="F172" t="s">
        <v>13</v>
      </c>
      <c r="G172" t="s">
        <v>15</v>
      </c>
      <c r="H172">
        <f>IF(E172="Low",0,IF(E172="Moderate",1,IF(E172="High",2)))+IF(F172="Low",0,IF(F172="Moderate",1,IF(F172="High",2)))+IF(G172="OS",0,IF(G172="TS",1))</f>
        <v>2</v>
      </c>
      <c r="I172" t="str">
        <f>IF(H172&lt;=1,"Low RIQ",IF(H172&lt;=3,"Moderate RIQ","High RIQ"))</f>
        <v>Moderate RIQ</v>
      </c>
      <c r="J172">
        <v>0</v>
      </c>
      <c r="K172">
        <v>0</v>
      </c>
    </row>
    <row r="173" ht="30" spans="1:11">
      <c r="A173" s="1" t="s">
        <v>179</v>
      </c>
      <c r="B173">
        <v>1</v>
      </c>
      <c r="E173" t="s">
        <v>14</v>
      </c>
      <c r="F173" t="s">
        <v>14</v>
      </c>
      <c r="G173" t="s">
        <v>15</v>
      </c>
      <c r="H173">
        <f>IF(E173="Low",0,IF(E173="Moderate",1,IF(E173="High",2)))+IF(F173="Low",0,IF(F173="Moderate",1,IF(F173="High",2)))+IF(G173="OS",0,IF(G173="TS",1))</f>
        <v>4</v>
      </c>
      <c r="I173" t="str">
        <f>IF(H173&lt;=1,"Low RIQ",IF(H173&lt;=3,"Moderate RIQ","High RIQ"))</f>
        <v>High RIQ</v>
      </c>
      <c r="J173">
        <v>0</v>
      </c>
      <c r="K173">
        <v>0</v>
      </c>
    </row>
    <row r="174" ht="30" spans="1:11">
      <c r="A174" s="1" t="s">
        <v>180</v>
      </c>
      <c r="B174">
        <v>3</v>
      </c>
      <c r="E174" t="s">
        <v>14</v>
      </c>
      <c r="F174" t="s">
        <v>14</v>
      </c>
      <c r="G174" t="s">
        <v>15</v>
      </c>
      <c r="H174">
        <f>IF(E174="Low",0,IF(E174="Moderate",1,IF(E174="High",2)))+IF(F174="Low",0,IF(F174="Moderate",1,IF(F174="High",2)))+IF(G174="OS",0,IF(G174="TS",1))</f>
        <v>4</v>
      </c>
      <c r="I174" t="str">
        <f>IF(H174&lt;=1,"Low RIQ",IF(H174&lt;=3,"Moderate RIQ","High RIQ"))</f>
        <v>High RIQ</v>
      </c>
      <c r="J174">
        <v>0</v>
      </c>
      <c r="K174">
        <v>0</v>
      </c>
    </row>
    <row r="175" spans="1:11">
      <c r="A175" s="1" t="s">
        <v>181</v>
      </c>
      <c r="B175">
        <v>3</v>
      </c>
      <c r="E175" t="s">
        <v>14</v>
      </c>
      <c r="F175" t="s">
        <v>14</v>
      </c>
      <c r="G175" t="s">
        <v>27</v>
      </c>
      <c r="H175">
        <f>IF(E175="Low",0,IF(E175="Moderate",1,IF(E175="High",2)))+IF(F175="Low",0,IF(F175="Moderate",1,IF(F175="High",2)))+IF(G175="OS",0,IF(G175="TS",1))</f>
        <v>5</v>
      </c>
      <c r="I175" t="str">
        <f>IF(H175&lt;=1,"Low RIQ",IF(H175&lt;=3,"Moderate RIQ","High RIQ"))</f>
        <v>High RIQ</v>
      </c>
      <c r="J175">
        <v>0</v>
      </c>
      <c r="K175">
        <v>0</v>
      </c>
    </row>
    <row r="176" ht="45" spans="1:11">
      <c r="A176" s="1" t="s">
        <v>182</v>
      </c>
      <c r="B176">
        <v>1</v>
      </c>
      <c r="E176" t="s">
        <v>14</v>
      </c>
      <c r="F176" t="s">
        <v>14</v>
      </c>
      <c r="G176" t="s">
        <v>15</v>
      </c>
      <c r="H176">
        <f>IF(E176="Low",0,IF(E176="Moderate",1,IF(E176="High",2)))+IF(F176="Low",0,IF(F176="Moderate",1,IF(F176="High",2)))+IF(G176="OS",0,IF(G176="TS",1))</f>
        <v>4</v>
      </c>
      <c r="I176" t="str">
        <f>IF(H176&lt;=1,"Low RIQ",IF(H176&lt;=3,"Moderate RIQ","High RIQ"))</f>
        <v>High RIQ</v>
      </c>
      <c r="J176">
        <v>0</v>
      </c>
      <c r="K176">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reviews_2025-04-01_16-16-31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Jarvs Github</cp:lastModifiedBy>
  <dcterms:created xsi:type="dcterms:W3CDTF">2025-05-02T19:21:28Z</dcterms:created>
  <dcterms:modified xsi:type="dcterms:W3CDTF">2025-05-03T04:53:40Z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E368EA763ACF453D85BCACDBB96DEF92_13</vt:lpwstr>
  </property>
  <property fmtid="{D5CDD505-2E9C-101B-9397-08002B2CF9AE}" pid="3" name="KSOProductBuildVer">
    <vt:lpwstr>1033-12.2.0.20795</vt:lpwstr>
  </property>
</Properties>
</file>