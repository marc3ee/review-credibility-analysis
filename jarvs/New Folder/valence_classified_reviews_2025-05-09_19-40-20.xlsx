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Revie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<sst xmlns="http://schemas.openxmlformats.org/spreadsheetml/2006/main" count="42" uniqueCount="24">
  <si>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Review</t>
  </si>
  <si>
    <t>Star Rating</t>
  </si>
  <si>
    <t>Valence</t>
  </si>
  <si>
    <t>Internal Consistency</t>
  </si>
  <si>
    <t>Argument Quality</t>
  </si>
  <si>
    <t>Objectivity</t>
  </si>
  <si>
    <t>Sidedness</t>
  </si>
  <si>
    <t>RIQ Score</t>
  </si>
  <si>
    <t>RIQ Label</t>
  </si>
  <si>
    <t>Template Flag</t>
  </si>
  <si>
    <t>Spam Flag</t>
  </si>
  <si>
    <t>CREDIBILITY</t>
  </si>
  <si>
    <t>magandang gamitin itong power bank na ito kahit maliit nakapag full sya ng phone halos empty na un phone ko nun ginamit ito, good job👍thank you seller..</t>
  </si>
  <si>
    <t>POSITIVE</t>
  </si>
  <si>
    <t>HIGH</t>
  </si>
  <si>
    <t>OS</t>
  </si>
  <si>
    <t>The parcel was shipped safely and very fast. No damages and the power-bank is working very well.</t>
  </si>
  <si>
    <t>Sibrang ganda niya and fast delivery!</t>
  </si>
  <si>
    <t>MODERATE</t>
  </si>
  <si>
    <t>LOW</t>
  </si>
  <si>
    <t>Very nice matagal sa malobat 😍😍😍</t>
  </si>
  <si>
    <t>Perfect for travel and emergencies, Efficient power output for reliable performance</t>
  </si>
  <si>
    <t>It is not romoss. Testing sa item if it is good.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</si>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</sst>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₱&quot;* #,##0.00_-;\-&quot;₱&quot;* #,##0.00_-;_-&quot;₱&quot;* &quot;-&quot;??_-;_-@_-"/>
    <numFmt numFmtId="177" formatCode="_-&quot;₱&quot;* #,##0_-;\-&quot;₱&quot;* #,##0_-;_-&quot;₱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K8" sqref="K8"/>
    </sheetView>
  </sheetViews>
  <sheetFormatPr defaultColWidth="9" defaultRowHeight="16.8" outlineLevelRow="6"/>
  <cols>
    <col min="1" max="1" width="91.140625" style="1" customWidth="1"/>
    <col min="2" max="2" width="11.140625" customWidth="1"/>
    <col min="3" max="3" width="10.4296875" customWidth="1"/>
    <col min="4" max="4" width="20.7109375" customWidth="1"/>
    <col min="5" max="5" width="18.140625" customWidth="1"/>
    <col min="6" max="6" width="11.4296875" customWidth="1"/>
    <col min="7" max="7" width="10.5703125" customWidth="1"/>
    <col min="8" max="8" width="10" customWidth="1"/>
    <col min="9" max="9" width="9.859375" customWidth="1"/>
    <col min="10" max="10" width="14.4296875" customWidth="1"/>
    <col min="11" max="11" width="10.4296875" customWidth="1"/>
    <col min="12" max="12" width="12.140625" customWidth="1"/>
  </cols>
  <sheetData>
    <row r="1" ht="17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34" spans="1:11">
      <c r="A2" s="1" t="s">
        <v>12</v>
      </c>
      <c r="B2">
        <v>5</v>
      </c>
      <c r="C2" t="s">
        <v>13</v>
      </c>
      <c r="D2" t="str">
        <f t="shared" ref="D2:D7" si="0">IF(OR(AND(OR(B2=1,B2=2),C2="Negative"),AND(B2=3,OR(C2="Neutral",C2="Negative")),AND(OR(B2=4,B2=5),C2="Positive")),"CONSISTENT","INCONSISTENT")</f>
        <v>CONSISTENT</v>
      </c>
      <c r="E2" t="s">
        <v>14</v>
      </c>
      <c r="F2" t="s">
        <v>14</v>
      </c>
      <c r="G2" t="s">
        <v>15</v>
      </c>
      <c r="H2">
        <f t="shared" ref="H2:H7" si="1">IF(E2="Low",0,IF(E2="Moderate",1,IF(E2="High",2)))+IF(F2="Low",0,IF(F2="Moderate",1,IF(F2="High",2)))+IF(G2="OS",0,IF(G2="TS",1))</f>
        <v>4</v>
      </c>
      <c r="I2" t="str">
        <f t="shared" ref="I2:I7" si="2">IF(H2&lt;=1,"Low RIQ",IF(H2&lt;=3,"Moderate RIQ","High RIQ"))</f>
        <v>High RIQ</v>
      </c>
      <c r="J2">
        <v>0</v>
      </c>
      <c r="K2">
        <v>0</v>
      </c>
    </row>
    <row r="3" ht="17" spans="1:11">
      <c r="A3" s="1" t="s">
        <v>16</v>
      </c>
      <c r="B3">
        <v>5</v>
      </c>
      <c r="C3" t="s">
        <v>13</v>
      </c>
      <c r="D3" t="str">
        <f t="shared" si="0"/>
        <v>CONSISTENT</v>
      </c>
      <c r="E3" t="s">
        <v>14</v>
      </c>
      <c r="F3" t="s">
        <v>14</v>
      </c>
      <c r="G3" t="s">
        <v>15</v>
      </c>
      <c r="H3">
        <f t="shared" si="1"/>
        <v>4</v>
      </c>
      <c r="I3" t="str">
        <f t="shared" si="2"/>
        <v>High RIQ</v>
      </c>
      <c r="J3">
        <v>0</v>
      </c>
      <c r="K3">
        <v>0</v>
      </c>
    </row>
    <row r="4" ht="17" spans="1:11">
      <c r="A4" s="1" t="s">
        <v>17</v>
      </c>
      <c r="B4">
        <v>5</v>
      </c>
      <c r="C4" t="s">
        <v>13</v>
      </c>
      <c r="D4" t="str">
        <f t="shared" si="0"/>
        <v>CONSISTENT</v>
      </c>
      <c r="E4" t="s">
        <v>18</v>
      </c>
      <c r="F4" t="s">
        <v>19</v>
      </c>
      <c r="G4" t="s">
        <v>15</v>
      </c>
      <c r="H4">
        <f t="shared" si="1"/>
        <v>1</v>
      </c>
      <c r="I4" t="str">
        <f t="shared" si="2"/>
        <v>Low RIQ</v>
      </c>
      <c r="J4">
        <v>0</v>
      </c>
      <c r="K4">
        <v>0</v>
      </c>
    </row>
    <row r="5" ht="17" spans="1:11">
      <c r="A5" s="1" t="s">
        <v>20</v>
      </c>
      <c r="B5">
        <v>5</v>
      </c>
      <c r="C5" t="s">
        <v>13</v>
      </c>
      <c r="D5" t="str">
        <f t="shared" si="0"/>
        <v>CONSISTENT</v>
      </c>
      <c r="E5" t="s">
        <v>18</v>
      </c>
      <c r="F5" t="s">
        <v>14</v>
      </c>
      <c r="G5" t="s">
        <v>15</v>
      </c>
      <c r="H5">
        <f t="shared" si="1"/>
        <v>3</v>
      </c>
      <c r="I5" t="str">
        <f t="shared" si="2"/>
        <v>Moderate RIQ</v>
      </c>
      <c r="J5">
        <v>0</v>
      </c>
      <c r="K5">
        <v>1</v>
      </c>
    </row>
    <row r="6" ht="17" spans="1:11">
      <c r="A6" s="1" t="s">
        <v>21</v>
      </c>
      <c r="B6">
        <v>5</v>
      </c>
      <c r="C6" t="s">
        <v>13</v>
      </c>
      <c r="D6" t="str">
        <f t="shared" si="0"/>
        <v>CONSISTENT</v>
      </c>
      <c r="E6" t="s">
        <v>18</v>
      </c>
      <c r="F6" t="s">
        <v>14</v>
      </c>
      <c r="G6" t="s">
        <v>15</v>
      </c>
      <c r="H6">
        <f t="shared" si="1"/>
        <v>3</v>
      </c>
      <c r="I6" t="str">
        <f t="shared" si="2"/>
        <v>Moderate RIQ</v>
      </c>
      <c r="J6">
        <v>2</v>
      </c>
      <c r="K6">
        <v>0</v>
      </c>
    </row>
    <row r="7" ht="17" spans="1:11">
      <c r="A7" s="1" t="s">
        <v>22</v>
      </c>
      <c r="B7">
        <v>5</v>
      </c>
      <c r="C7" t="s">
        <v>23</v>
      </c>
      <c r="D7" t="str">
        <f t="shared" si="0"/>
        <v>INCONSISTENT</v>
      </c>
      <c r="E7" t="s">
        <v>18</v>
      </c>
      <c r="F7" t="s">
        <v>14</v>
      </c>
      <c r="G7" t="s">
        <v>15</v>
      </c>
      <c r="H7">
        <f t="shared" si="1"/>
        <v>3</v>
      </c>
      <c r="I7" t="str">
        <f t="shared" si="2"/>
        <v>Moderate RIQ</v>
      </c>
      <c r="J7">
        <v>0</v>
      </c>
      <c r="K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jarveyilano</cp:lastModifiedBy>
  <dcterms:created xsi:type="dcterms:W3CDTF">2025-05-09T19:40:00Z</dcterms:created>
  <dcterms:modified xsi:type="dcterms:W3CDTF">2025-05-12T11:50:29Z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2FC7BED30395496E8B9EB43194AE78F8_12</vt:lpwstr>
  </property>
  <property fmtid="{D5CDD505-2E9C-101B-9397-08002B2CF9AE}" pid="3" name="KSOProductBuildVer">
    <vt:lpwstr>1033-6.13.1.8710</vt:lpwstr>
  </property>
</Properties>
</file>