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<sst xmlns="http://schemas.openxmlformats.org/spreadsheetml/2006/main" count="168" uniqueCount="90">
  <si>
    <t>Review</t>
  </si>
  <si>
    <t>Star Rating</t>
  </si>
  <si>
    <t>Valence</t>
  </si>
  <si>
    <t>Internal Consistency</t>
  </si>
  <si>
    <t>Argument Quality</t>
  </si>
  <si>
    <t>Objectivity</t>
  </si>
  <si>
    <t>Sidedness</t>
  </si>
  <si>
    <t>RIQ Score</t>
  </si>
  <si>
    <t>RIQ Label</t>
  </si>
  <si>
    <t>Template Flag</t>
  </si>
  <si>
    <t>Spam Flag</t>
  </si>
  <si>
    <t>CREDIBILITY</t>
  </si>
  <si>
    <t>Versatile cleaning modes for different needs., Smart navigation, avoids obstacles with ease.,</t>
  </si>
  <si>
    <t>POSITIVE</t>
  </si>
  <si>
    <t>Legitimate purchase 🎄 can’t wait to see it do its magic. Has a charging dock, connects to my Mi App. Versatile cleaning modes for different needs., Quiet operation, won't disturb your peace.,</t>
  </si>
  <si>
    <t>Powerful suction, leaves floors spotless., Great value for the price, highly recommended., Convenient scheduling, set it and forget it., Efficient cleaning, hassle-free experience., Very nice talagang sinusuyid nya ang sulok 🥰</t>
  </si>
  <si>
    <t>Smart navigation, avoids obstacles with ease., Versatile cleaning modes for different needs., Quiet operation, won't disturb your peace.,</t>
  </si>
  <si>
    <t>Great value for the price, highly recommended., Versatile cleaning modes for different needs., Powerful suction, leaves floors spotless., Convenient scheduling, set it and forget it., Easy to use and control., Smart navigation, avoids obstacles with ease., Quiet operation, won't disturb your peace.,</t>
  </si>
  <si>
    <t>Efficient cleaning, hassle-free experience., Versatile cleaning modes for different needs., Powerful suction, leaves floors spotless., Great value for the price, highly recommended.,</t>
  </si>
  <si>
    <t>Efficient cleaning, hassle-free experience., Powerful suction, leaves floors spotless., Easy to use and control., Great value for the price, highly recommended.,</t>
  </si>
  <si>
    <t>Satisfied with this vacuum. My floor is just cleaner after only a few days of use, thanks to the dual vacuum and mop function. It is not perfect, but it does the job.</t>
  </si>
  <si>
    <t>Convenient scheduling, set it and forget it., Efficient cleaning, hassle-free experience., Great value for the price, highly recommended., Easy to use and control., Powerful suction, leaves floors spotless.,</t>
  </si>
  <si>
    <t>Powerful suction, leaves floors spotless., Smart navigation, avoids obstacles with ease., Easy to use and control.,</t>
  </si>
  <si>
    <t>Versatile cleaning modes for different needs., Easy to use and control., Powerful suction, leaves floors spotless.,</t>
  </si>
  <si>
    <t>Quiet operation, won't disturb your peace., Powerful suction, leaves floors spotless., Versatile cleaning modes for different needs., Smart navigation, avoids obstacles with ease., Efficient cleaning, hassle-free experience.,</t>
  </si>
  <si>
    <t>Gooooooooooooooooooooooooooooooooooooooooooooooooooooooooooddddddddddddddddddddddddfff</t>
  </si>
  <si>
    <t>NEUTRAL</t>
  </si>
  <si>
    <t>so happy w the results. I took a photo of its first vacuum on our ground floor. solid value and highly recommended..</t>
  </si>
  <si>
    <t>Works as promised. Really targets all areas. Our floor is left clean and shiny</t>
  </si>
  <si>
    <t>Versatile cleaning modes for different needs., Powerful suction, leaves floors spotless., Efficient cleaning, hassle-free experience., Great value for the price, highly recommended.,</t>
  </si>
  <si>
    <t>Efficient cleaning, hassle-free experience., Convenient scheduling, set it and forget it., Powerful suction, leaves floors spotless.,</t>
  </si>
  <si>
    <t>Efficient cleaning, hassle-free experience., Quiet operation, won't disturb your peace., Powerful suction, leaves floors spotless., Versatile cleaning modes for different needs.,</t>
  </si>
  <si>
    <t>Great value for the price, highly recommended., Easy to use and control., Efficient cleaning, hassle-free experience.,</t>
  </si>
  <si>
    <t>Quiet operation, won't disturb your peace., Easy to use and control., Versatile cleaning modes for different needs., Powerful suction, leaves floors spotless., Convenient scheduling, set it and forget it.,</t>
  </si>
  <si>
    <t>Quick delivery - only took a few days even it coming from abroad. So far so good. Cleans well - gets stuck from time to time.</t>
  </si>
  <si>
    <t>Powerful suction, leaves floors spotless., Efficient cleaning, hassle-free experience., Convenient scheduling, set it and forget it.,</t>
  </si>
  <si>
    <t>Great value for the price, highly recommended., Versatile cleaning modes for different needs., Smart navigation, avoids obstacles with ease.,</t>
  </si>
  <si>
    <t>Great value for the price, highly recommended., Quiet operation, won't disturb your peace., Smart navigation, avoids obstacles with ease.,</t>
  </si>
  <si>
    <t>Smart navigation, avoids obstacles with ease., Easy to use and control., Versatile cleaning modes for different needs., Efficient cleaning, hassle-free experience., Powerful suction, leaves floors spotless., Convenient scheduling, set it and forget it., Great value for the price, highly recommended., Quiet operation, won't disturb your peace.,</t>
  </si>
  <si>
    <t>Quiet operation, won't disturb your peace., Versatile cleaning modes for different needs., Smart navigation, avoids obstacles with ease., Convenient scheduling, set it and forget it.,</t>
  </si>
  <si>
    <t>💨Suction Power:Great value for the price, highly recommended., Easy to use and control.,</t>
  </si>
  <si>
    <t>it is what just a lazy person needs Great value for the price, highly recommended., Efficient cleaning, hassle-free experience.,</t>
  </si>
  <si>
    <t>🧭Navigation System:Our house is small and had a lot of things on the floor so the vacuum kept on bumping on things. The manual emphasized that everything that can be put above, should be put above because it literally sucks everything on its way. It is important to know that the floor should be clean of any debris. 💨Suction Power:Worked like a charm. Our living room floor was instantly cleaned.Great value for the price, highly recommended. On the other hand it is a bit difficult to set up especially when you're not tech savvy. On the bright side, it can be turned on even without the mobile phone. However, it needs to be connected to the wifi for it to function.</t>
  </si>
  <si>
    <t>Efficient cleaning, hassle-free experience., Smart navigation, avoids obstacles with ease., Versatile cleaning modes for different needs.,</t>
  </si>
  <si>
    <t>Aaaaaaaaaaaaaaaaaaaaaaaaaaaaaaaaaaaaaaaaaaaaaaaaaaaaaaaaaaaaaaaaaaaaaaaaaaaaaa</t>
  </si>
  <si>
    <t>💨Suction Power:Quiet operation, won't disturb your peace., Powerful suction, leaves floors spotless., Efficient cleaning, hassle-free experience., 🧭Navigation System:Smart navigation, avoids obstacles with ease., Easy to use and control., Versatile cleaning modes for different needs., Convenient scheduling, set it and forget it., Great value for the price, highly recommended.,</t>
  </si>
  <si>
    <t>Smart navigation, avoids obstacles with ease., Easy to use and control., Smart navigation, avoids obstacles with ease., Smart navigation, avoids obstacles with ease.,</t>
  </si>
  <si>
    <t>Quiet operation, won't disturb your peace., Quiet operation, won't disturb your peace., Quiet operation, won't disturb your peace.,</t>
  </si>
  <si>
    <t>Efficient cleaning, hassle-free experience., Convenient scheduling, set it and forget it.,</t>
  </si>
  <si>
    <t>Smart navigation, avoids obstacles with ease.,</t>
  </si>
  <si>
    <t>Smart navigation, avoids obstacles with ease., Efficient cleaning, hassle-free experience., Efficient cleaning, hassle-free experience., Convenient scheduling, set it and forget it., Versatile cleaning modes for different needs., Powerful suction, leaves floors spotless.,</t>
  </si>
  <si>
    <t>🔋Battery Life:10/10 🧭Navigation System:8/10 💨Suction Power:8/10 Convenient scheduling, set it and forget it., Versatile cleaning modes for different needs.,</t>
  </si>
  <si>
    <t>Quiet operation, won't disturb your peace., Smart navigation, avoids obstacles with ease., Versatile cleaning modes for different needs.,</t>
  </si>
  <si>
    <t>Smart navigation, avoids obstacles with ease., Smart navigation, avoids obstacles with ease., Versatile cleaning modes for different needs., Convenient scheduling, set it and forget it., Easy to use and control.,</t>
  </si>
  <si>
    <t>Smart navigation, avoids obstacles with ease., Quiet operation, won't disturb your peace., Great value for the price, highly recommended., Easy to use and control.,</t>
  </si>
  <si>
    <t>Quality: Versatile cleaning modes for different needs., Great value for the price, highly recommended., Convenient scheduling, set it and forget it.,</t>
  </si>
  <si>
    <t>Efficient cleaning, hassle-free experience., Great value for the price, highly recommended., Quiet operation, won't disturb your peace.,</t>
  </si>
  <si>
    <t>Great value for the price, highly recommended.,</t>
  </si>
  <si>
    <t>Material:Easy to use and control., Powerful suction, leaves floors spotless., Efficient cleaning, hassle-free experience., Convenient scheduling, set it and forget it., Convenient scheduling, set it and forget it.,</t>
  </si>
  <si>
    <t>Efficient cleaning, hassle-free experience.,</t>
  </si>
  <si>
    <t>Great value for the price,</t>
  </si>
  <si>
    <t>well behaved pet, a little stubborn though, bumping into walls and crevices, no worries with food, it consumes everything in its path.</t>
  </si>
  <si>
    <t>Great value for the price, highly recommended., Great value for the price, highly recommended.,</t>
  </si>
  <si>
    <t>Efficient cleaning, hassle-free experience., Smart navigation, avoids obstacles with ease., Smart navigation, avoids obstacles with ease., Smart navigation, avoids obstacles with ease., Smart navigation, avoids obstacles with ease., Smart navigation, avoids obstacles with ease.,</t>
  </si>
  <si>
    <t>Efficient cleaning, hassle-free experience., Great value for the price, highly recommended.,</t>
  </si>
  <si>
    <t>Fast shipping and delivery. I've been using this for the past 2 days since I received it and I absolutely love it!! It has some weaknesses, such as not being able to scrub off heavy dried stains and it gets stuck on extension cords, but if you pick up obstacles it does really well on the floor coverage and sweeping edges and corners so later I can take my own mop and just easily finish off the surface problems. Overall I'm really happy with this robot vacuum!</t>
  </si>
  <si>
    <t>Smart navigation, avoids obstacles with ease., Efficient cleaning, hassle-free experience., Convenient scheduling, set it and forget it., Convenient scheduling, set it and forget it.,</t>
  </si>
  <si>
    <t>Excellent device , using this daily workhorse . Must have device</t>
  </si>
  <si>
    <t>Smart navigation, avoids obstacles with ease., Efficient cleaning, hassle-free experience.,</t>
  </si>
  <si>
    <t>Powerful suction, leaves floors spotless., Smart navigation, avoids obstacles with ease., Quiet operation, won't disturb your peace.,</t>
  </si>
  <si>
    <t>Nice</t>
  </si>
  <si>
    <t>ganda</t>
  </si>
  <si>
    <t>Easy to use and control., Great value for the price, highly recommended.,</t>
  </si>
  <si>
    <t>It has most of the features of the expensive Robovacs but it's a slightly clumsier version that bumps into more things. It has the Xiaomi quality and it arrived in Palawan after 10 days. Suction is same as many expensive models. The mop is easy to use. I am very happy with the price</t>
  </si>
  <si>
    <t>Functionality:Powerful suction, leaves floors spotless., Smart navigation, avoids obstacles with ease., Efficient cleaning, hassle-free experience., Easy to use and control., Smart navigation, avoids obstacles with ease.,</t>
  </si>
  <si>
    <t>Versatile cleaning modes for different needs., Quiet operation, won't disturb your peace.,</t>
  </si>
  <si>
    <t>Great value for the price, highly recommended., Easy to use and control.</t>
  </si>
  <si>
    <t>Quiet operation, won't disturb your peace., Easy to use and control., Great value for the price, highly recommended., Efficient cleaning, hassle-free experience.,</t>
  </si>
  <si>
    <t>Easy to use and control., Smart navigation, avoids obstacles with ease.,</t>
  </si>
  <si>
    <t>Great value for the price, highly recommended., Efficient cleaning, hassle-free experience., Convenient scheduling, set it and forget it.,</t>
  </si>
  <si>
    <t>Easy to use and control., Versatile cleaning modes for different needs., Smart navigation, avoids obstacles with ease. Worth the price.</t>
  </si>
  <si>
    <t>🔋Battery Life：</t>
  </si>
  <si>
    <t>Easy to use and control., Efficient cleaning, hassle-free experience.,</t>
  </si>
  <si>
    <t>Great value for the price, highly recommended., Efficient cleaning, hassle-free experience.,</t>
  </si>
  <si>
    <t>Quality:ganda</t>
  </si>
  <si>
    <t>Great performance! pang Oscar's!</t>
  </si>
  <si>
    <t>Convenient scheduling, set it and forget it.,</t>
  </si>
  <si>
    <t>A lot cheaper but a lot “dumber” than my old 2C</t>
  </si>
  <si>
    <t>NEGATIVE</t>
  </si>
  <si>
    <t>Not good packaging.It came with no protection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</si>
</sst>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abSelected="1" topLeftCell="A49" workbookViewId="0">
      <selection activeCell="C56" sqref="C56"/>
    </sheetView>
  </sheetViews>
  <sheetFormatPr defaultColWidth="9" defaultRowHeight="15"/>
  <cols>
    <col min="1" max="1" width="145" style="1" customWidth="1"/>
    <col min="2" max="2" width="11.1428571428571" customWidth="1"/>
    <col min="3" max="3" width="10.4285714285714" customWidth="1"/>
    <col min="4" max="4" width="20.7142857142857" customWidth="1"/>
    <col min="5" max="5" width="18.1428571428571" customWidth="1"/>
    <col min="6" max="6" width="11.4285714285714" customWidth="1"/>
    <col min="7" max="7" width="10.5714285714286" customWidth="1"/>
    <col min="8" max="8" width="10" customWidth="1"/>
    <col min="9" max="9" width="9.85714285714286" customWidth="1"/>
    <col min="10" max="10" width="14.4285714285714" customWidth="1"/>
    <col min="11" max="11" width="10.4285714285714" customWidth="1"/>
    <col min="12" max="12" width="12.1428571428571" customWidth="1"/>
  </cols>
  <sheetData>
    <row r="1" spans="1:12">
      <c r="A1" s="1" t="s">
        <v>0</v>
      </c>
      <c r="B1" t="s">
        <v>1</v>
      </c>
      <c r="C1" t="s">
        <v>2</v>
      </c>
      <c r="D1" t="s">
        <v>3</v>
      </c>
      <c r="E1" t="s">
        <v>4</v>
      </c>
      <c r="F1" t="s">
        <v>5</v>
      </c>
      <c r="G1" t="s">
        <v>6</v>
      </c>
      <c r="H1" t="s">
        <v>7</v>
      </c>
      <c r="I1" t="s">
        <v>8</v>
      </c>
      <c r="J1" t="s">
        <v>9</v>
      </c>
      <c r="K1" t="s">
        <v>10</v>
      </c>
      <c r="L1" t="s">
        <v>11</v>
      </c>
    </row>
    <row r="2" spans="1:9">
      <c r="A2" s="1" t="s">
        <v>12</v>
      </c>
      <c r="B2">
        <v>5</v>
      </c>
      <c r="C2" t="s">
        <v>13</v>
      </c>
      <c r="D2" t="str">
        <f t="shared" ref="D2:D65" si="0">IF(OR(AND(OR(B2=1,B2=2),C2="Negative"),AND(B2=3,OR(C2="Neutral",C2="Negative")),AND(OR(B2=4,B2=5),C2="Positive")),"CONSISTENT","INCONSISTENT")</f>
        <v>CONSISTENT</v>
      </c>
      <c r="H2">
        <f t="shared" ref="H2:H65" si="1">IF(E2="Low",0,IF(E2="Moderate",1,IF(E2="High",2)))+IF(F2="Low",0,IF(F2="Moderate",1,IF(F2="High",2)))+IF(G2="OS",0,IF(G2="TS",1))</f>
        <v>0</v>
      </c>
      <c r="I2" t="str">
        <f t="shared" ref="I2:I65" si="2">IF(H2&lt;=1,"Low RIQ",IF(H2&lt;=3,"Moderate RIQ","High RIQ"))</f>
        <v>Low RIQ</v>
      </c>
    </row>
    <row r="3" ht="30" spans="1:9">
      <c r="A3" s="1" t="s">
        <v>14</v>
      </c>
      <c r="B3">
        <v>5</v>
      </c>
      <c r="C3" t="s">
        <v>13</v>
      </c>
      <c r="D3" t="str">
        <f t="shared" si="0"/>
        <v>CONSISTENT</v>
      </c>
      <c r="H3">
        <f t="shared" si="1"/>
        <v>0</v>
      </c>
      <c r="I3" t="str">
        <f t="shared" si="2"/>
        <v>Low RIQ</v>
      </c>
    </row>
    <row r="4" ht="30" spans="1:9">
      <c r="A4" s="1" t="s">
        <v>15</v>
      </c>
      <c r="B4">
        <v>5</v>
      </c>
      <c r="C4" t="s">
        <v>13</v>
      </c>
      <c r="D4" t="str">
        <f t="shared" si="0"/>
        <v>CONSISTENT</v>
      </c>
      <c r="H4">
        <f t="shared" si="1"/>
        <v>0</v>
      </c>
      <c r="I4" t="str">
        <f t="shared" si="2"/>
        <v>Low RIQ</v>
      </c>
    </row>
    <row r="5" spans="1:9">
      <c r="A5" s="1" t="s">
        <v>16</v>
      </c>
      <c r="B5">
        <v>5</v>
      </c>
      <c r="C5" t="s">
        <v>13</v>
      </c>
      <c r="D5" t="str">
        <f t="shared" si="0"/>
        <v>CONSISTENT</v>
      </c>
      <c r="H5">
        <f t="shared" si="1"/>
        <v>0</v>
      </c>
      <c r="I5" t="str">
        <f t="shared" si="2"/>
        <v>Low RIQ</v>
      </c>
    </row>
    <row r="6" ht="30" spans="1:9">
      <c r="A6" s="1" t="s">
        <v>17</v>
      </c>
      <c r="B6">
        <v>5</v>
      </c>
      <c r="C6" t="s">
        <v>13</v>
      </c>
      <c r="D6" t="str">
        <f t="shared" si="0"/>
        <v>CONSISTENT</v>
      </c>
      <c r="H6">
        <f t="shared" si="1"/>
        <v>0</v>
      </c>
      <c r="I6" t="str">
        <f t="shared" si="2"/>
        <v>Low RIQ</v>
      </c>
    </row>
    <row r="7" ht="30" spans="1:9">
      <c r="A7" s="1" t="s">
        <v>18</v>
      </c>
      <c r="B7">
        <v>5</v>
      </c>
      <c r="C7" t="s">
        <v>13</v>
      </c>
      <c r="D7" t="str">
        <f t="shared" si="0"/>
        <v>CONSISTENT</v>
      </c>
      <c r="H7">
        <f t="shared" si="1"/>
        <v>0</v>
      </c>
      <c r="I7" t="str">
        <f t="shared" si="2"/>
        <v>Low RIQ</v>
      </c>
    </row>
    <row r="8" spans="1:9">
      <c r="A8" s="1" t="s">
        <v>19</v>
      </c>
      <c r="B8">
        <v>5</v>
      </c>
      <c r="C8" t="s">
        <v>13</v>
      </c>
      <c r="D8" t="str">
        <f t="shared" si="0"/>
        <v>CONSISTENT</v>
      </c>
      <c r="H8">
        <f t="shared" si="1"/>
        <v>0</v>
      </c>
      <c r="I8" t="str">
        <f t="shared" si="2"/>
        <v>Low RIQ</v>
      </c>
    </row>
    <row r="9" spans="1:9">
      <c r="A9" s="1" t="s">
        <v>20</v>
      </c>
      <c r="B9">
        <v>5</v>
      </c>
      <c r="C9" t="s">
        <v>13</v>
      </c>
      <c r="D9" t="str">
        <f t="shared" si="0"/>
        <v>CONSISTENT</v>
      </c>
      <c r="H9">
        <f t="shared" si="1"/>
        <v>0</v>
      </c>
      <c r="I9" t="str">
        <f t="shared" si="2"/>
        <v>Low RIQ</v>
      </c>
    </row>
    <row r="10" ht="30" spans="1:9">
      <c r="A10" s="1" t="s">
        <v>21</v>
      </c>
      <c r="B10">
        <v>5</v>
      </c>
      <c r="C10" t="s">
        <v>13</v>
      </c>
      <c r="D10" t="str">
        <f t="shared" si="0"/>
        <v>CONSISTENT</v>
      </c>
      <c r="H10">
        <f t="shared" si="1"/>
        <v>0</v>
      </c>
      <c r="I10" t="str">
        <f t="shared" si="2"/>
        <v>Low RIQ</v>
      </c>
    </row>
    <row r="11" spans="1:9">
      <c r="A11" s="1" t="s">
        <v>22</v>
      </c>
      <c r="B11">
        <v>5</v>
      </c>
      <c r="C11" t="s">
        <v>13</v>
      </c>
      <c r="D11" t="str">
        <f t="shared" si="0"/>
        <v>CONSISTENT</v>
      </c>
      <c r="H11">
        <f t="shared" si="1"/>
        <v>0</v>
      </c>
      <c r="I11" t="str">
        <f t="shared" si="2"/>
        <v>Low RIQ</v>
      </c>
    </row>
    <row r="12" spans="1:9">
      <c r="A12" s="1" t="s">
        <v>23</v>
      </c>
      <c r="B12">
        <v>5</v>
      </c>
      <c r="C12" t="s">
        <v>13</v>
      </c>
      <c r="D12" t="str">
        <f t="shared" si="0"/>
        <v>CONSISTENT</v>
      </c>
      <c r="H12">
        <f t="shared" si="1"/>
        <v>0</v>
      </c>
      <c r="I12" t="str">
        <f t="shared" si="2"/>
        <v>Low RIQ</v>
      </c>
    </row>
    <row r="13" ht="30" spans="1:9">
      <c r="A13" s="1" t="s">
        <v>24</v>
      </c>
      <c r="B13">
        <v>5</v>
      </c>
      <c r="C13" t="s">
        <v>13</v>
      </c>
      <c r="D13" t="str">
        <f t="shared" si="0"/>
        <v>CONSISTENT</v>
      </c>
      <c r="H13">
        <f t="shared" si="1"/>
        <v>0</v>
      </c>
      <c r="I13" t="str">
        <f t="shared" si="2"/>
        <v>Low RIQ</v>
      </c>
    </row>
    <row r="14" spans="1:9">
      <c r="A14" s="1" t="s">
        <v>25</v>
      </c>
      <c r="B14">
        <v>5</v>
      </c>
      <c r="C14" t="s">
        <v>26</v>
      </c>
      <c r="D14" t="str">
        <f t="shared" si="0"/>
        <v>INCONSISTENT</v>
      </c>
      <c r="H14">
        <f t="shared" si="1"/>
        <v>0</v>
      </c>
      <c r="I14" t="str">
        <f t="shared" si="2"/>
        <v>Low RIQ</v>
      </c>
    </row>
    <row r="15" spans="1:9">
      <c r="A15" s="1" t="s">
        <v>27</v>
      </c>
      <c r="B15">
        <v>5</v>
      </c>
      <c r="C15" t="s">
        <v>13</v>
      </c>
      <c r="D15" t="str">
        <f t="shared" si="0"/>
        <v>CONSISTENT</v>
      </c>
      <c r="H15">
        <f t="shared" si="1"/>
        <v>0</v>
      </c>
      <c r="I15" t="str">
        <f t="shared" si="2"/>
        <v>Low RIQ</v>
      </c>
    </row>
    <row r="16" spans="1:9">
      <c r="A16" s="1" t="s">
        <v>28</v>
      </c>
      <c r="B16">
        <v>5</v>
      </c>
      <c r="C16" t="s">
        <v>13</v>
      </c>
      <c r="D16" t="str">
        <f t="shared" si="0"/>
        <v>CONSISTENT</v>
      </c>
      <c r="H16">
        <f t="shared" si="1"/>
        <v>0</v>
      </c>
      <c r="I16" t="str">
        <f t="shared" si="2"/>
        <v>Low RIQ</v>
      </c>
    </row>
    <row r="17" ht="30" spans="1:9">
      <c r="A17" s="1" t="s">
        <v>29</v>
      </c>
      <c r="B17">
        <v>5</v>
      </c>
      <c r="C17" t="s">
        <v>13</v>
      </c>
      <c r="D17" t="str">
        <f t="shared" si="0"/>
        <v>CONSISTENT</v>
      </c>
      <c r="H17">
        <f t="shared" si="1"/>
        <v>0</v>
      </c>
      <c r="I17" t="str">
        <f t="shared" si="2"/>
        <v>Low RIQ</v>
      </c>
    </row>
    <row r="18" spans="1:9">
      <c r="A18" s="1" t="s">
        <v>30</v>
      </c>
      <c r="B18">
        <v>5</v>
      </c>
      <c r="C18" t="s">
        <v>13</v>
      </c>
      <c r="D18" t="str">
        <f t="shared" si="0"/>
        <v>CONSISTENT</v>
      </c>
      <c r="H18">
        <f t="shared" si="1"/>
        <v>0</v>
      </c>
      <c r="I18" t="str">
        <f t="shared" si="2"/>
        <v>Low RIQ</v>
      </c>
    </row>
    <row r="19" ht="30" spans="1:9">
      <c r="A19" s="1" t="s">
        <v>31</v>
      </c>
      <c r="B19">
        <v>5</v>
      </c>
      <c r="C19" t="s">
        <v>13</v>
      </c>
      <c r="D19" t="str">
        <f t="shared" si="0"/>
        <v>CONSISTENT</v>
      </c>
      <c r="H19">
        <f t="shared" si="1"/>
        <v>0</v>
      </c>
      <c r="I19" t="str">
        <f t="shared" si="2"/>
        <v>Low RIQ</v>
      </c>
    </row>
    <row r="20" spans="1:9">
      <c r="A20" s="1" t="s">
        <v>32</v>
      </c>
      <c r="B20">
        <v>5</v>
      </c>
      <c r="C20" t="s">
        <v>13</v>
      </c>
      <c r="D20" t="str">
        <f t="shared" si="0"/>
        <v>CONSISTENT</v>
      </c>
      <c r="H20">
        <f t="shared" si="1"/>
        <v>0</v>
      </c>
      <c r="I20" t="str">
        <f t="shared" si="2"/>
        <v>Low RIQ</v>
      </c>
    </row>
    <row r="21" ht="30" spans="1:9">
      <c r="A21" s="1" t="s">
        <v>33</v>
      </c>
      <c r="B21">
        <v>5</v>
      </c>
      <c r="C21" t="s">
        <v>13</v>
      </c>
      <c r="D21" t="str">
        <f t="shared" si="0"/>
        <v>CONSISTENT</v>
      </c>
      <c r="H21">
        <f t="shared" si="1"/>
        <v>0</v>
      </c>
      <c r="I21" t="str">
        <f t="shared" si="2"/>
        <v>Low RIQ</v>
      </c>
    </row>
    <row r="22" spans="1:9">
      <c r="A22" s="1" t="s">
        <v>34</v>
      </c>
      <c r="B22">
        <v>5</v>
      </c>
      <c r="C22" t="s">
        <v>13</v>
      </c>
      <c r="D22" t="str">
        <f t="shared" si="0"/>
        <v>CONSISTENT</v>
      </c>
      <c r="H22">
        <f t="shared" si="1"/>
        <v>0</v>
      </c>
      <c r="I22" t="str">
        <f t="shared" si="2"/>
        <v>Low RIQ</v>
      </c>
    </row>
    <row r="23" spans="1:9">
      <c r="A23" s="1" t="s">
        <v>35</v>
      </c>
      <c r="B23">
        <v>5</v>
      </c>
      <c r="C23" t="s">
        <v>13</v>
      </c>
      <c r="D23" t="str">
        <f t="shared" si="0"/>
        <v>CONSISTENT</v>
      </c>
      <c r="H23">
        <f t="shared" si="1"/>
        <v>0</v>
      </c>
      <c r="I23" t="str">
        <f t="shared" si="2"/>
        <v>Low RIQ</v>
      </c>
    </row>
    <row r="24" spans="1:9">
      <c r="A24" s="1" t="s">
        <v>36</v>
      </c>
      <c r="B24">
        <v>5</v>
      </c>
      <c r="C24" t="s">
        <v>13</v>
      </c>
      <c r="D24" t="str">
        <f t="shared" si="0"/>
        <v>CONSISTENT</v>
      </c>
      <c r="H24">
        <f t="shared" si="1"/>
        <v>0</v>
      </c>
      <c r="I24" t="str">
        <f t="shared" si="2"/>
        <v>Low RIQ</v>
      </c>
    </row>
    <row r="25" spans="1:9">
      <c r="A25" s="1" t="s">
        <v>37</v>
      </c>
      <c r="B25">
        <v>5</v>
      </c>
      <c r="C25" t="s">
        <v>13</v>
      </c>
      <c r="D25" t="str">
        <f t="shared" si="0"/>
        <v>CONSISTENT</v>
      </c>
      <c r="H25">
        <f t="shared" si="1"/>
        <v>0</v>
      </c>
      <c r="I25" t="str">
        <f t="shared" si="2"/>
        <v>Low RIQ</v>
      </c>
    </row>
    <row r="26" ht="45" spans="1:9">
      <c r="A26" s="1" t="s">
        <v>38</v>
      </c>
      <c r="B26">
        <v>5</v>
      </c>
      <c r="C26" t="s">
        <v>13</v>
      </c>
      <c r="D26" t="str">
        <f t="shared" si="0"/>
        <v>CONSISTENT</v>
      </c>
      <c r="H26">
        <f t="shared" si="1"/>
        <v>0</v>
      </c>
      <c r="I26" t="str">
        <f t="shared" si="2"/>
        <v>Low RIQ</v>
      </c>
    </row>
    <row r="27" ht="30" spans="1:9">
      <c r="A27" s="1" t="s">
        <v>39</v>
      </c>
      <c r="B27">
        <v>5</v>
      </c>
      <c r="C27" t="s">
        <v>13</v>
      </c>
      <c r="D27" t="str">
        <f t="shared" si="0"/>
        <v>CONSISTENT</v>
      </c>
      <c r="H27">
        <f t="shared" si="1"/>
        <v>0</v>
      </c>
      <c r="I27" t="str">
        <f t="shared" si="2"/>
        <v>Low RIQ</v>
      </c>
    </row>
    <row r="28" spans="1:9">
      <c r="A28" s="1" t="s">
        <v>40</v>
      </c>
      <c r="B28">
        <v>5</v>
      </c>
      <c r="C28" t="s">
        <v>13</v>
      </c>
      <c r="D28" t="str">
        <f t="shared" si="0"/>
        <v>CONSISTENT</v>
      </c>
      <c r="H28">
        <f t="shared" si="1"/>
        <v>0</v>
      </c>
      <c r="I28" t="str">
        <f t="shared" si="2"/>
        <v>Low RIQ</v>
      </c>
    </row>
    <row r="29" spans="1:9">
      <c r="A29" s="1" t="s">
        <v>41</v>
      </c>
      <c r="B29">
        <v>5</v>
      </c>
      <c r="C29" t="s">
        <v>13</v>
      </c>
      <c r="D29" t="str">
        <f t="shared" si="0"/>
        <v>CONSISTENT</v>
      </c>
      <c r="H29">
        <f t="shared" si="1"/>
        <v>0</v>
      </c>
      <c r="I29" t="str">
        <f t="shared" si="2"/>
        <v>Low RIQ</v>
      </c>
    </row>
    <row r="30" ht="75" spans="1:9">
      <c r="A30" s="1" t="s">
        <v>42</v>
      </c>
      <c r="B30">
        <v>5</v>
      </c>
      <c r="C30" t="s">
        <v>13</v>
      </c>
      <c r="D30" t="str">
        <f t="shared" si="0"/>
        <v>CONSISTENT</v>
      </c>
      <c r="H30">
        <f t="shared" si="1"/>
        <v>0</v>
      </c>
      <c r="I30" t="str">
        <f t="shared" si="2"/>
        <v>Low RIQ</v>
      </c>
    </row>
    <row r="31" spans="1:9">
      <c r="A31" s="1" t="s">
        <v>43</v>
      </c>
      <c r="B31">
        <v>5</v>
      </c>
      <c r="C31" t="s">
        <v>13</v>
      </c>
      <c r="D31" t="str">
        <f t="shared" si="0"/>
        <v>CONSISTENT</v>
      </c>
      <c r="H31">
        <f t="shared" si="1"/>
        <v>0</v>
      </c>
      <c r="I31" t="str">
        <f t="shared" si="2"/>
        <v>Low RIQ</v>
      </c>
    </row>
    <row r="32" spans="1:9">
      <c r="A32" s="1" t="s">
        <v>44</v>
      </c>
      <c r="B32">
        <v>5</v>
      </c>
      <c r="C32" t="s">
        <v>26</v>
      </c>
      <c r="D32" t="str">
        <f t="shared" si="0"/>
        <v>INCONSISTENT</v>
      </c>
      <c r="H32">
        <f t="shared" si="1"/>
        <v>0</v>
      </c>
      <c r="I32" t="str">
        <f t="shared" si="2"/>
        <v>Low RIQ</v>
      </c>
    </row>
    <row r="33" ht="45" spans="1:9">
      <c r="A33" s="1" t="s">
        <v>45</v>
      </c>
      <c r="B33">
        <v>5</v>
      </c>
      <c r="C33" t="s">
        <v>13</v>
      </c>
      <c r="D33" t="str">
        <f t="shared" si="0"/>
        <v>CONSISTENT</v>
      </c>
      <c r="H33">
        <f t="shared" si="1"/>
        <v>0</v>
      </c>
      <c r="I33" t="str">
        <f t="shared" si="2"/>
        <v>Low RIQ</v>
      </c>
    </row>
    <row r="34" spans="1:9">
      <c r="A34" s="1" t="s">
        <v>46</v>
      </c>
      <c r="B34">
        <v>5</v>
      </c>
      <c r="C34" t="s">
        <v>13</v>
      </c>
      <c r="D34" t="str">
        <f t="shared" si="0"/>
        <v>CONSISTENT</v>
      </c>
      <c r="H34">
        <f t="shared" si="1"/>
        <v>0</v>
      </c>
      <c r="I34" t="str">
        <f t="shared" si="2"/>
        <v>Low RIQ</v>
      </c>
    </row>
    <row r="35" spans="1:9">
      <c r="A35" s="1" t="s">
        <v>47</v>
      </c>
      <c r="B35">
        <v>5</v>
      </c>
      <c r="C35" t="s">
        <v>13</v>
      </c>
      <c r="D35" t="str">
        <f t="shared" si="0"/>
        <v>CONSISTENT</v>
      </c>
      <c r="H35">
        <f t="shared" si="1"/>
        <v>0</v>
      </c>
      <c r="I35" t="str">
        <f t="shared" si="2"/>
        <v>Low RIQ</v>
      </c>
    </row>
    <row r="36" spans="1:9">
      <c r="A36" s="1" t="s">
        <v>48</v>
      </c>
      <c r="B36">
        <v>5</v>
      </c>
      <c r="C36" t="s">
        <v>13</v>
      </c>
      <c r="D36" t="str">
        <f t="shared" si="0"/>
        <v>CONSISTENT</v>
      </c>
      <c r="H36">
        <f t="shared" si="1"/>
        <v>0</v>
      </c>
      <c r="I36" t="str">
        <f t="shared" si="2"/>
        <v>Low RIQ</v>
      </c>
    </row>
    <row r="37" spans="1:9">
      <c r="A37" s="1" t="s">
        <v>49</v>
      </c>
      <c r="B37">
        <v>5</v>
      </c>
      <c r="C37" t="s">
        <v>13</v>
      </c>
      <c r="D37" t="str">
        <f t="shared" si="0"/>
        <v>CONSISTENT</v>
      </c>
      <c r="H37">
        <f t="shared" si="1"/>
        <v>0</v>
      </c>
      <c r="I37" t="str">
        <f t="shared" si="2"/>
        <v>Low RIQ</v>
      </c>
    </row>
    <row r="38" ht="30" spans="1:9">
      <c r="A38" s="1" t="s">
        <v>50</v>
      </c>
      <c r="B38">
        <v>5</v>
      </c>
      <c r="C38" t="s">
        <v>13</v>
      </c>
      <c r="D38" t="str">
        <f t="shared" si="0"/>
        <v>CONSISTENT</v>
      </c>
      <c r="H38">
        <f t="shared" si="1"/>
        <v>0</v>
      </c>
      <c r="I38" t="str">
        <f t="shared" si="2"/>
        <v>Low RIQ</v>
      </c>
    </row>
    <row r="39" spans="1:9">
      <c r="A39" s="1" t="s">
        <v>51</v>
      </c>
      <c r="B39">
        <v>5</v>
      </c>
      <c r="C39" t="s">
        <v>13</v>
      </c>
      <c r="D39" t="str">
        <f t="shared" si="0"/>
        <v>CONSISTENT</v>
      </c>
      <c r="H39">
        <f t="shared" si="1"/>
        <v>0</v>
      </c>
      <c r="I39" t="str">
        <f t="shared" si="2"/>
        <v>Low RIQ</v>
      </c>
    </row>
    <row r="40" spans="1:9">
      <c r="A40" s="1" t="s">
        <v>52</v>
      </c>
      <c r="B40">
        <v>5</v>
      </c>
      <c r="C40" t="s">
        <v>13</v>
      </c>
      <c r="D40" t="str">
        <f t="shared" si="0"/>
        <v>CONSISTENT</v>
      </c>
      <c r="H40">
        <f t="shared" si="1"/>
        <v>0</v>
      </c>
      <c r="I40" t="str">
        <f t="shared" si="2"/>
        <v>Low RIQ</v>
      </c>
    </row>
    <row r="41" ht="30" spans="1:9">
      <c r="A41" s="1" t="s">
        <v>53</v>
      </c>
      <c r="B41">
        <v>5</v>
      </c>
      <c r="C41" t="s">
        <v>13</v>
      </c>
      <c r="D41" t="str">
        <f t="shared" si="0"/>
        <v>CONSISTENT</v>
      </c>
      <c r="H41">
        <f t="shared" si="1"/>
        <v>0</v>
      </c>
      <c r="I41" t="str">
        <f t="shared" si="2"/>
        <v>Low RIQ</v>
      </c>
    </row>
    <row r="42" spans="1:9">
      <c r="A42" s="1" t="s">
        <v>54</v>
      </c>
      <c r="B42">
        <v>5</v>
      </c>
      <c r="C42" t="s">
        <v>13</v>
      </c>
      <c r="D42" t="str">
        <f t="shared" si="0"/>
        <v>CONSISTENT</v>
      </c>
      <c r="H42">
        <f t="shared" si="1"/>
        <v>0</v>
      </c>
      <c r="I42" t="str">
        <f t="shared" si="2"/>
        <v>Low RIQ</v>
      </c>
    </row>
    <row r="43" spans="1:9">
      <c r="A43" s="1" t="s">
        <v>55</v>
      </c>
      <c r="B43">
        <v>5</v>
      </c>
      <c r="C43" t="s">
        <v>13</v>
      </c>
      <c r="D43" t="str">
        <f t="shared" si="0"/>
        <v>CONSISTENT</v>
      </c>
      <c r="H43">
        <f t="shared" si="1"/>
        <v>0</v>
      </c>
      <c r="I43" t="str">
        <f t="shared" si="2"/>
        <v>Low RIQ</v>
      </c>
    </row>
    <row r="44" spans="1:9">
      <c r="A44" s="1" t="s">
        <v>56</v>
      </c>
      <c r="B44">
        <v>5</v>
      </c>
      <c r="C44" t="s">
        <v>13</v>
      </c>
      <c r="D44" t="str">
        <f t="shared" si="0"/>
        <v>CONSISTENT</v>
      </c>
      <c r="H44">
        <f t="shared" si="1"/>
        <v>0</v>
      </c>
      <c r="I44" t="str">
        <f t="shared" si="2"/>
        <v>Low RIQ</v>
      </c>
    </row>
    <row r="45" spans="1:9">
      <c r="A45" s="1" t="s">
        <v>57</v>
      </c>
      <c r="B45">
        <v>5</v>
      </c>
      <c r="C45" t="s">
        <v>13</v>
      </c>
      <c r="D45" t="str">
        <f t="shared" si="0"/>
        <v>CONSISTENT</v>
      </c>
      <c r="H45">
        <f t="shared" si="1"/>
        <v>0</v>
      </c>
      <c r="I45" t="str">
        <f t="shared" si="2"/>
        <v>Low RIQ</v>
      </c>
    </row>
    <row r="46" ht="30" spans="1:9">
      <c r="A46" s="1" t="s">
        <v>58</v>
      </c>
      <c r="B46">
        <v>5</v>
      </c>
      <c r="C46" t="s">
        <v>13</v>
      </c>
      <c r="D46" t="str">
        <f t="shared" si="0"/>
        <v>CONSISTENT</v>
      </c>
      <c r="H46">
        <f t="shared" si="1"/>
        <v>0</v>
      </c>
      <c r="I46" t="str">
        <f t="shared" si="2"/>
        <v>Low RIQ</v>
      </c>
    </row>
    <row r="47" spans="1:9">
      <c r="A47" s="1" t="s">
        <v>59</v>
      </c>
      <c r="B47">
        <v>5</v>
      </c>
      <c r="C47" t="s">
        <v>13</v>
      </c>
      <c r="D47" t="str">
        <f t="shared" si="0"/>
        <v>CONSISTENT</v>
      </c>
      <c r="H47">
        <f t="shared" si="1"/>
        <v>0</v>
      </c>
      <c r="I47" t="str">
        <f t="shared" si="2"/>
        <v>Low RIQ</v>
      </c>
    </row>
    <row r="48" spans="1:9">
      <c r="A48" s="1" t="s">
        <v>60</v>
      </c>
      <c r="B48">
        <v>5</v>
      </c>
      <c r="C48" t="s">
        <v>13</v>
      </c>
      <c r="D48" t="str">
        <f t="shared" si="0"/>
        <v>CONSISTENT</v>
      </c>
      <c r="H48">
        <f t="shared" si="1"/>
        <v>0</v>
      </c>
      <c r="I48" t="str">
        <f t="shared" si="2"/>
        <v>Low RIQ</v>
      </c>
    </row>
    <row r="49" spans="1:9">
      <c r="A49" s="1" t="s">
        <v>61</v>
      </c>
      <c r="B49">
        <v>5</v>
      </c>
      <c r="C49" t="s">
        <v>13</v>
      </c>
      <c r="D49" t="str">
        <f t="shared" si="0"/>
        <v>CONSISTENT</v>
      </c>
      <c r="H49">
        <f t="shared" si="1"/>
        <v>0</v>
      </c>
      <c r="I49" t="str">
        <f t="shared" si="2"/>
        <v>Low RIQ</v>
      </c>
    </row>
    <row r="50" spans="1:9">
      <c r="A50" s="1" t="s">
        <v>62</v>
      </c>
      <c r="B50">
        <v>5</v>
      </c>
      <c r="C50" t="s">
        <v>13</v>
      </c>
      <c r="D50" t="str">
        <f t="shared" si="0"/>
        <v>CONSISTENT</v>
      </c>
      <c r="H50">
        <f t="shared" si="1"/>
        <v>0</v>
      </c>
      <c r="I50" t="str">
        <f t="shared" si="2"/>
        <v>Low RIQ</v>
      </c>
    </row>
    <row r="51" ht="30" spans="1:9">
      <c r="A51" s="1" t="s">
        <v>63</v>
      </c>
      <c r="B51">
        <v>5</v>
      </c>
      <c r="C51" t="s">
        <v>13</v>
      </c>
      <c r="D51" t="str">
        <f t="shared" si="0"/>
        <v>CONSISTENT</v>
      </c>
      <c r="H51">
        <f t="shared" si="1"/>
        <v>0</v>
      </c>
      <c r="I51" t="str">
        <f t="shared" si="2"/>
        <v>Low RIQ</v>
      </c>
    </row>
    <row r="52" spans="1:9">
      <c r="A52" s="1" t="s">
        <v>64</v>
      </c>
      <c r="B52">
        <v>5</v>
      </c>
      <c r="C52" t="s">
        <v>13</v>
      </c>
      <c r="D52" t="str">
        <f t="shared" si="0"/>
        <v>CONSISTENT</v>
      </c>
      <c r="H52">
        <f t="shared" si="1"/>
        <v>0</v>
      </c>
      <c r="I52" t="str">
        <f t="shared" si="2"/>
        <v>Low RIQ</v>
      </c>
    </row>
    <row r="53" ht="45" spans="1:9">
      <c r="A53" s="1" t="s">
        <v>65</v>
      </c>
      <c r="B53">
        <v>5</v>
      </c>
      <c r="C53" t="s">
        <v>13</v>
      </c>
      <c r="D53" t="str">
        <f t="shared" si="0"/>
        <v>CONSISTENT</v>
      </c>
      <c r="H53">
        <f t="shared" si="1"/>
        <v>0</v>
      </c>
      <c r="I53" t="str">
        <f t="shared" si="2"/>
        <v>Low RIQ</v>
      </c>
    </row>
    <row r="54" ht="30" spans="1:9">
      <c r="A54" s="1" t="s">
        <v>66</v>
      </c>
      <c r="B54">
        <v>5</v>
      </c>
      <c r="C54" t="s">
        <v>13</v>
      </c>
      <c r="D54" t="str">
        <f t="shared" si="0"/>
        <v>CONSISTENT</v>
      </c>
      <c r="H54">
        <f t="shared" si="1"/>
        <v>0</v>
      </c>
      <c r="I54" t="str">
        <f t="shared" si="2"/>
        <v>Low RIQ</v>
      </c>
    </row>
    <row r="55" spans="1:9">
      <c r="A55" s="1" t="s">
        <v>67</v>
      </c>
      <c r="B55">
        <v>5</v>
      </c>
      <c r="C55" t="s">
        <v>13</v>
      </c>
      <c r="D55" t="str">
        <f t="shared" si="0"/>
        <v>CONSISTENT</v>
      </c>
      <c r="H55">
        <f t="shared" si="1"/>
        <v>0</v>
      </c>
      <c r="I55" t="str">
        <f t="shared" si="2"/>
        <v>Low RIQ</v>
      </c>
    </row>
    <row r="56" spans="1:9">
      <c r="A56" s="1" t="s">
        <v>57</v>
      </c>
      <c r="B56">
        <v>5</v>
      </c>
      <c r="C56" t="s">
        <v>13</v>
      </c>
      <c r="D56" t="str">
        <f t="shared" si="0"/>
        <v>CONSISTENT</v>
      </c>
      <c r="H56">
        <f t="shared" si="1"/>
        <v>0</v>
      </c>
      <c r="I56" t="str">
        <f t="shared" si="2"/>
        <v>Low RIQ</v>
      </c>
    </row>
    <row r="57" spans="1:9">
      <c r="A57" s="1" t="s">
        <v>68</v>
      </c>
      <c r="B57">
        <v>5</v>
      </c>
      <c r="C57" t="s">
        <v>13</v>
      </c>
      <c r="D57" t="str">
        <f t="shared" si="0"/>
        <v>CONSISTENT</v>
      </c>
      <c r="H57">
        <f t="shared" si="1"/>
        <v>0</v>
      </c>
      <c r="I57" t="str">
        <f t="shared" si="2"/>
        <v>Low RIQ</v>
      </c>
    </row>
    <row r="58" spans="1:9">
      <c r="A58" s="1" t="s">
        <v>69</v>
      </c>
      <c r="B58">
        <v>5</v>
      </c>
      <c r="C58" t="s">
        <v>13</v>
      </c>
      <c r="D58" t="str">
        <f t="shared" si="0"/>
        <v>CONSISTENT</v>
      </c>
      <c r="H58">
        <f t="shared" si="1"/>
        <v>0</v>
      </c>
      <c r="I58" t="str">
        <f t="shared" si="2"/>
        <v>Low RIQ</v>
      </c>
    </row>
    <row r="59" spans="1:9">
      <c r="A59" s="1" t="s">
        <v>48</v>
      </c>
      <c r="B59">
        <v>5</v>
      </c>
      <c r="C59" t="s">
        <v>13</v>
      </c>
      <c r="D59" t="str">
        <f t="shared" si="0"/>
        <v>CONSISTENT</v>
      </c>
      <c r="H59">
        <f t="shared" si="1"/>
        <v>0</v>
      </c>
      <c r="I59" t="str">
        <f t="shared" si="2"/>
        <v>Low RIQ</v>
      </c>
    </row>
    <row r="60" spans="1:9">
      <c r="A60" s="1" t="s">
        <v>70</v>
      </c>
      <c r="B60">
        <v>5</v>
      </c>
      <c r="C60" t="s">
        <v>13</v>
      </c>
      <c r="D60" t="str">
        <f t="shared" si="0"/>
        <v>CONSISTENT</v>
      </c>
      <c r="H60">
        <f t="shared" si="1"/>
        <v>0</v>
      </c>
      <c r="I60" t="str">
        <f t="shared" si="2"/>
        <v>Low RIQ</v>
      </c>
    </row>
    <row r="61" spans="1:9">
      <c r="A61" s="1" t="s">
        <v>71</v>
      </c>
      <c r="B61">
        <v>5</v>
      </c>
      <c r="C61" t="s">
        <v>13</v>
      </c>
      <c r="D61" t="str">
        <f t="shared" si="0"/>
        <v>CONSISTENT</v>
      </c>
      <c r="H61">
        <f t="shared" si="1"/>
        <v>0</v>
      </c>
      <c r="I61" t="str">
        <f t="shared" si="2"/>
        <v>Low RIQ</v>
      </c>
    </row>
    <row r="62" spans="1:9">
      <c r="A62" s="1" t="s">
        <v>72</v>
      </c>
      <c r="B62">
        <v>5</v>
      </c>
      <c r="C62" t="s">
        <v>13</v>
      </c>
      <c r="D62" t="str">
        <f t="shared" si="0"/>
        <v>CONSISTENT</v>
      </c>
      <c r="H62">
        <f t="shared" si="1"/>
        <v>0</v>
      </c>
      <c r="I62" t="str">
        <f t="shared" si="2"/>
        <v>Low RIQ</v>
      </c>
    </row>
    <row r="63" ht="30" spans="1:9">
      <c r="A63" s="1" t="s">
        <v>73</v>
      </c>
      <c r="B63">
        <v>5</v>
      </c>
      <c r="C63" t="s">
        <v>13</v>
      </c>
      <c r="D63" t="str">
        <f t="shared" si="0"/>
        <v>CONSISTENT</v>
      </c>
      <c r="H63">
        <f t="shared" si="1"/>
        <v>0</v>
      </c>
      <c r="I63" t="str">
        <f t="shared" si="2"/>
        <v>Low RIQ</v>
      </c>
    </row>
    <row r="64" ht="30" spans="1:9">
      <c r="A64" s="1" t="s">
        <v>74</v>
      </c>
      <c r="B64">
        <v>5</v>
      </c>
      <c r="C64" t="s">
        <v>13</v>
      </c>
      <c r="D64" t="str">
        <f t="shared" si="0"/>
        <v>CONSISTENT</v>
      </c>
      <c r="H64">
        <f t="shared" si="1"/>
        <v>0</v>
      </c>
      <c r="I64" t="str">
        <f t="shared" si="2"/>
        <v>Low RIQ</v>
      </c>
    </row>
    <row r="65" spans="1:9">
      <c r="A65" s="1" t="s">
        <v>75</v>
      </c>
      <c r="B65">
        <v>5</v>
      </c>
      <c r="C65" t="s">
        <v>13</v>
      </c>
      <c r="D65" t="str">
        <f t="shared" si="0"/>
        <v>CONSISTENT</v>
      </c>
      <c r="H65">
        <f t="shared" si="1"/>
        <v>0</v>
      </c>
      <c r="I65" t="str">
        <f t="shared" si="2"/>
        <v>Low RIQ</v>
      </c>
    </row>
    <row r="66" spans="1:9">
      <c r="A66" s="1" t="s">
        <v>76</v>
      </c>
      <c r="B66">
        <v>5</v>
      </c>
      <c r="C66" t="s">
        <v>13</v>
      </c>
      <c r="D66" t="str">
        <f t="shared" ref="D66:D79" si="3">IF(OR(AND(OR(B66=1,B66=2),C66="Negative"),AND(B66=3,OR(C66="Neutral",C66="Negative")),AND(OR(B66=4,B66=5),C66="Positive")),"CONSISTENT","INCONSISTENT")</f>
        <v>CONSISTENT</v>
      </c>
      <c r="H66">
        <f t="shared" ref="H66:H79" si="4">IF(E66="Low",0,IF(E66="Moderate",1,IF(E66="High",2)))+IF(F66="Low",0,IF(F66="Moderate",1,IF(F66="High",2)))+IF(G66="OS",0,IF(G66="TS",1))</f>
        <v>0</v>
      </c>
      <c r="I66" t="str">
        <f t="shared" ref="I66:I79" si="5">IF(H66&lt;=1,"Low RIQ",IF(H66&lt;=3,"Moderate RIQ","High RIQ"))</f>
        <v>Low RIQ</v>
      </c>
    </row>
    <row r="67" spans="1:9">
      <c r="A67" s="1" t="s">
        <v>77</v>
      </c>
      <c r="B67">
        <v>5</v>
      </c>
      <c r="C67" t="s">
        <v>13</v>
      </c>
      <c r="D67" t="str">
        <f t="shared" si="3"/>
        <v>CONSISTENT</v>
      </c>
      <c r="H67">
        <f t="shared" si="4"/>
        <v>0</v>
      </c>
      <c r="I67" t="str">
        <f t="shared" si="5"/>
        <v>Low RIQ</v>
      </c>
    </row>
    <row r="68" spans="1:9">
      <c r="A68" s="1" t="s">
        <v>78</v>
      </c>
      <c r="B68">
        <v>5</v>
      </c>
      <c r="C68" t="s">
        <v>13</v>
      </c>
      <c r="D68" t="str">
        <f t="shared" si="3"/>
        <v>CONSISTENT</v>
      </c>
      <c r="H68">
        <f t="shared" si="4"/>
        <v>0</v>
      </c>
      <c r="I68" t="str">
        <f t="shared" si="5"/>
        <v>Low RIQ</v>
      </c>
    </row>
    <row r="69" spans="1:9">
      <c r="A69" s="1" t="s">
        <v>79</v>
      </c>
      <c r="B69">
        <v>5</v>
      </c>
      <c r="C69" t="s">
        <v>13</v>
      </c>
      <c r="D69" t="str">
        <f t="shared" si="3"/>
        <v>CONSISTENT</v>
      </c>
      <c r="H69">
        <f t="shared" si="4"/>
        <v>0</v>
      </c>
      <c r="I69" t="str">
        <f t="shared" si="5"/>
        <v>Low RIQ</v>
      </c>
    </row>
    <row r="70" spans="1:9">
      <c r="A70" s="1" t="s">
        <v>80</v>
      </c>
      <c r="B70">
        <v>5</v>
      </c>
      <c r="C70" t="s">
        <v>13</v>
      </c>
      <c r="D70" t="str">
        <f t="shared" si="3"/>
        <v>CONSISTENT</v>
      </c>
      <c r="H70">
        <f t="shared" si="4"/>
        <v>0</v>
      </c>
      <c r="I70" t="str">
        <f t="shared" si="5"/>
        <v>Low RIQ</v>
      </c>
    </row>
    <row r="71" spans="1:9">
      <c r="A71" s="1" t="s">
        <v>81</v>
      </c>
      <c r="B71">
        <v>5</v>
      </c>
      <c r="C71" t="s">
        <v>26</v>
      </c>
      <c r="D71" t="str">
        <f t="shared" si="3"/>
        <v>INCONSISTENT</v>
      </c>
      <c r="H71">
        <f t="shared" si="4"/>
        <v>0</v>
      </c>
      <c r="I71" t="str">
        <f t="shared" si="5"/>
        <v>Low RIQ</v>
      </c>
    </row>
    <row r="72" spans="1:9">
      <c r="A72" s="1" t="s">
        <v>82</v>
      </c>
      <c r="B72">
        <v>5</v>
      </c>
      <c r="C72" t="s">
        <v>13</v>
      </c>
      <c r="D72" t="str">
        <f t="shared" si="3"/>
        <v>CONSISTENT</v>
      </c>
      <c r="H72">
        <f t="shared" si="4"/>
        <v>0</v>
      </c>
      <c r="I72" t="str">
        <f t="shared" si="5"/>
        <v>Low RIQ</v>
      </c>
    </row>
    <row r="73" spans="1:9">
      <c r="A73" s="1" t="s">
        <v>83</v>
      </c>
      <c r="B73">
        <v>5</v>
      </c>
      <c r="C73" t="s">
        <v>13</v>
      </c>
      <c r="D73" t="str">
        <f t="shared" si="3"/>
        <v>CONSISTENT</v>
      </c>
      <c r="H73">
        <f t="shared" si="4"/>
        <v>0</v>
      </c>
      <c r="I73" t="str">
        <f t="shared" si="5"/>
        <v>Low RIQ</v>
      </c>
    </row>
    <row r="74" spans="1:9">
      <c r="A74" s="1" t="s">
        <v>84</v>
      </c>
      <c r="B74">
        <v>5</v>
      </c>
      <c r="C74" t="s">
        <v>13</v>
      </c>
      <c r="D74" t="str">
        <f t="shared" si="3"/>
        <v>CONSISTENT</v>
      </c>
      <c r="H74">
        <f t="shared" si="4"/>
        <v>0</v>
      </c>
      <c r="I74" t="str">
        <f t="shared" si="5"/>
        <v>Low RIQ</v>
      </c>
    </row>
    <row r="75" spans="1:9">
      <c r="A75" s="1" t="s">
        <v>57</v>
      </c>
      <c r="B75">
        <v>5</v>
      </c>
      <c r="C75" t="s">
        <v>13</v>
      </c>
      <c r="D75" t="str">
        <f t="shared" si="3"/>
        <v>CONSISTENT</v>
      </c>
      <c r="H75">
        <f t="shared" si="4"/>
        <v>0</v>
      </c>
      <c r="I75" t="str">
        <f t="shared" si="5"/>
        <v>Low RIQ</v>
      </c>
    </row>
    <row r="76" spans="1:9">
      <c r="A76" s="1" t="s">
        <v>85</v>
      </c>
      <c r="B76">
        <v>5</v>
      </c>
      <c r="C76" t="s">
        <v>13</v>
      </c>
      <c r="D76" t="str">
        <f t="shared" si="3"/>
        <v>CONSISTENT</v>
      </c>
      <c r="H76">
        <f t="shared" si="4"/>
        <v>0</v>
      </c>
      <c r="I76" t="str">
        <f t="shared" si="5"/>
        <v>Low RIQ</v>
      </c>
    </row>
    <row r="77" spans="1:9">
      <c r="A77" s="1" t="s">
        <v>86</v>
      </c>
      <c r="B77">
        <v>5</v>
      </c>
      <c r="C77" t="s">
        <v>13</v>
      </c>
      <c r="D77" t="str">
        <f t="shared" si="3"/>
        <v>CONSISTENT</v>
      </c>
      <c r="H77">
        <f t="shared" si="4"/>
        <v>0</v>
      </c>
      <c r="I77" t="str">
        <f t="shared" si="5"/>
        <v>Low RIQ</v>
      </c>
    </row>
    <row r="78" spans="1:9">
      <c r="A78" s="1" t="s">
        <v>87</v>
      </c>
      <c r="B78">
        <v>4</v>
      </c>
      <c r="C78" t="s">
        <v>88</v>
      </c>
      <c r="D78" t="str">
        <f t="shared" si="3"/>
        <v>INCONSISTENT</v>
      </c>
      <c r="H78">
        <f t="shared" si="4"/>
        <v>0</v>
      </c>
      <c r="I78" t="str">
        <f t="shared" si="5"/>
        <v>Low RIQ</v>
      </c>
    </row>
    <row r="79" spans="1:9">
      <c r="A79" s="1" t="s">
        <v>89</v>
      </c>
      <c r="B79">
        <v>3</v>
      </c>
      <c r="C79" t="s">
        <v>88</v>
      </c>
      <c r="D79" t="str">
        <f t="shared" si="3"/>
        <v>CONSISTENT</v>
      </c>
      <c r="H79">
        <f t="shared" si="4"/>
        <v>0</v>
      </c>
      <c r="I79" t="str">
        <f t="shared" si="5"/>
        <v>Low RIQ</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2025-05-09T11:58:00Z</dcterms:created>
  <dcterms:modified xsi:type="dcterms:W3CDTF">2025-05-09T12:00:34Z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90CAEFADFD234ABCA6642DF6F0B65532_12</vt:lpwstr>
  </property>
  <property fmtid="{D5CDD505-2E9C-101B-9397-08002B2CF9AE}" pid="3" name="KSOProductBuildVer">
    <vt:lpwstr>2057-12.2.0.20796</vt:lpwstr>
  </property>
</Properties>
</file>