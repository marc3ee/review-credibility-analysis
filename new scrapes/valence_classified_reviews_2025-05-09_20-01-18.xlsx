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<sst xmlns="http://schemas.openxmlformats.org/spreadsheetml/2006/main" count="186" uniqueCount="101">
  <si>
    <t>Review</t>
  </si>
  <si>
    <t>Star Rating</t>
  </si>
  <si>
    <t>Valence</t>
  </si>
  <si>
    <t>Internal Consistency</t>
  </si>
  <si>
    <t>Argument Quality</t>
  </si>
  <si>
    <t>Objectivity</t>
  </si>
  <si>
    <t>Sidedness</t>
  </si>
  <si>
    <t>RIQ Score</t>
  </si>
  <si>
    <t>RIQ Label</t>
  </si>
  <si>
    <t>Template Flag</t>
  </si>
  <si>
    <t>Spam Flag</t>
  </si>
  <si>
    <t>CREDIBILITY</t>
  </si>
  <si>
    <t>ng try lang po ako bumili dito..legit po cya at balot na balot pa ung parcel ko..good quality at maganda talaga the best po cya..thank you po sa uulitin. and also ganda ng quality ng camera sobrang smooth wala pong delay, tbh sobrang solid po talaga ng phone, malaki din yung storage so far maganda po</t>
  </si>
  <si>
    <t>POSITIVE</t>
  </si>
  <si>
    <t>Ganda ng quality ng camera sobrang smooth wala pong delay, tbh sobrang solid po talaga ng phone, malaki din yung storage so far maganda po. Super bilis din ng charging wala pa 1 hour, full na. Mabilis din kahit sabay sabay apps. Easy to use maybe because,android user na talaga ko dati pa. Thank you Seller☺️</t>
  </si>
  <si>
    <t>nakakadismaya kayu Lazada makabibta lng kau niloloko nyu mga Tau selir Ng tanong p ko sau Kong liget b n cell phone yan Sabi mo oo Ayan p mga cht mo tapos ngun n nga dumating to nnmn stand n cell Po mga scammer lazada</t>
  </si>
  <si>
    <t>NEGATIVE</t>
  </si>
  <si>
    <t>Im glad and very happy for the quality of the product. And the seller is so very accommodating. The item this time was shipped immediately. Thank you thank very much! Original talaga sya, at para kalang bumili sa mga physical store so worth the buy. Thanks po ulit Seller</t>
  </si>
  <si>
    <t>Thank you seller, kinabahan ako baka kasi ma scam ako sa unit pero infairness legit phone talaga yung dumating. Sana lang mag tagal. Thank you din kay rider. Update ko lang uli yung ibang reviews ng product after 1 week observe ko po muna.</t>
  </si>
  <si>
    <t>So far okay sya. Legit! Almost 3, days ko na rin nagamit kaya natagalan sa rating kasi chineck ko pw. Good quality at maganda abg night camera. Maganda rin pagkabalot. Safe na safe. Good buy po ito! Maraming salamat po Seller, Laking tulong na po ito. God bless po sa inyo at kay Rider maayos pag ka deliver</t>
  </si>
  <si>
    <t>i highly recommend this shop. 💯 % thankyou so much seller and kuya rider 💖 Great screen size, perfect for media consumption, Fast and efficient processor, Quick delivery, received it in perfect condition, Excellent build quality, feels premium in hand, Amazing camera quality, captures stunning photos, Sleek design</t>
  </si>
  <si>
    <t>Smarttphone really really received it, this store really gave wireless surprise, I like it very much! Perfectly nice, packed, intact in its original box. Everything was good and this is amazing phone. Thank you legit android real me phone</t>
  </si>
  <si>
    <t>Specs are very impressive considering this is a budget phone. I hope it will live up to its detailed specifications and design. Mabilis ang delivery. Secured ang parcel at may pa freebies pa si Seller. Thanks po</t>
  </si>
  <si>
    <t>not Good iba Yung dumating stand phone Akala ko phone wag na kayu bumili dito sayang pera nyu</t>
  </si>
  <si>
    <t>wahahaha!! kupal!!🤣🤣🤣 pero ayus na rin... my pakinabang... tigilan nyo ng mangupal ah..🤣🤣✌️</t>
  </si>
  <si>
    <t>Wasnt expecting this. Got new brand new phone sa subrang murang halaga. Salamat po at may bagong cellphone na ako. Matagal mag lowbat kaya maganda din pangmatagalan bago e charge. Thank you Thank you 🔋Battery Life: Matagal mag lowbat 📸Camera Quality: Subrang qulity nang captured photos ⚡Performance: smooth</t>
  </si>
  <si>
    <t>scam not recommend. don't dare to buy in this shop. waste of money!</t>
  </si>
  <si>
    <t>Un oh!!stand🤣🤣🤣charger na lng sana..🤣🤣🤣</t>
  </si>
  <si>
    <t>Yan po ung dumating scam nman</t>
  </si>
  <si>
    <t>✅100% original. Sealed and packed safely Bought this as a gift to my brother. And i'm planning to buy again as a gift. This is really affordable and shop that you can rely with. Thank you! Satisfied customer 💗</t>
  </si>
  <si>
    <t>mga sinungaling hindi ko mgtatagumpay mga manloloko ntuwa p nmn nilinaw ko p Kung tlgng phone ayn lng pl lazada manloloko</t>
  </si>
  <si>
    <t>wrong itwm delivered to me, i ordered Realme C65 android phone but you delivered to me was mobile phone holder which is most scammer.send</t>
  </si>
  <si>
    <t>sayalamat po sa order ko na realme soap C67 sa charger po kumpleto sabon at charger loslos nyu scammer kmu</t>
  </si>
  <si>
    <t>This is the best upgrade that I have with realme phone but planning to give it to my nephew as a gift sa birthday nya. Timing talaga, Legit here and recommended. Thank you Seller</t>
  </si>
  <si>
    <t>scam po kayo... wag na po kayo maniwala dito pinadala sa mobile phone holder</t>
  </si>
  <si>
    <t>Wow napakaganda, di ko enexpect ito at subrang mura pa ng presyo. Maraming salamat seller</t>
  </si>
  <si>
    <t>putang ina nyo mga scamer kau cp order e2 pinadala nyo</t>
  </si>
  <si>
    <t>scam hahahaha ayaw mog order ani. Dili Nia legit scam 😭</t>
  </si>
  <si>
    <t>gabe d na ako mag order dto piki nanaman</t>
  </si>
  <si>
    <t>phone stand ang dumating !!!!!</t>
  </si>
  <si>
    <t>scam😠😠stand sa cp dumating</t>
  </si>
  <si>
    <t>Anong gagawin ko sa cellphone stand? SCAMMER!</t>
  </si>
  <si>
    <t>this is not legit, scummer ang pu**</t>
  </si>
  <si>
    <t>Scammed Pala to kaluka</t>
  </si>
  <si>
    <t>scam po ito</t>
  </si>
  <si>
    <t>very scamer</t>
  </si>
  <si>
    <t>Kung gusto nyong maka benta sana maging patas kayo di yung mag bebenta kayo ng item iba naman ipapadala nyo sa mga nag babalak po mag order sa shop nato scam po ito iba po ang item na ipapadala nila.... Sana ikayaman nyo ginagawa nyo sa kapwa nyo God bless😊</t>
  </si>
  <si>
    <t>di totoo na celphone scam ka... stand ng celpphone dumating jusko slmat sa delivery mabilis sna kaso scam nmn seller</t>
  </si>
  <si>
    <t>Akala ko pa naman selpon HAHAHA phone stand pala talaga dadating HAHAHAHA sana diniscription nyo nalang na mystery box HAHAHA</t>
  </si>
  <si>
    <t>Hnd sya Maganda lumang item binigay Sakin scam ang puta tang Ina ninyo ano pinag gagawa nyo Sabi Cp binigay Sakin stand nang Cp</t>
  </si>
  <si>
    <t>scamer scamer scamer scamer scamer scamer scamer scamer scamer scamer scamer scamer scamer scamer scamer scamer scamer scamer</t>
  </si>
  <si>
    <t>ulol scam kayo scam is real ano gagawin ko sa holder na to ung NASA picture iba namn cellphone ung NASA picture tapos I deliver nio Mali mga cra ulo kayo balik nio Pera ko</t>
  </si>
  <si>
    <t>scammer Hindi Naman cellphone stand phone karmahon ka sana seller na scammer I hate Lazada last order Kuna to sa Lazada mga scammer a g seller</t>
  </si>
  <si>
    <t>it's ok.its mystery box my daughter disappointed coz she expecting to receive a cellphone. but its ok .</t>
  </si>
  <si>
    <t>Theres no camera and batterylife bad pe rformance only phone stand was delivered to me</t>
  </si>
  <si>
    <t>way Ayo scam mn diay,CP akoang ge order stand Ra SA CP ang ni abot,may unta ug e ban mo SA lazada</t>
  </si>
  <si>
    <t>hindi man cellphone ung nakuha ko stand handler lang umasa pamo ako cp talaga</t>
  </si>
  <si>
    <t>I hate Lazada last ordered Kuna to sa Lazada mga scammer ang seller</t>
  </si>
  <si>
    <t>not good,dpo totoo ang cp nla,stand ng cp ang dumating skin,😡😥😡</t>
  </si>
  <si>
    <t>-what u see what u get kso patungan cp pinadla nyo. scammer</t>
  </si>
  <si>
    <t>SCAMMMMM!!!!!!! MOBILE HOLDEER PINADALA MO WASTING MONEY 👎👎👎👎👎</t>
  </si>
  <si>
    <t>pitang ina istand pala ng cp yon kala ko cp potang ina</t>
  </si>
  <si>
    <t>isang malaking scam ito cp stand lng dumating sakin</t>
  </si>
  <si>
    <t>do not buy in this store... the item is different.. its scam....</t>
  </si>
  <si>
    <t>bunch of liars need to be put out of business</t>
  </si>
  <si>
    <t>good siya, akala ko cp phone stand pala</t>
  </si>
  <si>
    <t>not good it's a scam!!!! so disappointed</t>
  </si>
  <si>
    <t>kala ko cp na kaso standphone ang laman 😅</t>
  </si>
  <si>
    <t>scam nga ito.. naloko naman Tayo..</t>
  </si>
  <si>
    <t>Hindi totoo stand lang nang phone</t>
  </si>
  <si>
    <t>The store is a scam. They are scammers</t>
  </si>
  <si>
    <t>not yet Akala ko cellphone na🤢</t>
  </si>
  <si>
    <t>wag na wag kaung manni wla dito 😡</t>
  </si>
  <si>
    <t>scamer wag nio n Itry sayang pera</t>
  </si>
  <si>
    <t>kupal Ang mga parcel na paorder nyo!!</t>
  </si>
  <si>
    <t>thougt yr nit scam ha ha ha its a fake</t>
  </si>
  <si>
    <t>zero star for me hahahaha.🤨</t>
  </si>
  <si>
    <t>! kala ko cellphone🙄🙄Hindi pala</t>
  </si>
  <si>
    <t>bakit stand pinadala nyo?</t>
  </si>
  <si>
    <t>Akala ko ba cp binta niyo</t>
  </si>
  <si>
    <t>the product is a scam</t>
  </si>
  <si>
    <t>mag manloloko kayo</t>
  </si>
  <si>
    <t>not cellphone</t>
  </si>
  <si>
    <t>Ano to?</t>
  </si>
  <si>
    <t>scammer</t>
  </si>
  <si>
    <t>scam yan haahahaha</t>
  </si>
  <si>
    <t>scam</t>
  </si>
  <si>
    <t>scam,sayang pera</t>
  </si>
  <si>
    <t>it's scam don't buy it</t>
  </si>
  <si>
    <t>scam😠</t>
  </si>
  <si>
    <t>Kung paano po kayo nanloloko Ng kapwa, may balik din po yan balang araw. Sana lang kayanin po ninyo. maraming maraming salamat sa pagpapatunay na kahit kailan Hindi mawawala ang mga katulad ninyo.</t>
  </si>
  <si>
    <t>sabe ko n nga b ihh.. Hindi cellphone Ang padadala nio sken . sana wag kau manlinlang ng customer Kase baka lahat Yan madala n at maging dahilan p ng pag kabagsak ng negosyu nio ... kSe bawat panloloko nio sa ibang tao , lahat Yan may katapat na karma.</t>
  </si>
  <si>
    <t>Bakit oi Ganon wag na kayo mag Binta Ng ganyan Scam lang naman akala ko totoong cellphone Ang dumating bakit iba Ano bayan</t>
  </si>
  <si>
    <t>budol scammer this chop IBa ippadla sayo holder mg phone kppangit pa walang taste</t>
  </si>
  <si>
    <t>I thought phone Hindi nio naman sinabe na phone stand to</t>
  </si>
  <si>
    <t>scam po iba binigay cellphone holder HAHAHAHA</t>
  </si>
  <si>
    <t>celphone order ko,dumating sa akin cellphone holder.</t>
  </si>
  <si>
    <t>SCAMMER!!! SCAMMER</t>
  </si>
  <si>
    <t>mga manloloko</t>
  </si>
  <si>
    <t>liers SCM</t>
  </si>
  <si>
    <t>SCAM!!!!!!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</si>
</sst>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tabSelected="1" topLeftCell="A54" workbookViewId="0">
      <selection activeCell="C88" sqref="C88"/>
    </sheetView>
  </sheetViews>
  <sheetFormatPr defaultColWidth="9" defaultRowHeight="15"/>
  <cols>
    <col min="1" max="1" width="142.428571428571" style="1" customWidth="1"/>
    <col min="2" max="2" width="11.1428571428571" customWidth="1"/>
    <col min="3" max="3" width="10.4285714285714" customWidth="1"/>
    <col min="4" max="4" width="20.7142857142857" customWidth="1"/>
    <col min="5" max="5" width="18.1428571428571" customWidth="1"/>
    <col min="6" max="6" width="11.4285714285714" customWidth="1"/>
    <col min="7" max="7" width="10.5714285714286" customWidth="1"/>
    <col min="8" max="8" width="10" customWidth="1"/>
    <col min="9" max="9" width="9.85714285714286" customWidth="1"/>
    <col min="10" max="10" width="14.4285714285714" customWidth="1"/>
    <col min="11" max="11" width="10.4285714285714" customWidth="1"/>
    <col min="12" max="12" width="12.1428571428571" customWidth="1"/>
  </cols>
  <sheetData>
    <row r="1" spans="1:12">
      <c r="A1" s="1" t="s">
        <v>0</v>
      </c>
      <c r="B1" t="s">
        <v>1</v>
      </c>
      <c r="C1" t="s">
        <v>2</v>
      </c>
      <c r="D1" t="s">
        <v>3</v>
      </c>
      <c r="E1" t="s">
        <v>4</v>
      </c>
      <c r="F1" t="s">
        <v>5</v>
      </c>
      <c r="G1" t="s">
        <v>6</v>
      </c>
      <c r="H1" t="s">
        <v>7</v>
      </c>
      <c r="I1" t="s">
        <v>8</v>
      </c>
      <c r="J1" t="s">
        <v>9</v>
      </c>
      <c r="K1" t="s">
        <v>10</v>
      </c>
      <c r="L1" t="s">
        <v>11</v>
      </c>
    </row>
    <row r="2" ht="30" spans="1:9">
      <c r="A2" s="1" t="s">
        <v>12</v>
      </c>
      <c r="B2">
        <v>5</v>
      </c>
      <c r="C2" t="s">
        <v>13</v>
      </c>
      <c r="D2" t="str">
        <f t="shared" ref="D2:D65" si="0">IF(OR(AND(OR(B2=1,B2=2),C2="Negative"),AND(B2=3,OR(C2="Neutral",C2="Negative")),AND(OR(B2=4,B2=5),C2="Positive")),"CONSISTENT","INCONSISTENT")</f>
        <v>CONSISTENT</v>
      </c>
      <c r="H2">
        <f t="shared" ref="H2:H65" si="1">IF(E2="Low",0,IF(E2="Moderate",1,IF(E2="High",2)))+IF(F2="Low",0,IF(F2="Moderate",1,IF(F2="High",2)))+IF(G2="OS",0,IF(G2="TS",1))</f>
        <v>0</v>
      </c>
      <c r="I2" t="str">
        <f t="shared" ref="I2:I65" si="2">IF(H2&lt;=1,"Low RIQ",IF(H2&lt;=3,"Moderate RIQ","High RIQ"))</f>
        <v>Low RIQ</v>
      </c>
    </row>
    <row r="3" ht="30" spans="1:9">
      <c r="A3" s="1" t="s">
        <v>14</v>
      </c>
      <c r="B3">
        <v>5</v>
      </c>
      <c r="C3" t="s">
        <v>13</v>
      </c>
      <c r="D3" t="str">
        <f t="shared" si="0"/>
        <v>CONSISTENT</v>
      </c>
      <c r="H3">
        <f t="shared" si="1"/>
        <v>0</v>
      </c>
      <c r="I3" t="str">
        <f t="shared" si="2"/>
        <v>Low RIQ</v>
      </c>
    </row>
    <row r="4" ht="30" spans="1:9">
      <c r="A4" s="1" t="s">
        <v>15</v>
      </c>
      <c r="B4">
        <v>5</v>
      </c>
      <c r="C4" t="s">
        <v>16</v>
      </c>
      <c r="D4" t="str">
        <f t="shared" si="0"/>
        <v>INCONSISTENT</v>
      </c>
      <c r="H4">
        <f t="shared" si="1"/>
        <v>0</v>
      </c>
      <c r="I4" t="str">
        <f t="shared" si="2"/>
        <v>Low RIQ</v>
      </c>
    </row>
    <row r="5" ht="30" spans="1:9">
      <c r="A5" s="1" t="s">
        <v>17</v>
      </c>
      <c r="B5">
        <v>5</v>
      </c>
      <c r="C5" t="s">
        <v>13</v>
      </c>
      <c r="D5" t="str">
        <f t="shared" si="0"/>
        <v>CONSISTENT</v>
      </c>
      <c r="H5">
        <f t="shared" si="1"/>
        <v>0</v>
      </c>
      <c r="I5" t="str">
        <f t="shared" si="2"/>
        <v>Low RIQ</v>
      </c>
    </row>
    <row r="6" ht="30" spans="1:9">
      <c r="A6" s="1" t="s">
        <v>18</v>
      </c>
      <c r="B6">
        <v>5</v>
      </c>
      <c r="C6" t="s">
        <v>13</v>
      </c>
      <c r="D6" t="str">
        <f t="shared" si="0"/>
        <v>CONSISTENT</v>
      </c>
      <c r="H6">
        <f t="shared" si="1"/>
        <v>0</v>
      </c>
      <c r="I6" t="str">
        <f t="shared" si="2"/>
        <v>Low RIQ</v>
      </c>
    </row>
    <row r="7" ht="30" spans="1:9">
      <c r="A7" s="1" t="s">
        <v>19</v>
      </c>
      <c r="B7">
        <v>5</v>
      </c>
      <c r="C7" t="s">
        <v>13</v>
      </c>
      <c r="D7" t="str">
        <f t="shared" si="0"/>
        <v>CONSISTENT</v>
      </c>
      <c r="H7">
        <f t="shared" si="1"/>
        <v>0</v>
      </c>
      <c r="I7" t="str">
        <f t="shared" si="2"/>
        <v>Low RIQ</v>
      </c>
    </row>
    <row r="8" ht="30" spans="1:9">
      <c r="A8" s="1" t="s">
        <v>20</v>
      </c>
      <c r="B8">
        <v>5</v>
      </c>
      <c r="C8" t="s">
        <v>13</v>
      </c>
      <c r="D8" t="str">
        <f t="shared" si="0"/>
        <v>CONSISTENT</v>
      </c>
      <c r="H8">
        <f t="shared" si="1"/>
        <v>0</v>
      </c>
      <c r="I8" t="str">
        <f t="shared" si="2"/>
        <v>Low RIQ</v>
      </c>
    </row>
    <row r="9" ht="30" spans="1:9">
      <c r="A9" s="1" t="s">
        <v>21</v>
      </c>
      <c r="B9">
        <v>5</v>
      </c>
      <c r="C9" t="s">
        <v>13</v>
      </c>
      <c r="D9" t="str">
        <f t="shared" si="0"/>
        <v>CONSISTENT</v>
      </c>
      <c r="H9">
        <f t="shared" si="1"/>
        <v>0</v>
      </c>
      <c r="I9" t="str">
        <f t="shared" si="2"/>
        <v>Low RIQ</v>
      </c>
    </row>
    <row r="10" ht="30" spans="1:9">
      <c r="A10" s="1" t="s">
        <v>22</v>
      </c>
      <c r="B10">
        <v>5</v>
      </c>
      <c r="C10" t="s">
        <v>13</v>
      </c>
      <c r="D10" t="str">
        <f t="shared" si="0"/>
        <v>CONSISTENT</v>
      </c>
      <c r="H10">
        <f t="shared" si="1"/>
        <v>0</v>
      </c>
      <c r="I10" t="str">
        <f t="shared" si="2"/>
        <v>Low RIQ</v>
      </c>
    </row>
    <row r="11" spans="1:9">
      <c r="A11" s="1" t="s">
        <v>23</v>
      </c>
      <c r="B11">
        <v>5</v>
      </c>
      <c r="C11" t="s">
        <v>16</v>
      </c>
      <c r="D11" t="str">
        <f t="shared" si="0"/>
        <v>INCONSISTENT</v>
      </c>
      <c r="H11">
        <f t="shared" si="1"/>
        <v>0</v>
      </c>
      <c r="I11" t="str">
        <f t="shared" si="2"/>
        <v>Low RIQ</v>
      </c>
    </row>
    <row r="12" spans="1:9">
      <c r="A12" s="1" t="s">
        <v>24</v>
      </c>
      <c r="B12">
        <v>5</v>
      </c>
      <c r="C12" t="s">
        <v>16</v>
      </c>
      <c r="D12" t="str">
        <f t="shared" si="0"/>
        <v>INCONSISTENT</v>
      </c>
      <c r="H12">
        <f t="shared" si="1"/>
        <v>0</v>
      </c>
      <c r="I12" t="str">
        <f t="shared" si="2"/>
        <v>Low RIQ</v>
      </c>
    </row>
    <row r="13" ht="45" spans="1:9">
      <c r="A13" s="1" t="s">
        <v>25</v>
      </c>
      <c r="B13">
        <v>5</v>
      </c>
      <c r="C13" t="s">
        <v>13</v>
      </c>
      <c r="D13" t="str">
        <f t="shared" si="0"/>
        <v>CONSISTENT</v>
      </c>
      <c r="H13">
        <f t="shared" si="1"/>
        <v>0</v>
      </c>
      <c r="I13" t="str">
        <f t="shared" si="2"/>
        <v>Low RIQ</v>
      </c>
    </row>
    <row r="14" spans="1:9">
      <c r="A14" s="1" t="s">
        <v>26</v>
      </c>
      <c r="B14">
        <v>5</v>
      </c>
      <c r="C14" t="s">
        <v>16</v>
      </c>
      <c r="D14" t="str">
        <f t="shared" si="0"/>
        <v>INCONSISTENT</v>
      </c>
      <c r="H14">
        <f t="shared" si="1"/>
        <v>0</v>
      </c>
      <c r="I14" t="str">
        <f t="shared" si="2"/>
        <v>Low RIQ</v>
      </c>
    </row>
    <row r="15" spans="1:9">
      <c r="A15" s="1" t="s">
        <v>27</v>
      </c>
      <c r="B15">
        <v>5</v>
      </c>
      <c r="C15" t="s">
        <v>16</v>
      </c>
      <c r="D15" t="str">
        <f t="shared" si="0"/>
        <v>INCONSISTENT</v>
      </c>
      <c r="H15">
        <f t="shared" si="1"/>
        <v>0</v>
      </c>
      <c r="I15" t="str">
        <f t="shared" si="2"/>
        <v>Low RIQ</v>
      </c>
    </row>
    <row r="16" spans="1:9">
      <c r="A16" s="1" t="s">
        <v>28</v>
      </c>
      <c r="B16">
        <v>5</v>
      </c>
      <c r="C16" t="s">
        <v>16</v>
      </c>
      <c r="D16" t="str">
        <f t="shared" si="0"/>
        <v>INCONSISTENT</v>
      </c>
      <c r="H16">
        <f t="shared" si="1"/>
        <v>0</v>
      </c>
      <c r="I16" t="str">
        <f t="shared" si="2"/>
        <v>Low RIQ</v>
      </c>
    </row>
    <row r="17" ht="30" spans="1:9">
      <c r="A17" s="1" t="s">
        <v>29</v>
      </c>
      <c r="B17">
        <v>5</v>
      </c>
      <c r="C17" t="s">
        <v>13</v>
      </c>
      <c r="D17" t="str">
        <f t="shared" si="0"/>
        <v>CONSISTENT</v>
      </c>
      <c r="H17">
        <f t="shared" si="1"/>
        <v>0</v>
      </c>
      <c r="I17" t="str">
        <f t="shared" si="2"/>
        <v>Low RIQ</v>
      </c>
    </row>
    <row r="18" spans="1:9">
      <c r="A18" s="1" t="s">
        <v>30</v>
      </c>
      <c r="B18">
        <v>5</v>
      </c>
      <c r="C18" t="s">
        <v>16</v>
      </c>
      <c r="D18" t="str">
        <f t="shared" si="0"/>
        <v>INCONSISTENT</v>
      </c>
      <c r="H18">
        <f t="shared" si="1"/>
        <v>0</v>
      </c>
      <c r="I18" t="str">
        <f t="shared" si="2"/>
        <v>Low RIQ</v>
      </c>
    </row>
    <row r="19" spans="1:9">
      <c r="A19" s="1" t="s">
        <v>31</v>
      </c>
      <c r="B19">
        <v>5</v>
      </c>
      <c r="C19" t="s">
        <v>16</v>
      </c>
      <c r="D19" t="str">
        <f t="shared" si="0"/>
        <v>INCONSISTENT</v>
      </c>
      <c r="H19">
        <f t="shared" si="1"/>
        <v>0</v>
      </c>
      <c r="I19" t="str">
        <f t="shared" si="2"/>
        <v>Low RIQ</v>
      </c>
    </row>
    <row r="20" spans="1:9">
      <c r="A20" s="1" t="s">
        <v>32</v>
      </c>
      <c r="B20">
        <v>5</v>
      </c>
      <c r="C20" t="s">
        <v>16</v>
      </c>
      <c r="D20" t="str">
        <f t="shared" si="0"/>
        <v>INCONSISTENT</v>
      </c>
      <c r="H20">
        <f t="shared" si="1"/>
        <v>0</v>
      </c>
      <c r="I20" t="str">
        <f t="shared" si="2"/>
        <v>Low RIQ</v>
      </c>
    </row>
    <row r="21" ht="30" spans="1:9">
      <c r="A21" s="1" t="s">
        <v>33</v>
      </c>
      <c r="B21">
        <v>5</v>
      </c>
      <c r="C21" t="s">
        <v>13</v>
      </c>
      <c r="D21" t="str">
        <f t="shared" si="0"/>
        <v>CONSISTENT</v>
      </c>
      <c r="H21">
        <f t="shared" si="1"/>
        <v>0</v>
      </c>
      <c r="I21" t="str">
        <f t="shared" si="2"/>
        <v>Low RIQ</v>
      </c>
    </row>
    <row r="22" spans="1:9">
      <c r="A22" s="1" t="s">
        <v>34</v>
      </c>
      <c r="B22">
        <v>5</v>
      </c>
      <c r="C22" t="s">
        <v>16</v>
      </c>
      <c r="D22" t="str">
        <f t="shared" si="0"/>
        <v>INCONSISTENT</v>
      </c>
      <c r="H22">
        <f t="shared" si="1"/>
        <v>0</v>
      </c>
      <c r="I22" t="str">
        <f t="shared" si="2"/>
        <v>Low RIQ</v>
      </c>
    </row>
    <row r="23" spans="1:9">
      <c r="A23" s="1" t="s">
        <v>35</v>
      </c>
      <c r="B23">
        <v>5</v>
      </c>
      <c r="C23" t="s">
        <v>13</v>
      </c>
      <c r="D23" t="str">
        <f t="shared" si="0"/>
        <v>CONSISTENT</v>
      </c>
      <c r="H23">
        <f t="shared" si="1"/>
        <v>0</v>
      </c>
      <c r="I23" t="str">
        <f t="shared" si="2"/>
        <v>Low RIQ</v>
      </c>
    </row>
    <row r="24" spans="1:9">
      <c r="A24" s="1" t="s">
        <v>36</v>
      </c>
      <c r="B24">
        <v>5</v>
      </c>
      <c r="C24" t="s">
        <v>16</v>
      </c>
      <c r="D24" t="str">
        <f t="shared" si="0"/>
        <v>INCONSISTENT</v>
      </c>
      <c r="H24">
        <f t="shared" si="1"/>
        <v>0</v>
      </c>
      <c r="I24" t="str">
        <f t="shared" si="2"/>
        <v>Low RIQ</v>
      </c>
    </row>
    <row r="25" spans="1:9">
      <c r="A25" s="1" t="s">
        <v>37</v>
      </c>
      <c r="B25">
        <v>5</v>
      </c>
      <c r="C25" t="s">
        <v>16</v>
      </c>
      <c r="D25" t="str">
        <f t="shared" si="0"/>
        <v>INCONSISTENT</v>
      </c>
      <c r="H25">
        <f t="shared" si="1"/>
        <v>0</v>
      </c>
      <c r="I25" t="str">
        <f t="shared" si="2"/>
        <v>Low RIQ</v>
      </c>
    </row>
    <row r="26" spans="1:9">
      <c r="A26" s="1" t="s">
        <v>38</v>
      </c>
      <c r="B26">
        <v>5</v>
      </c>
      <c r="C26" t="s">
        <v>16</v>
      </c>
      <c r="D26" t="str">
        <f t="shared" si="0"/>
        <v>INCONSISTENT</v>
      </c>
      <c r="H26">
        <f t="shared" si="1"/>
        <v>0</v>
      </c>
      <c r="I26" t="str">
        <f t="shared" si="2"/>
        <v>Low RIQ</v>
      </c>
    </row>
    <row r="27" spans="1:9">
      <c r="A27" s="1" t="s">
        <v>39</v>
      </c>
      <c r="B27">
        <v>5</v>
      </c>
      <c r="C27" t="s">
        <v>16</v>
      </c>
      <c r="D27" t="str">
        <f t="shared" si="0"/>
        <v>INCONSISTENT</v>
      </c>
      <c r="H27">
        <f t="shared" si="1"/>
        <v>0</v>
      </c>
      <c r="I27" t="str">
        <f t="shared" si="2"/>
        <v>Low RIQ</v>
      </c>
    </row>
    <row r="28" spans="1:9">
      <c r="A28" s="1" t="s">
        <v>40</v>
      </c>
      <c r="B28">
        <v>5</v>
      </c>
      <c r="C28" t="s">
        <v>16</v>
      </c>
      <c r="D28" t="str">
        <f t="shared" si="0"/>
        <v>INCONSISTENT</v>
      </c>
      <c r="H28">
        <f t="shared" si="1"/>
        <v>0</v>
      </c>
      <c r="I28" t="str">
        <f t="shared" si="2"/>
        <v>Low RIQ</v>
      </c>
    </row>
    <row r="29" spans="1:9">
      <c r="A29" s="1" t="s">
        <v>41</v>
      </c>
      <c r="B29">
        <v>5</v>
      </c>
      <c r="C29" t="s">
        <v>16</v>
      </c>
      <c r="D29" t="str">
        <f t="shared" si="0"/>
        <v>INCONSISTENT</v>
      </c>
      <c r="H29">
        <f t="shared" si="1"/>
        <v>0</v>
      </c>
      <c r="I29" t="str">
        <f t="shared" si="2"/>
        <v>Low RIQ</v>
      </c>
    </row>
    <row r="30" spans="1:9">
      <c r="A30" s="1" t="s">
        <v>42</v>
      </c>
      <c r="B30">
        <v>5</v>
      </c>
      <c r="C30" t="s">
        <v>16</v>
      </c>
      <c r="D30" t="str">
        <f t="shared" si="0"/>
        <v>INCONSISTENT</v>
      </c>
      <c r="H30">
        <f t="shared" si="1"/>
        <v>0</v>
      </c>
      <c r="I30" t="str">
        <f t="shared" si="2"/>
        <v>Low RIQ</v>
      </c>
    </row>
    <row r="31" spans="1:9">
      <c r="A31" s="1" t="s">
        <v>43</v>
      </c>
      <c r="B31">
        <v>1</v>
      </c>
      <c r="C31" t="s">
        <v>16</v>
      </c>
      <c r="D31" t="str">
        <f t="shared" si="0"/>
        <v>CONSISTENT</v>
      </c>
      <c r="H31">
        <f t="shared" si="1"/>
        <v>0</v>
      </c>
      <c r="I31" t="str">
        <f t="shared" si="2"/>
        <v>Low RIQ</v>
      </c>
    </row>
    <row r="32" spans="1:9">
      <c r="A32" s="1" t="s">
        <v>44</v>
      </c>
      <c r="B32">
        <v>5</v>
      </c>
      <c r="C32" t="s">
        <v>16</v>
      </c>
      <c r="D32" t="str">
        <f t="shared" si="0"/>
        <v>INCONSISTENT</v>
      </c>
      <c r="H32">
        <f t="shared" si="1"/>
        <v>0</v>
      </c>
      <c r="I32" t="str">
        <f t="shared" si="2"/>
        <v>Low RIQ</v>
      </c>
    </row>
    <row r="33" spans="1:9">
      <c r="A33" s="1" t="s">
        <v>45</v>
      </c>
      <c r="B33">
        <v>5</v>
      </c>
      <c r="C33" t="s">
        <v>16</v>
      </c>
      <c r="D33" t="str">
        <f t="shared" si="0"/>
        <v>INCONSISTENT</v>
      </c>
      <c r="H33">
        <f t="shared" si="1"/>
        <v>0</v>
      </c>
      <c r="I33" t="str">
        <f t="shared" si="2"/>
        <v>Low RIQ</v>
      </c>
    </row>
    <row r="34" ht="30" spans="1:9">
      <c r="A34" s="1" t="s">
        <v>46</v>
      </c>
      <c r="B34">
        <v>1</v>
      </c>
      <c r="C34" t="s">
        <v>16</v>
      </c>
      <c r="D34" t="str">
        <f t="shared" si="0"/>
        <v>CONSISTENT</v>
      </c>
      <c r="H34">
        <f t="shared" si="1"/>
        <v>0</v>
      </c>
      <c r="I34" t="str">
        <f t="shared" si="2"/>
        <v>Low RIQ</v>
      </c>
    </row>
    <row r="35" spans="1:9">
      <c r="A35" s="1" t="s">
        <v>47</v>
      </c>
      <c r="B35">
        <v>1</v>
      </c>
      <c r="C35" t="s">
        <v>16</v>
      </c>
      <c r="D35" t="str">
        <f t="shared" si="0"/>
        <v>CONSISTENT</v>
      </c>
      <c r="H35">
        <f t="shared" si="1"/>
        <v>0</v>
      </c>
      <c r="I35" t="str">
        <f t="shared" si="2"/>
        <v>Low RIQ</v>
      </c>
    </row>
    <row r="36" spans="1:9">
      <c r="A36" s="1" t="s">
        <v>48</v>
      </c>
      <c r="B36">
        <v>1</v>
      </c>
      <c r="C36" t="s">
        <v>16</v>
      </c>
      <c r="D36" t="str">
        <f t="shared" si="0"/>
        <v>CONSISTENT</v>
      </c>
      <c r="H36">
        <f t="shared" si="1"/>
        <v>0</v>
      </c>
      <c r="I36" t="str">
        <f t="shared" si="2"/>
        <v>Low RIQ</v>
      </c>
    </row>
    <row r="37" spans="1:9">
      <c r="A37" s="1" t="s">
        <v>49</v>
      </c>
      <c r="B37">
        <v>5</v>
      </c>
      <c r="C37" t="s">
        <v>16</v>
      </c>
      <c r="D37" t="str">
        <f t="shared" si="0"/>
        <v>INCONSISTENT</v>
      </c>
      <c r="H37">
        <f t="shared" si="1"/>
        <v>0</v>
      </c>
      <c r="I37" t="str">
        <f t="shared" si="2"/>
        <v>Low RIQ</v>
      </c>
    </row>
    <row r="38" spans="1:9">
      <c r="A38" s="1" t="s">
        <v>50</v>
      </c>
      <c r="B38">
        <v>5</v>
      </c>
      <c r="C38" t="s">
        <v>16</v>
      </c>
      <c r="D38" t="str">
        <f t="shared" si="0"/>
        <v>INCONSISTENT</v>
      </c>
      <c r="H38">
        <f t="shared" si="1"/>
        <v>0</v>
      </c>
      <c r="I38" t="str">
        <f t="shared" si="2"/>
        <v>Low RIQ</v>
      </c>
    </row>
    <row r="39" ht="30" spans="1:9">
      <c r="A39" s="1" t="s">
        <v>51</v>
      </c>
      <c r="B39">
        <v>1</v>
      </c>
      <c r="C39" t="s">
        <v>16</v>
      </c>
      <c r="D39" t="str">
        <f t="shared" si="0"/>
        <v>CONSISTENT</v>
      </c>
      <c r="H39">
        <f t="shared" si="1"/>
        <v>0</v>
      </c>
      <c r="I39" t="str">
        <f t="shared" si="2"/>
        <v>Low RIQ</v>
      </c>
    </row>
    <row r="40" spans="1:9">
      <c r="A40" s="1" t="s">
        <v>52</v>
      </c>
      <c r="B40">
        <v>1</v>
      </c>
      <c r="C40" t="s">
        <v>16</v>
      </c>
      <c r="D40" t="str">
        <f t="shared" si="0"/>
        <v>CONSISTENT</v>
      </c>
      <c r="H40">
        <f t="shared" si="1"/>
        <v>0</v>
      </c>
      <c r="I40" t="str">
        <f t="shared" si="2"/>
        <v>Low RIQ</v>
      </c>
    </row>
    <row r="41" spans="1:9">
      <c r="A41" s="1" t="s">
        <v>53</v>
      </c>
      <c r="B41">
        <v>5</v>
      </c>
      <c r="C41" t="s">
        <v>16</v>
      </c>
      <c r="D41" t="str">
        <f t="shared" si="0"/>
        <v>INCONSISTENT</v>
      </c>
      <c r="H41">
        <f t="shared" si="1"/>
        <v>0</v>
      </c>
      <c r="I41" t="str">
        <f t="shared" si="2"/>
        <v>Low RIQ</v>
      </c>
    </row>
    <row r="42" spans="1:9">
      <c r="A42" s="1" t="s">
        <v>54</v>
      </c>
      <c r="B42">
        <v>2</v>
      </c>
      <c r="C42" t="s">
        <v>16</v>
      </c>
      <c r="D42" t="str">
        <f t="shared" si="0"/>
        <v>CONSISTENT</v>
      </c>
      <c r="H42">
        <f t="shared" si="1"/>
        <v>0</v>
      </c>
      <c r="I42" t="str">
        <f t="shared" si="2"/>
        <v>Low RIQ</v>
      </c>
    </row>
    <row r="43" spans="1:9">
      <c r="A43" s="1" t="s">
        <v>55</v>
      </c>
      <c r="B43">
        <v>5</v>
      </c>
      <c r="C43" t="s">
        <v>16</v>
      </c>
      <c r="D43" t="str">
        <f t="shared" si="0"/>
        <v>INCONSISTENT</v>
      </c>
      <c r="H43">
        <f t="shared" si="1"/>
        <v>0</v>
      </c>
      <c r="I43" t="str">
        <f t="shared" si="2"/>
        <v>Low RIQ</v>
      </c>
    </row>
    <row r="44" spans="1:9">
      <c r="A44" s="1" t="s">
        <v>56</v>
      </c>
      <c r="B44">
        <v>5</v>
      </c>
      <c r="C44" t="s">
        <v>16</v>
      </c>
      <c r="D44" t="str">
        <f t="shared" si="0"/>
        <v>INCONSISTENT</v>
      </c>
      <c r="H44">
        <f t="shared" si="1"/>
        <v>0</v>
      </c>
      <c r="I44" t="str">
        <f t="shared" si="2"/>
        <v>Low RIQ</v>
      </c>
    </row>
    <row r="45" spans="1:9">
      <c r="A45" s="1" t="s">
        <v>57</v>
      </c>
      <c r="B45">
        <v>1</v>
      </c>
      <c r="C45" t="s">
        <v>16</v>
      </c>
      <c r="D45" t="str">
        <f t="shared" si="0"/>
        <v>CONSISTENT</v>
      </c>
      <c r="H45">
        <f t="shared" si="1"/>
        <v>0</v>
      </c>
      <c r="I45" t="str">
        <f t="shared" si="2"/>
        <v>Low RIQ</v>
      </c>
    </row>
    <row r="46" spans="1:9">
      <c r="A46" s="1" t="s">
        <v>58</v>
      </c>
      <c r="B46">
        <v>5</v>
      </c>
      <c r="C46" t="s">
        <v>16</v>
      </c>
      <c r="D46" t="str">
        <f t="shared" si="0"/>
        <v>INCONSISTENT</v>
      </c>
      <c r="H46">
        <f t="shared" si="1"/>
        <v>0</v>
      </c>
      <c r="I46" t="str">
        <f t="shared" si="2"/>
        <v>Low RIQ</v>
      </c>
    </row>
    <row r="47" spans="1:9">
      <c r="A47" s="1" t="s">
        <v>59</v>
      </c>
      <c r="B47">
        <v>5</v>
      </c>
      <c r="C47" t="s">
        <v>16</v>
      </c>
      <c r="D47" t="str">
        <f t="shared" si="0"/>
        <v>INCONSISTENT</v>
      </c>
      <c r="H47">
        <f t="shared" si="1"/>
        <v>0</v>
      </c>
      <c r="I47" t="str">
        <f t="shared" si="2"/>
        <v>Low RIQ</v>
      </c>
    </row>
    <row r="48" spans="1:9">
      <c r="A48" s="1" t="s">
        <v>60</v>
      </c>
      <c r="B48">
        <v>5</v>
      </c>
      <c r="C48" t="s">
        <v>16</v>
      </c>
      <c r="D48" t="str">
        <f t="shared" si="0"/>
        <v>INCONSISTENT</v>
      </c>
      <c r="H48">
        <f t="shared" si="1"/>
        <v>0</v>
      </c>
      <c r="I48" t="str">
        <f t="shared" si="2"/>
        <v>Low RIQ</v>
      </c>
    </row>
    <row r="49" spans="1:9">
      <c r="A49" s="1" t="s">
        <v>61</v>
      </c>
      <c r="B49">
        <v>5</v>
      </c>
      <c r="C49" t="s">
        <v>16</v>
      </c>
      <c r="D49" t="str">
        <f t="shared" si="0"/>
        <v>INCONSISTENT</v>
      </c>
      <c r="H49">
        <f t="shared" si="1"/>
        <v>0</v>
      </c>
      <c r="I49" t="str">
        <f t="shared" si="2"/>
        <v>Low RIQ</v>
      </c>
    </row>
    <row r="50" spans="1:9">
      <c r="A50" s="1" t="s">
        <v>62</v>
      </c>
      <c r="B50">
        <v>1</v>
      </c>
      <c r="C50" t="s">
        <v>16</v>
      </c>
      <c r="D50" t="str">
        <f t="shared" si="0"/>
        <v>CONSISTENT</v>
      </c>
      <c r="H50">
        <f t="shared" si="1"/>
        <v>0</v>
      </c>
      <c r="I50" t="str">
        <f t="shared" si="2"/>
        <v>Low RIQ</v>
      </c>
    </row>
    <row r="51" spans="1:9">
      <c r="A51" s="1" t="s">
        <v>63</v>
      </c>
      <c r="B51">
        <v>5</v>
      </c>
      <c r="C51" t="s">
        <v>16</v>
      </c>
      <c r="D51" t="str">
        <f t="shared" si="0"/>
        <v>INCONSISTENT</v>
      </c>
      <c r="H51">
        <f t="shared" si="1"/>
        <v>0</v>
      </c>
      <c r="I51" t="str">
        <f t="shared" si="2"/>
        <v>Low RIQ</v>
      </c>
    </row>
    <row r="52" spans="1:9">
      <c r="A52" s="1" t="s">
        <v>64</v>
      </c>
      <c r="B52">
        <v>5</v>
      </c>
      <c r="C52" t="s">
        <v>16</v>
      </c>
      <c r="D52" t="str">
        <f t="shared" si="0"/>
        <v>INCONSISTENT</v>
      </c>
      <c r="H52">
        <f t="shared" si="1"/>
        <v>0</v>
      </c>
      <c r="I52" t="str">
        <f t="shared" si="2"/>
        <v>Low RIQ</v>
      </c>
    </row>
    <row r="53" spans="1:9">
      <c r="A53" s="1" t="s">
        <v>65</v>
      </c>
      <c r="B53">
        <v>5</v>
      </c>
      <c r="C53" t="s">
        <v>16</v>
      </c>
      <c r="D53" t="str">
        <f t="shared" si="0"/>
        <v>INCONSISTENT</v>
      </c>
      <c r="H53">
        <f t="shared" si="1"/>
        <v>0</v>
      </c>
      <c r="I53" t="str">
        <f t="shared" si="2"/>
        <v>Low RIQ</v>
      </c>
    </row>
    <row r="54" spans="1:9">
      <c r="A54" s="1" t="s">
        <v>66</v>
      </c>
      <c r="B54">
        <v>5</v>
      </c>
      <c r="C54" t="s">
        <v>16</v>
      </c>
      <c r="D54" t="str">
        <f t="shared" si="0"/>
        <v>INCONSISTENT</v>
      </c>
      <c r="H54">
        <f t="shared" si="1"/>
        <v>0</v>
      </c>
      <c r="I54" t="str">
        <f t="shared" si="2"/>
        <v>Low RIQ</v>
      </c>
    </row>
    <row r="55" spans="1:9">
      <c r="A55" s="1" t="s">
        <v>67</v>
      </c>
      <c r="B55">
        <v>5</v>
      </c>
      <c r="C55" t="s">
        <v>16</v>
      </c>
      <c r="D55" t="str">
        <f t="shared" si="0"/>
        <v>INCONSISTENT</v>
      </c>
      <c r="H55">
        <f t="shared" si="1"/>
        <v>0</v>
      </c>
      <c r="I55" t="str">
        <f t="shared" si="2"/>
        <v>Low RIQ</v>
      </c>
    </row>
    <row r="56" spans="1:9">
      <c r="A56" s="1" t="s">
        <v>68</v>
      </c>
      <c r="B56">
        <v>5</v>
      </c>
      <c r="C56" t="s">
        <v>16</v>
      </c>
      <c r="D56" t="str">
        <f t="shared" si="0"/>
        <v>INCONSISTENT</v>
      </c>
      <c r="H56">
        <f t="shared" si="1"/>
        <v>0</v>
      </c>
      <c r="I56" t="str">
        <f t="shared" si="2"/>
        <v>Low RIQ</v>
      </c>
    </row>
    <row r="57" spans="1:9">
      <c r="A57" s="1" t="s">
        <v>69</v>
      </c>
      <c r="B57">
        <v>5</v>
      </c>
      <c r="C57" t="s">
        <v>16</v>
      </c>
      <c r="D57" t="str">
        <f t="shared" si="0"/>
        <v>INCONSISTENT</v>
      </c>
      <c r="H57">
        <f t="shared" si="1"/>
        <v>0</v>
      </c>
      <c r="I57" t="str">
        <f t="shared" si="2"/>
        <v>Low RIQ</v>
      </c>
    </row>
    <row r="58" spans="1:9">
      <c r="A58" s="1" t="s">
        <v>70</v>
      </c>
      <c r="B58">
        <v>1</v>
      </c>
      <c r="C58" t="s">
        <v>16</v>
      </c>
      <c r="D58" t="str">
        <f t="shared" si="0"/>
        <v>CONSISTENT</v>
      </c>
      <c r="H58">
        <f t="shared" si="1"/>
        <v>0</v>
      </c>
      <c r="I58" t="str">
        <f t="shared" si="2"/>
        <v>Low RIQ</v>
      </c>
    </row>
    <row r="59" spans="1:9">
      <c r="A59" s="1" t="s">
        <v>71</v>
      </c>
      <c r="B59">
        <v>5</v>
      </c>
      <c r="C59" t="s">
        <v>16</v>
      </c>
      <c r="D59" t="str">
        <f t="shared" si="0"/>
        <v>INCONSISTENT</v>
      </c>
      <c r="H59">
        <f t="shared" si="1"/>
        <v>0</v>
      </c>
      <c r="I59" t="str">
        <f t="shared" si="2"/>
        <v>Low RIQ</v>
      </c>
    </row>
    <row r="60" spans="1:9">
      <c r="A60" s="1" t="s">
        <v>72</v>
      </c>
      <c r="B60">
        <v>5</v>
      </c>
      <c r="C60" t="s">
        <v>16</v>
      </c>
      <c r="D60" t="str">
        <f t="shared" si="0"/>
        <v>INCONSISTENT</v>
      </c>
      <c r="H60">
        <f t="shared" si="1"/>
        <v>0</v>
      </c>
      <c r="I60" t="str">
        <f t="shared" si="2"/>
        <v>Low RIQ</v>
      </c>
    </row>
    <row r="61" spans="1:9">
      <c r="A61" s="1" t="s">
        <v>73</v>
      </c>
      <c r="B61">
        <v>5</v>
      </c>
      <c r="C61" t="s">
        <v>16</v>
      </c>
      <c r="D61" t="str">
        <f t="shared" si="0"/>
        <v>INCONSISTENT</v>
      </c>
      <c r="H61">
        <f t="shared" si="1"/>
        <v>0</v>
      </c>
      <c r="I61" t="str">
        <f t="shared" si="2"/>
        <v>Low RIQ</v>
      </c>
    </row>
    <row r="62" spans="1:9">
      <c r="A62" s="1" t="s">
        <v>74</v>
      </c>
      <c r="B62">
        <v>5</v>
      </c>
      <c r="C62" t="s">
        <v>16</v>
      </c>
      <c r="D62" t="str">
        <f t="shared" si="0"/>
        <v>INCONSISTENT</v>
      </c>
      <c r="H62">
        <f t="shared" si="1"/>
        <v>0</v>
      </c>
      <c r="I62" t="str">
        <f t="shared" si="2"/>
        <v>Low RIQ</v>
      </c>
    </row>
    <row r="63" spans="1:9">
      <c r="A63" s="1" t="s">
        <v>75</v>
      </c>
      <c r="B63">
        <v>5</v>
      </c>
      <c r="C63" t="s">
        <v>16</v>
      </c>
      <c r="D63" t="str">
        <f t="shared" si="0"/>
        <v>INCONSISTENT</v>
      </c>
      <c r="H63">
        <f t="shared" si="1"/>
        <v>0</v>
      </c>
      <c r="I63" t="str">
        <f t="shared" si="2"/>
        <v>Low RIQ</v>
      </c>
    </row>
    <row r="64" spans="1:9">
      <c r="A64" s="1" t="s">
        <v>76</v>
      </c>
      <c r="B64">
        <v>5</v>
      </c>
      <c r="C64" t="s">
        <v>16</v>
      </c>
      <c r="D64" t="str">
        <f t="shared" si="0"/>
        <v>INCONSISTENT</v>
      </c>
      <c r="H64">
        <f t="shared" si="1"/>
        <v>0</v>
      </c>
      <c r="I64" t="str">
        <f t="shared" si="2"/>
        <v>Low RIQ</v>
      </c>
    </row>
    <row r="65" spans="1:9">
      <c r="A65" s="1" t="s">
        <v>77</v>
      </c>
      <c r="B65">
        <v>5</v>
      </c>
      <c r="C65" t="s">
        <v>16</v>
      </c>
      <c r="D65" t="str">
        <f t="shared" si="0"/>
        <v>INCONSISTENT</v>
      </c>
      <c r="H65">
        <f t="shared" si="1"/>
        <v>0</v>
      </c>
      <c r="I65" t="str">
        <f t="shared" si="2"/>
        <v>Low RIQ</v>
      </c>
    </row>
    <row r="66" spans="1:9">
      <c r="A66" s="1" t="s">
        <v>78</v>
      </c>
      <c r="B66">
        <v>5</v>
      </c>
      <c r="C66" t="s">
        <v>16</v>
      </c>
      <c r="D66" t="str">
        <f t="shared" ref="D66:D88" si="3">IF(OR(AND(OR(B66=1,B66=2),C66="Negative"),AND(B66=3,OR(C66="Neutral",C66="Negative")),AND(OR(B66=4,B66=5),C66="Positive")),"CONSISTENT","INCONSISTENT")</f>
        <v>INCONSISTENT</v>
      </c>
      <c r="H66">
        <f t="shared" ref="H66:H88" si="4">IF(E66="Low",0,IF(E66="Moderate",1,IF(E66="High",2)))+IF(F66="Low",0,IF(F66="Moderate",1,IF(F66="High",2)))+IF(G66="OS",0,IF(G66="TS",1))</f>
        <v>0</v>
      </c>
      <c r="I66" t="str">
        <f t="shared" ref="I66:I88" si="5">IF(H66&lt;=1,"Low RIQ",IF(H66&lt;=3,"Moderate RIQ","High RIQ"))</f>
        <v>Low RIQ</v>
      </c>
    </row>
    <row r="67" spans="1:9">
      <c r="A67" s="1" t="s">
        <v>79</v>
      </c>
      <c r="B67">
        <v>5</v>
      </c>
      <c r="C67" t="s">
        <v>16</v>
      </c>
      <c r="D67" t="str">
        <f t="shared" si="3"/>
        <v>INCONSISTENT</v>
      </c>
      <c r="H67">
        <f t="shared" si="4"/>
        <v>0</v>
      </c>
      <c r="I67" t="str">
        <f t="shared" si="5"/>
        <v>Low RIQ</v>
      </c>
    </row>
    <row r="68" spans="1:9">
      <c r="A68" s="1" t="s">
        <v>80</v>
      </c>
      <c r="B68">
        <v>1</v>
      </c>
      <c r="C68" t="s">
        <v>16</v>
      </c>
      <c r="D68" t="str">
        <f t="shared" si="3"/>
        <v>CONSISTENT</v>
      </c>
      <c r="H68">
        <f t="shared" si="4"/>
        <v>0</v>
      </c>
      <c r="I68" t="str">
        <f t="shared" si="5"/>
        <v>Low RIQ</v>
      </c>
    </row>
    <row r="69" spans="1:9">
      <c r="A69" s="1" t="s">
        <v>81</v>
      </c>
      <c r="B69">
        <v>5</v>
      </c>
      <c r="C69" t="s">
        <v>16</v>
      </c>
      <c r="D69" t="str">
        <f t="shared" si="3"/>
        <v>INCONSISTENT</v>
      </c>
      <c r="H69">
        <f t="shared" si="4"/>
        <v>0</v>
      </c>
      <c r="I69" t="str">
        <f t="shared" si="5"/>
        <v>Low RIQ</v>
      </c>
    </row>
    <row r="70" spans="1:9">
      <c r="A70" s="1" t="s">
        <v>82</v>
      </c>
      <c r="B70">
        <v>1</v>
      </c>
      <c r="C70" t="s">
        <v>16</v>
      </c>
      <c r="D70" t="str">
        <f t="shared" si="3"/>
        <v>CONSISTENT</v>
      </c>
      <c r="H70">
        <f t="shared" si="4"/>
        <v>0</v>
      </c>
      <c r="I70" t="str">
        <f t="shared" si="5"/>
        <v>Low RIQ</v>
      </c>
    </row>
    <row r="71" spans="1:9">
      <c r="A71" s="1" t="s">
        <v>83</v>
      </c>
      <c r="B71">
        <v>1</v>
      </c>
      <c r="C71" t="s">
        <v>16</v>
      </c>
      <c r="D71" t="str">
        <f t="shared" si="3"/>
        <v>CONSISTENT</v>
      </c>
      <c r="H71">
        <f t="shared" si="4"/>
        <v>0</v>
      </c>
      <c r="I71" t="str">
        <f t="shared" si="5"/>
        <v>Low RIQ</v>
      </c>
    </row>
    <row r="72" spans="1:9">
      <c r="A72" s="1" t="s">
        <v>84</v>
      </c>
      <c r="B72">
        <v>5</v>
      </c>
      <c r="C72" t="s">
        <v>16</v>
      </c>
      <c r="D72" t="str">
        <f t="shared" si="3"/>
        <v>INCONSISTENT</v>
      </c>
      <c r="H72">
        <f t="shared" si="4"/>
        <v>0</v>
      </c>
      <c r="I72" t="str">
        <f t="shared" si="5"/>
        <v>Low RIQ</v>
      </c>
    </row>
    <row r="73" spans="1:9">
      <c r="A73" s="1" t="s">
        <v>85</v>
      </c>
      <c r="B73">
        <v>5</v>
      </c>
      <c r="C73" t="s">
        <v>16</v>
      </c>
      <c r="D73" t="str">
        <f t="shared" si="3"/>
        <v>INCONSISTENT</v>
      </c>
      <c r="H73">
        <f t="shared" si="4"/>
        <v>0</v>
      </c>
      <c r="I73" t="str">
        <f t="shared" si="5"/>
        <v>Low RIQ</v>
      </c>
    </row>
    <row r="74" spans="1:9">
      <c r="A74" s="1" t="s">
        <v>86</v>
      </c>
      <c r="B74">
        <v>5</v>
      </c>
      <c r="C74" t="s">
        <v>16</v>
      </c>
      <c r="D74" t="str">
        <f t="shared" si="3"/>
        <v>INCONSISTENT</v>
      </c>
      <c r="H74">
        <f t="shared" si="4"/>
        <v>0</v>
      </c>
      <c r="I74" t="str">
        <f t="shared" si="5"/>
        <v>Low RIQ</v>
      </c>
    </row>
    <row r="75" spans="1:9">
      <c r="A75" s="1" t="s">
        <v>87</v>
      </c>
      <c r="B75">
        <v>5</v>
      </c>
      <c r="C75" t="s">
        <v>16</v>
      </c>
      <c r="D75" t="str">
        <f t="shared" si="3"/>
        <v>INCONSISTENT</v>
      </c>
      <c r="H75">
        <f t="shared" si="4"/>
        <v>0</v>
      </c>
      <c r="I75" t="str">
        <f t="shared" si="5"/>
        <v>Low RIQ</v>
      </c>
    </row>
    <row r="76" spans="1:9">
      <c r="A76" s="1" t="s">
        <v>88</v>
      </c>
      <c r="B76">
        <v>1</v>
      </c>
      <c r="C76" t="s">
        <v>16</v>
      </c>
      <c r="D76" t="str">
        <f t="shared" si="3"/>
        <v>CONSISTENT</v>
      </c>
      <c r="H76">
        <f t="shared" si="4"/>
        <v>0</v>
      </c>
      <c r="I76" t="str">
        <f t="shared" si="5"/>
        <v>Low RIQ</v>
      </c>
    </row>
    <row r="77" spans="1:9">
      <c r="A77" s="1" t="s">
        <v>89</v>
      </c>
      <c r="B77">
        <v>5</v>
      </c>
      <c r="C77" t="s">
        <v>16</v>
      </c>
      <c r="D77" t="str">
        <f t="shared" si="3"/>
        <v>INCONSISTENT</v>
      </c>
      <c r="H77">
        <f t="shared" si="4"/>
        <v>0</v>
      </c>
      <c r="I77" t="str">
        <f t="shared" si="5"/>
        <v>Low RIQ</v>
      </c>
    </row>
    <row r="78" ht="30" spans="1:9">
      <c r="A78" s="1" t="s">
        <v>90</v>
      </c>
      <c r="B78">
        <v>1</v>
      </c>
      <c r="C78" t="s">
        <v>16</v>
      </c>
      <c r="D78" t="str">
        <f t="shared" si="3"/>
        <v>CONSISTENT</v>
      </c>
      <c r="H78">
        <f t="shared" si="4"/>
        <v>0</v>
      </c>
      <c r="I78" t="str">
        <f t="shared" si="5"/>
        <v>Low RIQ</v>
      </c>
    </row>
    <row r="79" ht="30" spans="1:9">
      <c r="A79" s="1" t="s">
        <v>91</v>
      </c>
      <c r="B79">
        <v>1</v>
      </c>
      <c r="C79" t="s">
        <v>16</v>
      </c>
      <c r="D79" t="str">
        <f t="shared" si="3"/>
        <v>CONSISTENT</v>
      </c>
      <c r="H79">
        <f t="shared" si="4"/>
        <v>0</v>
      </c>
      <c r="I79" t="str">
        <f t="shared" si="5"/>
        <v>Low RIQ</v>
      </c>
    </row>
    <row r="80" spans="1:9">
      <c r="A80" s="1" t="s">
        <v>92</v>
      </c>
      <c r="B80">
        <v>1</v>
      </c>
      <c r="C80" t="s">
        <v>16</v>
      </c>
      <c r="D80" t="str">
        <f t="shared" si="3"/>
        <v>CONSISTENT</v>
      </c>
      <c r="H80">
        <f t="shared" si="4"/>
        <v>0</v>
      </c>
      <c r="I80" t="str">
        <f t="shared" si="5"/>
        <v>Low RIQ</v>
      </c>
    </row>
    <row r="81" spans="1:9">
      <c r="A81" s="1" t="s">
        <v>93</v>
      </c>
      <c r="B81">
        <v>1</v>
      </c>
      <c r="C81" t="s">
        <v>16</v>
      </c>
      <c r="D81" t="str">
        <f t="shared" si="3"/>
        <v>CONSISTENT</v>
      </c>
      <c r="H81">
        <f t="shared" si="4"/>
        <v>0</v>
      </c>
      <c r="I81" t="str">
        <f t="shared" si="5"/>
        <v>Low RIQ</v>
      </c>
    </row>
    <row r="82" spans="1:9">
      <c r="A82" s="1" t="s">
        <v>94</v>
      </c>
      <c r="B82">
        <v>1</v>
      </c>
      <c r="C82" t="s">
        <v>16</v>
      </c>
      <c r="D82" t="str">
        <f t="shared" si="3"/>
        <v>CONSISTENT</v>
      </c>
      <c r="H82">
        <f t="shared" si="4"/>
        <v>0</v>
      </c>
      <c r="I82" t="str">
        <f t="shared" si="5"/>
        <v>Low RIQ</v>
      </c>
    </row>
    <row r="83" spans="1:9">
      <c r="A83" s="1" t="s">
        <v>95</v>
      </c>
      <c r="B83">
        <v>1</v>
      </c>
      <c r="C83" t="s">
        <v>16</v>
      </c>
      <c r="D83" t="str">
        <f t="shared" si="3"/>
        <v>CONSISTENT</v>
      </c>
      <c r="H83">
        <f t="shared" si="4"/>
        <v>0</v>
      </c>
      <c r="I83" t="str">
        <f t="shared" si="5"/>
        <v>Low RIQ</v>
      </c>
    </row>
    <row r="84" spans="1:9">
      <c r="A84" s="1" t="s">
        <v>96</v>
      </c>
      <c r="B84">
        <v>1</v>
      </c>
      <c r="C84" t="s">
        <v>16</v>
      </c>
      <c r="D84" t="str">
        <f t="shared" si="3"/>
        <v>CONSISTENT</v>
      </c>
      <c r="H84">
        <f t="shared" si="4"/>
        <v>0</v>
      </c>
      <c r="I84" t="str">
        <f t="shared" si="5"/>
        <v>Low RIQ</v>
      </c>
    </row>
    <row r="85" spans="1:9">
      <c r="A85" s="1" t="s">
        <v>97</v>
      </c>
      <c r="B85">
        <v>1</v>
      </c>
      <c r="C85" t="s">
        <v>16</v>
      </c>
      <c r="D85" t="str">
        <f t="shared" si="3"/>
        <v>CONSISTENT</v>
      </c>
      <c r="H85">
        <f t="shared" si="4"/>
        <v>0</v>
      </c>
      <c r="I85" t="str">
        <f t="shared" si="5"/>
        <v>Low RIQ</v>
      </c>
    </row>
    <row r="86" spans="1:9">
      <c r="A86" s="1" t="s">
        <v>98</v>
      </c>
      <c r="B86">
        <v>1</v>
      </c>
      <c r="C86" t="s">
        <v>16</v>
      </c>
      <c r="D86" t="str">
        <f t="shared" si="3"/>
        <v>CONSISTENT</v>
      </c>
      <c r="H86">
        <f t="shared" si="4"/>
        <v>0</v>
      </c>
      <c r="I86" t="str">
        <f t="shared" si="5"/>
        <v>Low RIQ</v>
      </c>
    </row>
    <row r="87" spans="1:9">
      <c r="A87" s="1" t="s">
        <v>99</v>
      </c>
      <c r="B87">
        <v>1</v>
      </c>
      <c r="C87" t="s">
        <v>16</v>
      </c>
      <c r="D87" t="str">
        <f t="shared" si="3"/>
        <v>CONSISTENT</v>
      </c>
      <c r="H87">
        <f t="shared" si="4"/>
        <v>0</v>
      </c>
      <c r="I87" t="str">
        <f t="shared" si="5"/>
        <v>Low RIQ</v>
      </c>
    </row>
    <row r="88" spans="1:9">
      <c r="A88" s="1" t="s">
        <v>100</v>
      </c>
      <c r="B88">
        <v>1</v>
      </c>
      <c r="C88" t="s">
        <v>16</v>
      </c>
      <c r="D88" t="str">
        <f t="shared" si="3"/>
        <v>CONSISTENT</v>
      </c>
      <c r="H88">
        <f t="shared" si="4"/>
        <v>0</v>
      </c>
      <c r="I88" t="str">
        <f t="shared" si="5"/>
        <v>Low RIQ</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2025-05-09T12:03:00Z</dcterms:created>
  <dcterms:modified xsi:type="dcterms:W3CDTF">2025-05-09T12:06:08Z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F4EB55FEDCC24A52A3917EC894A00408_12</vt:lpwstr>
  </property>
  <property fmtid="{D5CDD505-2E9C-101B-9397-08002B2CF9AE}" pid="3" name="KSOProductBuildVer">
    <vt:lpwstr>2057-12.2.0.20796</vt:lpwstr>
  </property>
</Properties>
</file>