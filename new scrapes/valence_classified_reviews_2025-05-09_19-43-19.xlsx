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Revie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<sst xmlns="http://schemas.openxmlformats.org/spreadsheetml/2006/main" count="42" uniqueCount="29">
  <si>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Review</t>
  </si>
  <si>
    <t>Star Rating</t>
  </si>
  <si>
    <t>Valence</t>
  </si>
  <si>
    <t>Internal Consistency</t>
  </si>
  <si>
    <t>Argument Quality</t>
  </si>
  <si>
    <t>Objectivity</t>
  </si>
  <si>
    <t>Sidedness</t>
  </si>
  <si>
    <t>RIQ Score</t>
  </si>
  <si>
    <t>RIQ Label</t>
  </si>
  <si>
    <t>Template Flag</t>
  </si>
  <si>
    <t>Spam Flag</t>
  </si>
  <si>
    <t>CREDIBILITY</t>
  </si>
  <si>
    <t>natanggal agad ung bulitas..delikado pala kng sa loob matanggal..kaya tinanggal konlng agad lahat</t>
  </si>
  <si>
    <t>NEGATIVE</t>
  </si>
  <si>
    <t>fast delivery, well packed, its nice. no damaged parts, thank you so much seller! hope this lasts</t>
  </si>
  <si>
    <t>POSITIVE</t>
  </si>
  <si>
    <t>Thank you Po sa seller 5 Star Po kau sakin maraming salamat din Po sa Rider updated Po sya</t>
  </si>
  <si>
    <t>High-quality silicone material, Enhances pleasure, great sensation, Satisfying product, worth the purchase, Durable and long-lasting, Delay feature, prolongs pleasure, Unique design, adds excitement, Increases confidence in the bedroom, Great for adventurous moments,</t>
  </si>
  <si>
    <t>Thank you to the seller. The product packaging is safe and there are no defects after use. This is a satisfactory shopping experience.😁❤️💋</t>
  </si>
  <si>
    <t>Ease of Use:nice fit</t>
  </si>
  <si>
    <t>Ease of Use：</t>
  </si>
  <si>
    <t>NEUTRAL</t>
  </si>
  <si>
    <t>good for good times</t>
  </si>
  <si>
    <t>thanks po</t>
  </si>
  <si>
    <t>easy to use medyo masikip Nga nahirapan c partner ilagay,,okay nman sya sa una medyo may konting sakit...🙂</t>
  </si>
  <si>
    <t>natanggal agad mga bulitas at nabutas umay wawa sayo</t>
  </si>
  <si>
    <t>I think happy ang lola ko😂😂😂</t>
  </si>
  <si>
    <t>thamk you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</si>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</sst>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workbookViewId="0">
      <selection activeCell="C16" sqref="C16"/>
    </sheetView>
  </sheetViews>
  <sheetFormatPr defaultColWidth="9" defaultRowHeight="15"/>
  <cols>
    <col min="1" max="1" width="122" style="1" customWidth="1"/>
    <col min="2" max="2" width="11.1428571428571" customWidth="1"/>
    <col min="3" max="3" width="10.4285714285714" customWidth="1"/>
    <col min="4" max="4" width="20.7142857142857" customWidth="1"/>
    <col min="5" max="5" width="18.1428571428571" customWidth="1"/>
    <col min="6" max="6" width="11.4285714285714" customWidth="1"/>
    <col min="7" max="7" width="10.5714285714286" customWidth="1"/>
    <col min="8" max="8" width="10" customWidth="1"/>
    <col min="9" max="9" width="9.85714285714286" customWidth="1"/>
    <col min="10" max="10" width="14.4285714285714" customWidth="1"/>
    <col min="11" max="11" width="10.4285714285714" customWidth="1"/>
    <col min="12" max="12" width="12.1428571428571" customWidth="1"/>
  </cols>
  <sheetData>
    <row r="1" spans="1:1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9">
      <c r="A2" s="1" t="s">
        <v>12</v>
      </c>
      <c r="B2">
        <v>5</v>
      </c>
      <c r="C2" t="s">
        <v>13</v>
      </c>
      <c r="D2" t="str">
        <f t="shared" ref="D2:D16" si="0">IF(OR(AND(OR(B2=1,B2=2),C2="Negative"),AND(B2=3,OR(C2="Neutral",C2="Negative")),AND(OR(B2=4,B2=5),C2="Positive")),"CONSISTENT","INCONSISTENT")</f>
        <v>INCONSISTENT</v>
      </c>
      <c r="H2">
        <f t="shared" ref="H2:H16" si="1">IF(E2="Low",0,IF(E2="Moderate",1,IF(E2="High",2)))+IF(F2="Low",0,IF(F2="Moderate",1,IF(F2="High",2)))+IF(G2="OS",0,IF(G2="TS",1))</f>
        <v>0</v>
      </c>
      <c r="I2" t="str">
        <f t="shared" ref="I2:I16" si="2">IF(H2&lt;=1,"Low RIQ",IF(H2&lt;=3,"Moderate RIQ","High RIQ"))</f>
        <v>Low RIQ</v>
      </c>
    </row>
    <row r="3" spans="1:9">
      <c r="A3" s="1" t="s">
        <v>14</v>
      </c>
      <c r="B3">
        <v>5</v>
      </c>
      <c r="C3" t="s">
        <v>15</v>
      </c>
      <c r="D3" t="str">
        <f t="shared" si="0"/>
        <v>CONSISTENT</v>
      </c>
      <c r="H3">
        <f t="shared" si="1"/>
        <v>0</v>
      </c>
      <c r="I3" t="str">
        <f t="shared" si="2"/>
        <v>Low RIQ</v>
      </c>
    </row>
    <row r="4" spans="1:9">
      <c r="A4" s="1" t="s">
        <v>16</v>
      </c>
      <c r="B4">
        <v>5</v>
      </c>
      <c r="C4" t="s">
        <v>15</v>
      </c>
      <c r="D4" t="str">
        <f t="shared" si="0"/>
        <v>CONSISTENT</v>
      </c>
      <c r="H4">
        <f t="shared" si="1"/>
        <v>0</v>
      </c>
      <c r="I4" t="str">
        <f t="shared" si="2"/>
        <v>Low RIQ</v>
      </c>
    </row>
    <row r="5" ht="45" spans="1:9">
      <c r="A5" s="1" t="s">
        <v>17</v>
      </c>
      <c r="B5">
        <v>5</v>
      </c>
      <c r="C5" t="s">
        <v>15</v>
      </c>
      <c r="D5" t="str">
        <f t="shared" si="0"/>
        <v>CONSISTENT</v>
      </c>
      <c r="H5">
        <f t="shared" si="1"/>
        <v>0</v>
      </c>
      <c r="I5" t="str">
        <f t="shared" si="2"/>
        <v>Low RIQ</v>
      </c>
    </row>
    <row r="6" ht="30" spans="1:9">
      <c r="A6" s="1" t="s">
        <v>18</v>
      </c>
      <c r="B6">
        <v>5</v>
      </c>
      <c r="C6" t="s">
        <v>13</v>
      </c>
      <c r="D6" t="str">
        <f t="shared" si="0"/>
        <v>INCONSISTENT</v>
      </c>
      <c r="H6">
        <f t="shared" si="1"/>
        <v>0</v>
      </c>
      <c r="I6" t="str">
        <f t="shared" si="2"/>
        <v>Low RIQ</v>
      </c>
    </row>
    <row r="7" spans="1:9">
      <c r="A7" s="1" t="s">
        <v>19</v>
      </c>
      <c r="B7">
        <v>5</v>
      </c>
      <c r="C7" t="s">
        <v>15</v>
      </c>
      <c r="D7" t="str">
        <f t="shared" si="0"/>
        <v>CONSISTENT</v>
      </c>
      <c r="H7">
        <f t="shared" si="1"/>
        <v>0</v>
      </c>
      <c r="I7" t="str">
        <f t="shared" si="2"/>
        <v>Low RIQ</v>
      </c>
    </row>
    <row r="8" spans="1:9">
      <c r="A8" s="1" t="s">
        <v>20</v>
      </c>
      <c r="B8">
        <v>5</v>
      </c>
      <c r="C8" t="s">
        <v>21</v>
      </c>
      <c r="D8" t="str">
        <f t="shared" si="0"/>
        <v>INCONSISTENT</v>
      </c>
      <c r="H8">
        <f t="shared" si="1"/>
        <v>0</v>
      </c>
      <c r="I8" t="str">
        <f t="shared" si="2"/>
        <v>Low RIQ</v>
      </c>
    </row>
    <row r="9" spans="1:9">
      <c r="A9" s="1" t="s">
        <v>22</v>
      </c>
      <c r="B9">
        <v>5</v>
      </c>
      <c r="C9" t="s">
        <v>15</v>
      </c>
      <c r="D9" t="str">
        <f t="shared" si="0"/>
        <v>CONSISTENT</v>
      </c>
      <c r="H9">
        <f t="shared" si="1"/>
        <v>0</v>
      </c>
      <c r="I9" t="str">
        <f t="shared" si="2"/>
        <v>Low RIQ</v>
      </c>
    </row>
    <row r="10" spans="1:9">
      <c r="A10" s="1" t="s">
        <v>23</v>
      </c>
      <c r="B10">
        <v>5</v>
      </c>
      <c r="C10" t="s">
        <v>15</v>
      </c>
      <c r="D10" t="str">
        <f t="shared" si="0"/>
        <v>CONSISTENT</v>
      </c>
      <c r="H10">
        <f t="shared" si="1"/>
        <v>0</v>
      </c>
      <c r="I10" t="str">
        <f t="shared" si="2"/>
        <v>Low RIQ</v>
      </c>
    </row>
    <row r="11" spans="1:9">
      <c r="A11" s="1" t="s">
        <v>24</v>
      </c>
      <c r="B11">
        <v>5</v>
      </c>
      <c r="C11" t="s">
        <v>15</v>
      </c>
      <c r="D11" t="str">
        <f t="shared" si="0"/>
        <v>CONSISTENT</v>
      </c>
      <c r="H11">
        <f t="shared" si="1"/>
        <v>0</v>
      </c>
      <c r="I11" t="str">
        <f t="shared" si="2"/>
        <v>Low RIQ</v>
      </c>
    </row>
    <row r="12" spans="1:9">
      <c r="A12" s="1" t="s">
        <v>25</v>
      </c>
      <c r="B12">
        <v>5</v>
      </c>
      <c r="C12" t="s">
        <v>13</v>
      </c>
      <c r="D12" t="str">
        <f t="shared" si="0"/>
        <v>INCONSISTENT</v>
      </c>
      <c r="H12">
        <f t="shared" si="1"/>
        <v>0</v>
      </c>
      <c r="I12" t="str">
        <f t="shared" si="2"/>
        <v>Low RIQ</v>
      </c>
    </row>
    <row r="13" spans="1:9">
      <c r="A13" s="1" t="s">
        <v>26</v>
      </c>
      <c r="B13">
        <v>5</v>
      </c>
      <c r="C13" t="s">
        <v>15</v>
      </c>
      <c r="D13" t="str">
        <f t="shared" si="0"/>
        <v>CONSISTENT</v>
      </c>
      <c r="H13">
        <f t="shared" si="1"/>
        <v>0</v>
      </c>
      <c r="I13" t="str">
        <f t="shared" si="2"/>
        <v>Low RIQ</v>
      </c>
    </row>
    <row r="14" spans="1:9">
      <c r="A14" s="1" t="s">
        <v>27</v>
      </c>
      <c r="B14">
        <v>5</v>
      </c>
      <c r="C14" t="s">
        <v>15</v>
      </c>
      <c r="D14" t="str">
        <f t="shared" si="0"/>
        <v>CONSISTENT</v>
      </c>
      <c r="H14">
        <f t="shared" si="1"/>
        <v>0</v>
      </c>
      <c r="I14" t="str">
        <f t="shared" si="2"/>
        <v>Low RIQ</v>
      </c>
    </row>
    <row r="15" spans="1:9">
      <c r="A15" s="1" t="s">
        <v>20</v>
      </c>
      <c r="B15">
        <v>5</v>
      </c>
      <c r="C15" t="s">
        <v>21</v>
      </c>
      <c r="D15" t="str">
        <f t="shared" si="0"/>
        <v>INCONSISTENT</v>
      </c>
      <c r="H15">
        <f t="shared" si="1"/>
        <v>0</v>
      </c>
      <c r="I15" t="str">
        <f t="shared" si="2"/>
        <v>Low RIQ</v>
      </c>
    </row>
    <row r="16" spans="1:9">
      <c r="A16" s="1" t="s">
        <v>28</v>
      </c>
      <c r="B16">
        <v>5</v>
      </c>
      <c r="C16" t="s">
        <v>15</v>
      </c>
      <c r="D16" t="str">
        <f t="shared" si="0"/>
        <v>CONSISTENT</v>
      </c>
      <c r="H16">
        <f t="shared" si="1"/>
        <v>0</v>
      </c>
      <c r="I16" t="str">
        <f t="shared" si="2"/>
        <v>Low RIQ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</cp:lastModifiedBy>
  <dcterms:created xsi:type="dcterms:W3CDTF">2025-05-09T11:43:00Z</dcterms:created>
  <dcterms:modified xsi:type="dcterms:W3CDTF">2025-05-09T11:44:40Z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BE6F3AC1D4874E9A817BC85F84D9B1AB_12</vt:lpwstr>
  </property>
  <property fmtid="{D5CDD505-2E9C-101B-9397-08002B2CF9AE}" pid="3" name="KSOProductBuildVer">
    <vt:lpwstr>2057-12.2.0.20796</vt:lpwstr>
  </property>
</Properties>
</file>