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<sst xmlns="http://schemas.openxmlformats.org/spreadsheetml/2006/main" count="114" uniqueCount="63">
  <si>
    <t>Review</t>
  </si>
  <si>
    <t>Star Rating</t>
  </si>
  <si>
    <t>Valence</t>
  </si>
  <si>
    <t>Internal Consistency</t>
  </si>
  <si>
    <t>Argument Quality</t>
  </si>
  <si>
    <t>Objectivity</t>
  </si>
  <si>
    <t>Sidedness</t>
  </si>
  <si>
    <t>RIQ Score</t>
  </si>
  <si>
    <t>RIQ Label</t>
  </si>
  <si>
    <t>Template Flag</t>
  </si>
  <si>
    <t>Spam Flag</t>
  </si>
  <si>
    <t>CREDIBILITY</t>
  </si>
  <si>
    <t>Durability:good Safety:good Ease of Assembly:good</t>
  </si>
  <si>
    <t>POSITIVE</t>
  </si>
  <si>
    <t>Ease of Assembly:7/10 7nlang kasi hindi siya maka tayo ng straight aadjust mo pa siya. pero saakin lang ito ewan ko kung hindi sainyo ako lang ata.</t>
  </si>
  <si>
    <t>The magnifier helps improve accuracy while shooting., Perfect for children aged 8 and above., The holographic sight enhances the aiming experience.,</t>
  </si>
  <si>
    <t>solid aaarrrrpppppp Durability:10/10 Safety:10/10 Ease of Assembly:10/10</t>
  </si>
  <si>
    <t>Magaling sya mag billiards hehe</t>
  </si>
  <si>
    <t>Perfect for children aged 8 and above., The holographic sight enhances the aiming experience.,</t>
  </si>
  <si>
    <t>Ease of Assembly:pogi nang mey ari Durability:and nyoko sa FB johnrey manabat Safety:chat tayo nyahahahaha</t>
  </si>
  <si>
    <t>The holographic sight enhances the aiming experience., The magnifier helps improve accuracy while shooting.,</t>
  </si>
  <si>
    <t>good</t>
  </si>
  <si>
    <t>all goods</t>
  </si>
  <si>
    <t>Functionality:maganda gamitin Quality:lakas maka pogi ng upgrade na ito Value for Money:yes value for money okei gamitin</t>
  </si>
  <si>
    <t>Whenever I see girls and boys Selling lanterns on the streets I remember the child In the manger as he sleeps Wherever there are people Giving gifts, exchanging cards I believe that Christmas Is truly in their hearts</t>
  </si>
  <si>
    <t>NEUTRAL</t>
  </si>
  <si>
    <t>Functionality:5 ⭐ Quality:5 ⭐ Value for Money:5 ⭐ legit na legit, ung ibang shop binebenta to mga 600+ php, buti nlng mas affordable dito, 5/5 ⭐</t>
  </si>
  <si>
    <t>Functionality:ok Quality:ok Value for Money:ok walang spring pang side flip Ng magnifier pero ok Naman.</t>
  </si>
  <si>
    <t>Quality:10/10 Legit ma dudes, kung sa ibang shop pa ito nasa 500+ na for both eotech and magnifier, dito sa shop nila 200 lang 🥶</t>
  </si>
  <si>
    <t>Functionality: awesome though the holgraphic sight has a blurry glass or plastic its cool and the pineapple scope works as it also its magnifications work well Quality: 10/10 plastic Value for Money: worth it</t>
  </si>
  <si>
    <t>Functionality:Working decently, although the zooming scroll isn't working or maybe it's just supposed to be like that. Moreover, the rear leans on the magnifier was tilted inside. Fortunately, easily repaired just by removing the rear cap of it and re-aligning the lens Quality:For its price, it's very impressive. It's still a toy, but the quality doesn't diminish its aesthetics. Value for Money:Pretty good deal overall. Can't really complain anything crucial 🤔</t>
  </si>
  <si>
    <t>Durability:ok Safety:ok Ease of Assembly:ok</t>
  </si>
  <si>
    <t>the parcel was not back tight, it had tiny broken bits. Perfect for children aged 8 and above.,</t>
  </si>
  <si>
    <t>solid, umorder ule ako isa 😁</t>
  </si>
  <si>
    <t>worth it sa price as a toy mgnda sya</t>
  </si>
  <si>
    <t>very good</t>
  </si>
  <si>
    <t>maganda naman po ung item, walang sira. adjustable sya.</t>
  </si>
  <si>
    <t>Safety:Tightening the screws by hand is not recommended, as it requires a lot of force for a small part that actually hurts. Ease of Assembly:The only part that needs assembling is the magnifier and the rail adapter, which is simple and is not rocket science. Durability:surprisingly, despite being at a cheap price, the durability of the item is somewhat on par for its price, there's one small problem though. There's a Distortion/Warp in the plastic glass of the optic, mostly on the left side, its so distorted and warped that you literally can't distinguish the front iron sight of a rifle, i was just gonna deal with it and just try to manage, but the Distortion and warping of the glass is so bad, that if you try to focus looking on it, it causes eyestrain similar to stigmatism, it actually hurts the eyes if you look at it for at least longer than 15 seconds, its similar to wearing prescription glasses that are not meant for your eyes, so I'm kind of sad i can't really use it in any way.</t>
  </si>
  <si>
    <t>NEGATIVE</t>
  </si>
  <si>
    <t>What you see is what you get....Ganda nung item...</t>
  </si>
  <si>
    <t>The magnifier helps improve accuracy while shooting.,</t>
  </si>
  <si>
    <t>Nice quality and legit for cheap price.</t>
  </si>
  <si>
    <t>guditem</t>
  </si>
  <si>
    <t>Ease of Assembly:10The magnifier helps improve accuracy while shooting., The holographic sight enhances the aiming experience.,</t>
  </si>
  <si>
    <t>The magnifier helps improve accuracy while shooting., Perfect for children aged 8 and above., The holographic sight enhances the aiming experiencme.,</t>
  </si>
  <si>
    <t>The magnifier helps improve accuracy while shooting., All Goods</t>
  </si>
  <si>
    <t>GoodPerfectThe magnifier helps improve accuracy while shooting., for children aged 8 and above., Durability:good Safety:good Ease of Assembly:easyThe holographic sight enhances the aiming experience.,</t>
  </si>
  <si>
    <t>The holographic sight enhances the aiming experience., The magnifier helps improve accuracy while shooting., Perfect for children aged 8 and above.,</t>
  </si>
  <si>
    <t>The magnifier helps improve accuracy while shooting., Perfect for children aged 8 and above.,</t>
  </si>
  <si>
    <t>Functionality:Good Quality:Good Value for Money:Same to it's Price</t>
  </si>
  <si>
    <t>Functionality:10/10 Quality:10/10 Value for Money:10/10</t>
  </si>
  <si>
    <t>Value for Money: ty seller maganda nylonaterials</t>
  </si>
  <si>
    <t>appearance good quality ok for the price</t>
  </si>
  <si>
    <t>Ease of Assembly：</t>
  </si>
  <si>
    <t>goods product</t>
  </si>
  <si>
    <t>nice</t>
  </si>
  <si>
    <t>goods</t>
  </si>
  <si>
    <t>there's a missing part of the product. the holographic scope of sand is not here</t>
  </si>
  <si>
    <t>fine for the price</t>
  </si>
  <si>
    <t>Sira po yong holographic sight walang red dot, Saka yong lens sa scope nakalas, sayang</t>
  </si>
  <si>
    <t>ung sight nya. malabo at hnd maxado maganda. goods nmn sna kaso un lang ang problema</t>
  </si>
  <si>
    <t>Rate only ayaw ng video ina nio</t>
  </si>
  <si>
    <t>anlabo ng lens baduy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</si>
</sst>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2"/>
  <sheetViews>
    <sheetView tabSelected="1" topLeftCell="A21" workbookViewId="0">
      <selection activeCell="C52" sqref="C52"/>
    </sheetView>
  </sheetViews>
  <sheetFormatPr defaultColWidth="9" defaultRowHeight="15"/>
  <cols>
    <col min="1" max="1" width="173.571428571429" style="1" customWidth="1"/>
  </cols>
  <sheetData>
    <row r="1" spans="1:12">
      <c r="A1" s="1" t="s">
        <v>0</v>
      </c>
      <c r="B1" t="s">
        <v>1</v>
      </c>
      <c r="C1" t="s">
        <v>2</v>
      </c>
      <c r="D1" t="s">
        <v>3</v>
      </c>
      <c r="E1" t="s">
        <v>4</v>
      </c>
      <c r="F1" t="s">
        <v>5</v>
      </c>
      <c r="G1" t="s">
        <v>6</v>
      </c>
      <c r="H1" t="s">
        <v>7</v>
      </c>
      <c r="I1" t="s">
        <v>8</v>
      </c>
      <c r="J1" t="s">
        <v>9</v>
      </c>
      <c r="K1" t="s">
        <v>10</v>
      </c>
      <c r="L1" t="s">
        <v>11</v>
      </c>
    </row>
    <row r="2" spans="1:9">
      <c r="A2" s="1" t="s">
        <v>12</v>
      </c>
      <c r="B2">
        <v>5</v>
      </c>
      <c r="C2" t="s">
        <v>13</v>
      </c>
      <c r="D2" t="str">
        <f>IF(OR(AND(OR(B2=1,B2=2),C2="Negative"),AND(B2=3,OR(C2="Neutral",C2="Negative")),AND(OR(B2=4,B2=5),C2="Positive")),"CONSISTENT","INCONSISTENT")</f>
        <v>CONSISTENT</v>
      </c>
      <c r="H2">
        <f>IF(E2="Low",0,IF(E2="Moderate",1,IF(E2="High",2)))+IF(F2="Low",0,IF(F2="Moderate",1,IF(F2="High",2)))+IF(G2="OS",0,IF(G2="TS",1))</f>
        <v>0</v>
      </c>
      <c r="I2" t="str">
        <f>IF(H2&lt;=1,"Low RIQ",IF(H2&lt;=3,"Moderate RIQ","High RIQ"))</f>
        <v>Low RIQ</v>
      </c>
    </row>
    <row r="3" spans="1:9">
      <c r="A3" s="1" t="s">
        <v>14</v>
      </c>
      <c r="B3">
        <v>5</v>
      </c>
      <c r="C3" t="s">
        <v>13</v>
      </c>
      <c r="D3" t="str">
        <f>IF(OR(AND(OR(B3=1,B3=2),C3="Negative"),AND(B3=3,OR(C3="Neutral",C3="Negative")),AND(OR(B3=4,B3=5),C3="Positive")),"CONSISTENT","INCONSISTENT")</f>
        <v>CONSISTENT</v>
      </c>
      <c r="H3">
        <f>IF(E3="Low",0,IF(E3="Moderate",1,IF(E3="High",2)))+IF(F3="Low",0,IF(F3="Moderate",1,IF(F3="High",2)))+IF(G3="OS",0,IF(G3="TS",1))</f>
        <v>0</v>
      </c>
      <c r="I3" t="str">
        <f>IF(H3&lt;=1,"Low RIQ",IF(H3&lt;=3,"Moderate RIQ","High RIQ"))</f>
        <v>Low RIQ</v>
      </c>
    </row>
    <row r="4" spans="1:9">
      <c r="A4" s="1" t="s">
        <v>15</v>
      </c>
      <c r="B4">
        <v>5</v>
      </c>
      <c r="C4" t="s">
        <v>13</v>
      </c>
      <c r="D4" t="str">
        <f>IF(OR(AND(OR(B4=1,B4=2),C4="Negative"),AND(B4=3,OR(C4="Neutral",C4="Negative")),AND(OR(B4=4,B4=5),C4="Positive")),"CONSISTENT","INCONSISTENT")</f>
        <v>CONSISTENT</v>
      </c>
      <c r="H4">
        <f>IF(E4="Low",0,IF(E4="Moderate",1,IF(E4="High",2)))+IF(F4="Low",0,IF(F4="Moderate",1,IF(F4="High",2)))+IF(G4="OS",0,IF(G4="TS",1))</f>
        <v>0</v>
      </c>
      <c r="I4" t="str">
        <f>IF(H4&lt;=1,"Low RIQ",IF(H4&lt;=3,"Moderate RIQ","High RIQ"))</f>
        <v>Low RIQ</v>
      </c>
    </row>
    <row r="5" spans="1:9">
      <c r="A5" s="1" t="s">
        <v>16</v>
      </c>
      <c r="B5">
        <v>5</v>
      </c>
      <c r="C5" t="s">
        <v>13</v>
      </c>
      <c r="D5" t="str">
        <f>IF(OR(AND(OR(B5=1,B5=2),C5="Negative"),AND(B5=3,OR(C5="Neutral",C5="Negative")),AND(OR(B5=4,B5=5),C5="Positive")),"CONSISTENT","INCONSISTENT")</f>
        <v>CONSISTENT</v>
      </c>
      <c r="H5">
        <f>IF(E5="Low",0,IF(E5="Moderate",1,IF(E5="High",2)))+IF(F5="Low",0,IF(F5="Moderate",1,IF(F5="High",2)))+IF(G5="OS",0,IF(G5="TS",1))</f>
        <v>0</v>
      </c>
      <c r="I5" t="str">
        <f>IF(H5&lt;=1,"Low RIQ",IF(H5&lt;=3,"Moderate RIQ","High RIQ"))</f>
        <v>Low RIQ</v>
      </c>
    </row>
    <row r="6" spans="1:9">
      <c r="A6" s="1" t="s">
        <v>17</v>
      </c>
      <c r="B6">
        <v>5</v>
      </c>
      <c r="C6" t="s">
        <v>13</v>
      </c>
      <c r="D6" t="str">
        <f>IF(OR(AND(OR(B6=1,B6=2),C6="Negative"),AND(B6=3,OR(C6="Neutral",C6="Negative")),AND(OR(B6=4,B6=5),C6="Positive")),"CONSISTENT","INCONSISTENT")</f>
        <v>CONSISTENT</v>
      </c>
      <c r="H6">
        <f>IF(E6="Low",0,IF(E6="Moderate",1,IF(E6="High",2)))+IF(F6="Low",0,IF(F6="Moderate",1,IF(F6="High",2)))+IF(G6="OS",0,IF(G6="TS",1))</f>
        <v>0</v>
      </c>
      <c r="I6" t="str">
        <f>IF(H6&lt;=1,"Low RIQ",IF(H6&lt;=3,"Moderate RIQ","High RIQ"))</f>
        <v>Low RIQ</v>
      </c>
    </row>
    <row r="7" spans="1:9">
      <c r="A7" s="1" t="s">
        <v>18</v>
      </c>
      <c r="B7">
        <v>5</v>
      </c>
      <c r="C7" t="s">
        <v>13</v>
      </c>
      <c r="D7" t="str">
        <f t="shared" ref="D7:D52" si="0">IF(OR(AND(OR(B7=1,B7=2),C7="Negative"),AND(B7=3,OR(C7="Neutral",C7="Negative")),AND(OR(B7=4,B7=5),C7="Positive")),"CONSISTENT","INCONSISTENT")</f>
        <v>CONSISTENT</v>
      </c>
      <c r="H7">
        <f t="shared" ref="H7:H52" si="1">IF(E7="Low",0,IF(E7="Moderate",1,IF(E7="High",2)))+IF(F7="Low",0,IF(F7="Moderate",1,IF(F7="High",2)))+IF(G7="OS",0,IF(G7="TS",1))</f>
        <v>0</v>
      </c>
      <c r="I7" t="str">
        <f t="shared" ref="I7:I52" si="2">IF(H7&lt;=1,"Low RIQ",IF(H7&lt;=3,"Moderate RIQ","High RIQ"))</f>
        <v>Low RIQ</v>
      </c>
    </row>
    <row r="8" spans="1:9">
      <c r="A8" s="1" t="s">
        <v>19</v>
      </c>
      <c r="B8">
        <v>5</v>
      </c>
      <c r="C8" t="s">
        <v>13</v>
      </c>
      <c r="D8" t="str">
        <f t="shared" si="0"/>
        <v>CONSISTENT</v>
      </c>
      <c r="H8">
        <f t="shared" si="1"/>
        <v>0</v>
      </c>
      <c r="I8" t="str">
        <f t="shared" si="2"/>
        <v>Low RIQ</v>
      </c>
    </row>
    <row r="9" spans="1:9">
      <c r="A9" s="1" t="s">
        <v>18</v>
      </c>
      <c r="B9">
        <v>5</v>
      </c>
      <c r="C9" t="s">
        <v>13</v>
      </c>
      <c r="D9" t="str">
        <f t="shared" si="0"/>
        <v>CONSISTENT</v>
      </c>
      <c r="H9">
        <f t="shared" si="1"/>
        <v>0</v>
      </c>
      <c r="I9" t="str">
        <f t="shared" si="2"/>
        <v>Low RIQ</v>
      </c>
    </row>
    <row r="10" spans="1:9">
      <c r="A10" s="1" t="s">
        <v>20</v>
      </c>
      <c r="B10">
        <v>5</v>
      </c>
      <c r="C10" t="s">
        <v>13</v>
      </c>
      <c r="D10" t="str">
        <f t="shared" si="0"/>
        <v>CONSISTENT</v>
      </c>
      <c r="H10">
        <f t="shared" si="1"/>
        <v>0</v>
      </c>
      <c r="I10" t="str">
        <f t="shared" si="2"/>
        <v>Low RIQ</v>
      </c>
    </row>
    <row r="11" spans="1:9">
      <c r="A11" s="1" t="s">
        <v>21</v>
      </c>
      <c r="B11">
        <v>5</v>
      </c>
      <c r="C11" t="s">
        <v>13</v>
      </c>
      <c r="D11" t="str">
        <f t="shared" si="0"/>
        <v>CONSISTENT</v>
      </c>
      <c r="H11">
        <f t="shared" si="1"/>
        <v>0</v>
      </c>
      <c r="I11" t="str">
        <f t="shared" si="2"/>
        <v>Low RIQ</v>
      </c>
    </row>
    <row r="12" spans="1:9">
      <c r="A12" s="1" t="s">
        <v>22</v>
      </c>
      <c r="B12">
        <v>5</v>
      </c>
      <c r="C12" t="s">
        <v>13</v>
      </c>
      <c r="D12" t="str">
        <f t="shared" si="0"/>
        <v>CONSISTENT</v>
      </c>
      <c r="H12">
        <f t="shared" si="1"/>
        <v>0</v>
      </c>
      <c r="I12" t="str">
        <f t="shared" si="2"/>
        <v>Low RIQ</v>
      </c>
    </row>
    <row r="13" spans="1:9">
      <c r="A13" s="1" t="s">
        <v>23</v>
      </c>
      <c r="B13">
        <v>5</v>
      </c>
      <c r="C13" t="s">
        <v>13</v>
      </c>
      <c r="D13" t="str">
        <f t="shared" si="0"/>
        <v>CONSISTENT</v>
      </c>
      <c r="H13">
        <f t="shared" si="1"/>
        <v>0</v>
      </c>
      <c r="I13" t="str">
        <f t="shared" si="2"/>
        <v>Low RIQ</v>
      </c>
    </row>
    <row r="14" ht="30" spans="1:9">
      <c r="A14" s="1" t="s">
        <v>24</v>
      </c>
      <c r="B14">
        <v>5</v>
      </c>
      <c r="C14" t="s">
        <v>25</v>
      </c>
      <c r="D14" t="str">
        <f t="shared" si="0"/>
        <v>INCONSISTENT</v>
      </c>
      <c r="H14">
        <f t="shared" si="1"/>
        <v>0</v>
      </c>
      <c r="I14" t="str">
        <f t="shared" si="2"/>
        <v>Low RIQ</v>
      </c>
    </row>
    <row r="15" spans="1:9">
      <c r="A15" s="1" t="s">
        <v>20</v>
      </c>
      <c r="B15">
        <v>5</v>
      </c>
      <c r="C15" t="s">
        <v>13</v>
      </c>
      <c r="D15" t="str">
        <f t="shared" si="0"/>
        <v>CONSISTENT</v>
      </c>
      <c r="H15">
        <f t="shared" si="1"/>
        <v>0</v>
      </c>
      <c r="I15" t="str">
        <f t="shared" si="2"/>
        <v>Low RIQ</v>
      </c>
    </row>
    <row r="16" spans="1:9">
      <c r="A16" s="1" t="s">
        <v>26</v>
      </c>
      <c r="B16">
        <v>5</v>
      </c>
      <c r="C16" t="s">
        <v>13</v>
      </c>
      <c r="D16" t="str">
        <f t="shared" si="0"/>
        <v>CONSISTENT</v>
      </c>
      <c r="H16">
        <f t="shared" si="1"/>
        <v>0</v>
      </c>
      <c r="I16" t="str">
        <f t="shared" si="2"/>
        <v>Low RIQ</v>
      </c>
    </row>
    <row r="17" spans="1:9">
      <c r="A17" s="1" t="s">
        <v>27</v>
      </c>
      <c r="B17">
        <v>5</v>
      </c>
      <c r="C17" t="s">
        <v>13</v>
      </c>
      <c r="D17" t="str">
        <f t="shared" si="0"/>
        <v>CONSISTENT</v>
      </c>
      <c r="H17">
        <f t="shared" si="1"/>
        <v>0</v>
      </c>
      <c r="I17" t="str">
        <f t="shared" si="2"/>
        <v>Low RIQ</v>
      </c>
    </row>
    <row r="18" spans="1:9">
      <c r="A18" s="1" t="s">
        <v>28</v>
      </c>
      <c r="B18">
        <v>5</v>
      </c>
      <c r="C18" t="s">
        <v>13</v>
      </c>
      <c r="D18" t="str">
        <f t="shared" si="0"/>
        <v>CONSISTENT</v>
      </c>
      <c r="H18">
        <f t="shared" si="1"/>
        <v>0</v>
      </c>
      <c r="I18" t="str">
        <f t="shared" si="2"/>
        <v>Low RIQ</v>
      </c>
    </row>
    <row r="19" ht="30" spans="1:9">
      <c r="A19" s="1" t="s">
        <v>29</v>
      </c>
      <c r="B19">
        <v>5</v>
      </c>
      <c r="C19" t="s">
        <v>13</v>
      </c>
      <c r="D19" t="str">
        <f t="shared" si="0"/>
        <v>CONSISTENT</v>
      </c>
      <c r="H19">
        <f t="shared" si="1"/>
        <v>0</v>
      </c>
      <c r="I19" t="str">
        <f t="shared" si="2"/>
        <v>Low RIQ</v>
      </c>
    </row>
    <row r="20" ht="45" spans="1:9">
      <c r="A20" s="1" t="s">
        <v>30</v>
      </c>
      <c r="B20">
        <v>5</v>
      </c>
      <c r="C20" t="s">
        <v>13</v>
      </c>
      <c r="D20" t="str">
        <f t="shared" si="0"/>
        <v>CONSISTENT</v>
      </c>
      <c r="H20">
        <f t="shared" si="1"/>
        <v>0</v>
      </c>
      <c r="I20" t="str">
        <f t="shared" si="2"/>
        <v>Low RIQ</v>
      </c>
    </row>
    <row r="21" spans="1:9">
      <c r="A21" s="1" t="s">
        <v>31</v>
      </c>
      <c r="B21">
        <v>5</v>
      </c>
      <c r="C21" t="s">
        <v>13</v>
      </c>
      <c r="D21" t="str">
        <f t="shared" si="0"/>
        <v>CONSISTENT</v>
      </c>
      <c r="H21">
        <f t="shared" si="1"/>
        <v>0</v>
      </c>
      <c r="I21" t="str">
        <f t="shared" si="2"/>
        <v>Low RIQ</v>
      </c>
    </row>
    <row r="22" spans="1:9">
      <c r="A22" s="1" t="s">
        <v>32</v>
      </c>
      <c r="B22">
        <v>4</v>
      </c>
      <c r="C22" t="s">
        <v>13</v>
      </c>
      <c r="D22" t="str">
        <f t="shared" si="0"/>
        <v>CONSISTENT</v>
      </c>
      <c r="H22">
        <f t="shared" si="1"/>
        <v>0</v>
      </c>
      <c r="I22" t="str">
        <f t="shared" si="2"/>
        <v>Low RIQ</v>
      </c>
    </row>
    <row r="23" spans="1:9">
      <c r="A23" s="1" t="s">
        <v>33</v>
      </c>
      <c r="B23">
        <v>5</v>
      </c>
      <c r="C23" t="s">
        <v>13</v>
      </c>
      <c r="D23" t="str">
        <f t="shared" si="0"/>
        <v>CONSISTENT</v>
      </c>
      <c r="H23">
        <f t="shared" si="1"/>
        <v>0</v>
      </c>
      <c r="I23" t="str">
        <f t="shared" si="2"/>
        <v>Low RIQ</v>
      </c>
    </row>
    <row r="24" spans="1:9">
      <c r="A24" s="1" t="s">
        <v>34</v>
      </c>
      <c r="B24">
        <v>5</v>
      </c>
      <c r="C24" t="s">
        <v>13</v>
      </c>
      <c r="D24" t="str">
        <f t="shared" si="0"/>
        <v>CONSISTENT</v>
      </c>
      <c r="H24">
        <f t="shared" si="1"/>
        <v>0</v>
      </c>
      <c r="I24" t="str">
        <f t="shared" si="2"/>
        <v>Low RIQ</v>
      </c>
    </row>
    <row r="25" spans="1:9">
      <c r="A25" s="1" t="s">
        <v>35</v>
      </c>
      <c r="B25">
        <v>5</v>
      </c>
      <c r="C25" t="s">
        <v>13</v>
      </c>
      <c r="D25" t="str">
        <f t="shared" si="0"/>
        <v>CONSISTENT</v>
      </c>
      <c r="H25">
        <f t="shared" si="1"/>
        <v>0</v>
      </c>
      <c r="I25" t="str">
        <f t="shared" si="2"/>
        <v>Low RIQ</v>
      </c>
    </row>
    <row r="26" spans="1:9">
      <c r="A26" s="1" t="s">
        <v>36</v>
      </c>
      <c r="B26">
        <v>5</v>
      </c>
      <c r="C26" t="s">
        <v>13</v>
      </c>
      <c r="D26" t="str">
        <f t="shared" si="0"/>
        <v>CONSISTENT</v>
      </c>
      <c r="H26">
        <f t="shared" si="1"/>
        <v>0</v>
      </c>
      <c r="I26" t="str">
        <f t="shared" si="2"/>
        <v>Low RIQ</v>
      </c>
    </row>
    <row r="27" ht="75" spans="1:9">
      <c r="A27" s="1" t="s">
        <v>37</v>
      </c>
      <c r="B27">
        <v>3</v>
      </c>
      <c r="C27" t="s">
        <v>38</v>
      </c>
      <c r="D27" t="str">
        <f t="shared" si="0"/>
        <v>CONSISTENT</v>
      </c>
      <c r="H27">
        <f t="shared" si="1"/>
        <v>0</v>
      </c>
      <c r="I27" t="str">
        <f t="shared" si="2"/>
        <v>Low RIQ</v>
      </c>
    </row>
    <row r="28" spans="1:9">
      <c r="A28" s="1" t="s">
        <v>39</v>
      </c>
      <c r="B28">
        <v>5</v>
      </c>
      <c r="C28" t="s">
        <v>13</v>
      </c>
      <c r="D28" t="str">
        <f t="shared" si="0"/>
        <v>CONSISTENT</v>
      </c>
      <c r="H28">
        <f t="shared" si="1"/>
        <v>0</v>
      </c>
      <c r="I28" t="str">
        <f t="shared" si="2"/>
        <v>Low RIQ</v>
      </c>
    </row>
    <row r="29" spans="1:9">
      <c r="A29" s="1" t="s">
        <v>40</v>
      </c>
      <c r="B29">
        <v>5</v>
      </c>
      <c r="C29" t="s">
        <v>13</v>
      </c>
      <c r="D29" t="str">
        <f t="shared" si="0"/>
        <v>CONSISTENT</v>
      </c>
      <c r="H29">
        <f t="shared" si="1"/>
        <v>0</v>
      </c>
      <c r="I29" t="str">
        <f t="shared" si="2"/>
        <v>Low RIQ</v>
      </c>
    </row>
    <row r="30" spans="1:9">
      <c r="A30" s="1" t="s">
        <v>41</v>
      </c>
      <c r="B30">
        <v>5</v>
      </c>
      <c r="C30" t="s">
        <v>13</v>
      </c>
      <c r="D30" t="str">
        <f t="shared" si="0"/>
        <v>CONSISTENT</v>
      </c>
      <c r="H30">
        <f t="shared" si="1"/>
        <v>0</v>
      </c>
      <c r="I30" t="str">
        <f t="shared" si="2"/>
        <v>Low RIQ</v>
      </c>
    </row>
    <row r="31" spans="1:9">
      <c r="A31" s="1" t="s">
        <v>42</v>
      </c>
      <c r="B31">
        <v>5</v>
      </c>
      <c r="C31" t="s">
        <v>13</v>
      </c>
      <c r="D31" t="str">
        <f t="shared" si="0"/>
        <v>CONSISTENT</v>
      </c>
      <c r="H31">
        <f t="shared" si="1"/>
        <v>0</v>
      </c>
      <c r="I31" t="str">
        <f t="shared" si="2"/>
        <v>Low RIQ</v>
      </c>
    </row>
    <row r="32" spans="1:9">
      <c r="A32" s="1" t="s">
        <v>43</v>
      </c>
      <c r="B32">
        <v>5</v>
      </c>
      <c r="C32" t="s">
        <v>13</v>
      </c>
      <c r="D32" t="str">
        <f t="shared" si="0"/>
        <v>CONSISTENT</v>
      </c>
      <c r="H32">
        <f t="shared" si="1"/>
        <v>0</v>
      </c>
      <c r="I32" t="str">
        <f t="shared" si="2"/>
        <v>Low RIQ</v>
      </c>
    </row>
    <row r="33" spans="1:9">
      <c r="A33" s="1" t="s">
        <v>44</v>
      </c>
      <c r="B33">
        <v>5</v>
      </c>
      <c r="C33" t="s">
        <v>13</v>
      </c>
      <c r="D33" t="str">
        <f t="shared" si="0"/>
        <v>CONSISTENT</v>
      </c>
      <c r="H33">
        <f t="shared" si="1"/>
        <v>0</v>
      </c>
      <c r="I33" t="str">
        <f t="shared" si="2"/>
        <v>Low RIQ</v>
      </c>
    </row>
    <row r="34" spans="1:9">
      <c r="A34" s="1" t="s">
        <v>45</v>
      </c>
      <c r="B34">
        <v>5</v>
      </c>
      <c r="C34" t="s">
        <v>13</v>
      </c>
      <c r="D34" t="str">
        <f t="shared" si="0"/>
        <v>CONSISTENT</v>
      </c>
      <c r="H34">
        <f t="shared" si="1"/>
        <v>0</v>
      </c>
      <c r="I34" t="str">
        <f t="shared" si="2"/>
        <v>Low RIQ</v>
      </c>
    </row>
    <row r="35" ht="30" spans="1:9">
      <c r="A35" s="1" t="s">
        <v>46</v>
      </c>
      <c r="B35">
        <v>5</v>
      </c>
      <c r="C35" t="s">
        <v>13</v>
      </c>
      <c r="D35" t="str">
        <f t="shared" si="0"/>
        <v>CONSISTENT</v>
      </c>
      <c r="H35">
        <f t="shared" si="1"/>
        <v>0</v>
      </c>
      <c r="I35" t="str">
        <f t="shared" si="2"/>
        <v>Low RIQ</v>
      </c>
    </row>
    <row r="36" spans="1:9">
      <c r="A36" s="1" t="s">
        <v>47</v>
      </c>
      <c r="B36">
        <v>5</v>
      </c>
      <c r="C36" t="s">
        <v>13</v>
      </c>
      <c r="D36" t="str">
        <f t="shared" si="0"/>
        <v>CONSISTENT</v>
      </c>
      <c r="H36">
        <f t="shared" si="1"/>
        <v>0</v>
      </c>
      <c r="I36" t="str">
        <f t="shared" si="2"/>
        <v>Low RIQ</v>
      </c>
    </row>
    <row r="37" spans="1:9">
      <c r="A37" s="1" t="s">
        <v>48</v>
      </c>
      <c r="B37">
        <v>5</v>
      </c>
      <c r="C37" t="s">
        <v>13</v>
      </c>
      <c r="D37" t="str">
        <f t="shared" si="0"/>
        <v>CONSISTENT</v>
      </c>
      <c r="H37">
        <f t="shared" si="1"/>
        <v>0</v>
      </c>
      <c r="I37" t="str">
        <f t="shared" si="2"/>
        <v>Low RIQ</v>
      </c>
    </row>
    <row r="38" spans="1:9">
      <c r="A38" s="1" t="s">
        <v>49</v>
      </c>
      <c r="B38">
        <v>5</v>
      </c>
      <c r="C38" t="s">
        <v>13</v>
      </c>
      <c r="D38" t="str">
        <f t="shared" si="0"/>
        <v>CONSISTENT</v>
      </c>
      <c r="H38">
        <f t="shared" si="1"/>
        <v>0</v>
      </c>
      <c r="I38" t="str">
        <f t="shared" si="2"/>
        <v>Low RIQ</v>
      </c>
    </row>
    <row r="39" spans="1:9">
      <c r="A39" s="1" t="s">
        <v>50</v>
      </c>
      <c r="B39">
        <v>5</v>
      </c>
      <c r="C39" t="s">
        <v>13</v>
      </c>
      <c r="D39" t="str">
        <f t="shared" si="0"/>
        <v>CONSISTENT</v>
      </c>
      <c r="H39">
        <f t="shared" si="1"/>
        <v>0</v>
      </c>
      <c r="I39" t="str">
        <f t="shared" si="2"/>
        <v>Low RIQ</v>
      </c>
    </row>
    <row r="40" spans="1:9">
      <c r="A40" s="1" t="s">
        <v>51</v>
      </c>
      <c r="B40">
        <v>5</v>
      </c>
      <c r="C40" t="s">
        <v>13</v>
      </c>
      <c r="D40" t="str">
        <f t="shared" si="0"/>
        <v>CONSISTENT</v>
      </c>
      <c r="H40">
        <f t="shared" si="1"/>
        <v>0</v>
      </c>
      <c r="I40" t="str">
        <f t="shared" si="2"/>
        <v>Low RIQ</v>
      </c>
    </row>
    <row r="41" spans="1:9">
      <c r="A41" s="1" t="s">
        <v>52</v>
      </c>
      <c r="B41">
        <v>5</v>
      </c>
      <c r="C41" t="s">
        <v>13</v>
      </c>
      <c r="D41" t="str">
        <f t="shared" si="0"/>
        <v>CONSISTENT</v>
      </c>
      <c r="H41">
        <f t="shared" si="1"/>
        <v>0</v>
      </c>
      <c r="I41" t="str">
        <f t="shared" si="2"/>
        <v>Low RIQ</v>
      </c>
    </row>
    <row r="42" spans="1:9">
      <c r="A42" s="1" t="s">
        <v>53</v>
      </c>
      <c r="B42">
        <v>5</v>
      </c>
      <c r="C42" t="s">
        <v>13</v>
      </c>
      <c r="D42" t="str">
        <f t="shared" si="0"/>
        <v>CONSISTENT</v>
      </c>
      <c r="H42">
        <f t="shared" si="1"/>
        <v>0</v>
      </c>
      <c r="I42" t="str">
        <f t="shared" si="2"/>
        <v>Low RIQ</v>
      </c>
    </row>
    <row r="43" spans="1:9">
      <c r="A43" s="1" t="s">
        <v>54</v>
      </c>
      <c r="B43">
        <v>5</v>
      </c>
      <c r="C43" t="s">
        <v>13</v>
      </c>
      <c r="D43" t="str">
        <f t="shared" si="0"/>
        <v>CONSISTENT</v>
      </c>
      <c r="H43">
        <f t="shared" si="1"/>
        <v>0</v>
      </c>
      <c r="I43" t="str">
        <f t="shared" si="2"/>
        <v>Low RIQ</v>
      </c>
    </row>
    <row r="44" spans="1:9">
      <c r="A44" s="1" t="s">
        <v>55</v>
      </c>
      <c r="B44">
        <v>5</v>
      </c>
      <c r="C44" t="s">
        <v>13</v>
      </c>
      <c r="D44" t="str">
        <f t="shared" si="0"/>
        <v>CONSISTENT</v>
      </c>
      <c r="H44">
        <f t="shared" si="1"/>
        <v>0</v>
      </c>
      <c r="I44" t="str">
        <f t="shared" si="2"/>
        <v>Low RIQ</v>
      </c>
    </row>
    <row r="45" spans="1:9">
      <c r="A45" s="1" t="s">
        <v>21</v>
      </c>
      <c r="B45">
        <v>5</v>
      </c>
      <c r="C45" t="s">
        <v>13</v>
      </c>
      <c r="D45" t="str">
        <f t="shared" si="0"/>
        <v>CONSISTENT</v>
      </c>
      <c r="H45">
        <f t="shared" si="1"/>
        <v>0</v>
      </c>
      <c r="I45" t="str">
        <f t="shared" si="2"/>
        <v>Low RIQ</v>
      </c>
    </row>
    <row r="46" spans="1:9">
      <c r="A46" s="1" t="s">
        <v>56</v>
      </c>
      <c r="B46">
        <v>5</v>
      </c>
      <c r="C46" t="s">
        <v>25</v>
      </c>
      <c r="D46" t="str">
        <f t="shared" si="0"/>
        <v>INCONSISTENT</v>
      </c>
      <c r="H46">
        <f t="shared" si="1"/>
        <v>0</v>
      </c>
      <c r="I46" t="str">
        <f t="shared" si="2"/>
        <v>Low RIQ</v>
      </c>
    </row>
    <row r="47" spans="1:9">
      <c r="A47" s="1" t="s">
        <v>57</v>
      </c>
      <c r="B47">
        <v>1</v>
      </c>
      <c r="C47" t="s">
        <v>38</v>
      </c>
      <c r="D47" t="str">
        <f t="shared" si="0"/>
        <v>CONSISTENT</v>
      </c>
      <c r="H47">
        <f t="shared" si="1"/>
        <v>0</v>
      </c>
      <c r="I47" t="str">
        <f t="shared" si="2"/>
        <v>Low RIQ</v>
      </c>
    </row>
    <row r="48" spans="1:9">
      <c r="A48" s="1" t="s">
        <v>58</v>
      </c>
      <c r="B48">
        <v>3</v>
      </c>
      <c r="C48" t="s">
        <v>13</v>
      </c>
      <c r="D48" t="str">
        <f t="shared" si="0"/>
        <v>INCONSISTENT</v>
      </c>
      <c r="H48">
        <f t="shared" si="1"/>
        <v>0</v>
      </c>
      <c r="I48" t="str">
        <f t="shared" si="2"/>
        <v>Low RIQ</v>
      </c>
    </row>
    <row r="49" spans="1:9">
      <c r="A49" s="1" t="s">
        <v>59</v>
      </c>
      <c r="B49">
        <v>2</v>
      </c>
      <c r="C49" t="s">
        <v>38</v>
      </c>
      <c r="D49" t="str">
        <f t="shared" si="0"/>
        <v>CONSISTENT</v>
      </c>
      <c r="H49">
        <f t="shared" si="1"/>
        <v>0</v>
      </c>
      <c r="I49" t="str">
        <f t="shared" si="2"/>
        <v>Low RIQ</v>
      </c>
    </row>
    <row r="50" spans="1:9">
      <c r="A50" s="1" t="s">
        <v>60</v>
      </c>
      <c r="B50">
        <v>1</v>
      </c>
      <c r="C50" t="s">
        <v>38</v>
      </c>
      <c r="D50" t="str">
        <f t="shared" si="0"/>
        <v>CONSISTENT</v>
      </c>
      <c r="H50">
        <f t="shared" si="1"/>
        <v>0</v>
      </c>
      <c r="I50" t="str">
        <f t="shared" si="2"/>
        <v>Low RIQ</v>
      </c>
    </row>
    <row r="51" spans="1:9">
      <c r="A51" s="1" t="s">
        <v>61</v>
      </c>
      <c r="B51">
        <v>1</v>
      </c>
      <c r="C51" t="s">
        <v>38</v>
      </c>
      <c r="D51" t="str">
        <f t="shared" si="0"/>
        <v>CONSISTENT</v>
      </c>
      <c r="H51">
        <f t="shared" si="1"/>
        <v>0</v>
      </c>
      <c r="I51" t="str">
        <f t="shared" si="2"/>
        <v>Low RIQ</v>
      </c>
    </row>
    <row r="52" spans="1:9">
      <c r="A52" s="1" t="s">
        <v>62</v>
      </c>
      <c r="B52">
        <v>1</v>
      </c>
      <c r="C52" t="s">
        <v>38</v>
      </c>
      <c r="D52" t="str">
        <f t="shared" si="0"/>
        <v>CONSISTENT</v>
      </c>
      <c r="H52">
        <f t="shared" si="1"/>
        <v>0</v>
      </c>
      <c r="I52" t="str">
        <f t="shared" si="2"/>
        <v>Low RIQ</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cp:lastModifiedBy>
  <dcterms:created xsi:type="dcterms:W3CDTF">2025-05-09T11:47:00Z</dcterms:created>
  <dcterms:modified xsi:type="dcterms:W3CDTF">2025-05-09T11:49:20Z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72FB24A873D54955A2BACE62E7E0C4F8_12</vt:lpwstr>
  </property>
  <property fmtid="{D5CDD505-2E9C-101B-9397-08002B2CF9AE}" pid="3" name="KSOProductBuildVer">
    <vt:lpwstr>2057-12.2.0.20796</vt:lpwstr>
  </property>
</Properties>
</file>