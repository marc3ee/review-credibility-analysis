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<sst xmlns="http://schemas.openxmlformats.org/spreadsheetml/2006/main" count="94" uniqueCount="52">
  <si>
    <t>Review</t>
  </si>
  <si>
    <t>Star Rating</t>
  </si>
  <si>
    <t>Valence</t>
  </si>
  <si>
    <t>Internal Consistency</t>
  </si>
  <si>
    <t>Argument Quality</t>
  </si>
  <si>
    <t>Objectivity</t>
  </si>
  <si>
    <t>Sidedness</t>
  </si>
  <si>
    <t>RIQ Score</t>
  </si>
  <si>
    <t>RIQ Label</t>
  </si>
  <si>
    <t>Template Flag</t>
  </si>
  <si>
    <t>Spam Flag</t>
  </si>
  <si>
    <t>CREDIBILITY</t>
  </si>
  <si>
    <t>👜Portability: friendly and handy 🔋Battery Life:strong ⚙️Speed Settings:strong speed</t>
  </si>
  <si>
    <t>POSITIVE</t>
  </si>
  <si>
    <t>👜Portability:very demureeee 🔋Battery Life:long lasting</t>
  </si>
  <si>
    <t>Wala ung upoan nya sayang pano gagamitin ng anak q Yan seller.kompleto nman byad q w/battery pa dpat.wala nmang ksmang battery</t>
  </si>
  <si>
    <t>NEGATIVE</t>
  </si>
  <si>
    <t>pwede narin, lakas ng hangin nya and foldable napaka handy din nya!!! mwua thankyou.</t>
  </si>
  <si>
    <t>parcel recieve napo,, thank you seller,, thank you lazada,, thanks din po kay kuyang delivery rider,, 👜Portability:good 🔋Battery Life:good ⚙️Speed Settings:good</t>
  </si>
  <si>
    <t>nice and worth the price. thank you i will order the bigger fan soon. thank you 🌟🌟🌟🌟🌟🌟🌟🌟🌟</t>
  </si>
  <si>
    <t>👜Portability:10 🔋Battery Life:10 ⚙️Speed Settings:10</t>
  </si>
  <si>
    <t>it's so nice 😍 and Tama ung kulay na pinadala👍👍👍 subrang Ganda 😍 😍 😍 😍 😍 😍 😍 😍 😍 😍 😍 😍 😍 😍 😍 😍 😍 😍 🥰 🥰 😍 😍 😍 😍 😍 😍 😍 😍 😍 😍 😍 😍 😍 😍 😍 😍 😍 😍 😍 😍 👜Portability:10/10 🔋Battery Life:10/10</t>
  </si>
  <si>
    <t>super.nize very.good super nize, very goood super.nize very.good super nize, very goood super.nize very.good super nize, very goood</t>
  </si>
  <si>
    <t>okkkkkkkkkkkkkkkkkkmmmmmmmmmmmkkkkk okkkkkkkkkkkkkkkkkkmmmmmmmmmmmkkkk kkkkkkkkkkkkkkkkmkkkkmmmmmmmmkkkkkkkkkkkk my</t>
  </si>
  <si>
    <t>NEUTRAL</t>
  </si>
  <si>
    <t>Nice and serves its purpose to cool and refresh oneself temporarily considering this product is a Mini-Fan for quick access.</t>
  </si>
  <si>
    <t>Super Ganda! Very stylish and affordable for the price. Hindi nakakahiya kung give aways</t>
  </si>
  <si>
    <t>Ang ganda at ang cute ng mini fan na naorder ko nd cya hassle dalhin .. order ako ulit nito mukhang matibay naman tyou seller, tyou kua delivery rider... okay na okay</t>
  </si>
  <si>
    <t>salamat naman at tama na binigay matagal malowbat at malakas din naman</t>
  </si>
  <si>
    <t>NO INDICATOR DISPLAY AS TO BATTERY, SPEED, ETC</t>
  </si>
  <si>
    <t>thank you 💕💕 sealer it's good for me</t>
  </si>
  <si>
    <t>🔋Battery Life: 15-20 minutes battery dead .</t>
  </si>
  <si>
    <t>Salmat po</t>
  </si>
  <si>
    <t>thank you ..</t>
  </si>
  <si>
    <t>nice</t>
  </si>
  <si>
    <t>👜Portability:10 🔋Battery Life:8 ⚙️Speed Settings:8 maganda, maingay konti. medjo matgal ma lowbat. ayos!</t>
  </si>
  <si>
    <t>maganda ang product pero hinde ko pa na try kung matagal ma low bat, pero maganda yun nga lng hinde maayos ang pag pack....pero na kunsame ako sa courier flash express tamad ang mga rider ang una kung parcel na return kc hinde nadeliver, buti at may isa silang rider na masipag at sinapuso ang trabaho kayak natanggap ko ang parcel ko ngayon, next time hinde na kayo makipag partner sa flash express ....thank you so much kay Mr.dela gracia ang rider na naghatid ng parcel ko.</t>
  </si>
  <si>
    <t>cute.... nagamit q po ito khapon at ok nman kht d xa ganon klakas.... usefull ngaun kc mainit ang pnahon... slamat sa inyo....</t>
  </si>
  <si>
    <t>⚙️Speed Settings:nice 🔋Battery Life:so nice 👜Portability:very nice</t>
  </si>
  <si>
    <t>just received it just today, very late, flash express no good</t>
  </si>
  <si>
    <t>rechargeable mejo mahina ang fan, at amoy kuryente pag ginagamit😑</t>
  </si>
  <si>
    <t>rechargeable. mejo mahina ang fan at amoy kuryente pag ginagamit</t>
  </si>
  <si>
    <t>👜Portability:101% 🔋Battery Life:101% ⚙️Speed Settings:101%</t>
  </si>
  <si>
    <t>Hindi magamit sira PG ka diliver</t>
  </si>
  <si>
    <t>sobrang cute thank you sooo much😊😊😊</t>
  </si>
  <si>
    <t>⚙️Speed Settings:80/100</t>
  </si>
  <si>
    <t>⚙️Speed Settings：</t>
  </si>
  <si>
    <t>goods naman</t>
  </si>
  <si>
    <t>Thank you</t>
  </si>
  <si>
    <t>⚙️Speed Settings:good</t>
  </si>
  <si>
    <t>good quality</t>
  </si>
  <si>
    <t>Jusko napaka Hina I deserve na mabigyan ng Bago ung malakas sana binayaran ko tapos ang Hina Hina Sana mabigyan nio Ako ng Bago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</si>
</sst>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tabSelected="1" topLeftCell="A10" workbookViewId="0">
      <selection activeCell="C42" sqref="C42"/>
    </sheetView>
  </sheetViews>
  <sheetFormatPr defaultColWidth="9" defaultRowHeight="15"/>
  <cols>
    <col min="1" max="1" width="152.857142857143" style="1" customWidth="1"/>
    <col min="2" max="2" width="11.1428571428571" customWidth="1"/>
    <col min="3" max="3" width="10.4285714285714" customWidth="1"/>
    <col min="4" max="4" width="20.7142857142857" customWidth="1"/>
    <col min="5" max="5" width="18.1428571428571" customWidth="1"/>
    <col min="6" max="6" width="11.4285714285714" customWidth="1"/>
    <col min="7" max="7" width="10.5714285714286" customWidth="1"/>
    <col min="8" max="8" width="10" customWidth="1"/>
    <col min="9" max="9" width="9.85714285714286" customWidth="1"/>
    <col min="10" max="10" width="14.4285714285714" customWidth="1"/>
    <col min="11" max="11" width="10.4285714285714" customWidth="1"/>
    <col min="12" max="12" width="12.1428571428571" customWidth="1"/>
  </cols>
  <sheetData>
    <row r="1" spans="1:12">
      <c r="A1" s="1" t="s">
        <v>0</v>
      </c>
      <c r="B1" t="s">
        <v>1</v>
      </c>
      <c r="C1" t="s">
        <v>2</v>
      </c>
      <c r="D1" t="s">
        <v>3</v>
      </c>
      <c r="E1" t="s">
        <v>4</v>
      </c>
      <c r="F1" t="s">
        <v>5</v>
      </c>
      <c r="G1" t="s">
        <v>6</v>
      </c>
      <c r="H1" t="s">
        <v>7</v>
      </c>
      <c r="I1" t="s">
        <v>8</v>
      </c>
      <c r="J1" t="s">
        <v>9</v>
      </c>
      <c r="K1" t="s">
        <v>10</v>
      </c>
      <c r="L1" t="s">
        <v>11</v>
      </c>
    </row>
    <row r="2" spans="1:9">
      <c r="A2" s="1" t="s">
        <v>12</v>
      </c>
      <c r="B2">
        <v>5</v>
      </c>
      <c r="C2" t="s">
        <v>13</v>
      </c>
      <c r="D2" t="str">
        <f t="shared" ref="D2:D42" si="0">IF(OR(AND(OR(B2=1,B2=2),C2="Negative"),AND(B2=3,OR(C2="Neutral",C2="Negative")),AND(OR(B2=4,B2=5),C2="Positive")),"CONSISTENT","INCONSISTENT")</f>
        <v>CONSISTENT</v>
      </c>
      <c r="H2">
        <f t="shared" ref="H2:H42" si="1">IF(E2="Low",0,IF(E2="Moderate",1,IF(E2="High",2)))+IF(F2="Low",0,IF(F2="Moderate",1,IF(F2="High",2)))+IF(G2="OS",0,IF(G2="TS",1))</f>
        <v>0</v>
      </c>
      <c r="I2" t="str">
        <f t="shared" ref="I2:I42" si="2">IF(H2&lt;=1,"Low RIQ",IF(H2&lt;=3,"Moderate RIQ","High RIQ"))</f>
        <v>Low RIQ</v>
      </c>
    </row>
    <row r="3" spans="1:9">
      <c r="A3" s="1" t="s">
        <v>14</v>
      </c>
      <c r="B3">
        <v>5</v>
      </c>
      <c r="C3" t="s">
        <v>13</v>
      </c>
      <c r="D3" t="str">
        <f t="shared" si="0"/>
        <v>CONSISTENT</v>
      </c>
      <c r="H3">
        <f t="shared" si="1"/>
        <v>0</v>
      </c>
      <c r="I3" t="str">
        <f t="shared" si="2"/>
        <v>Low RIQ</v>
      </c>
    </row>
    <row r="4" spans="1:9">
      <c r="A4" s="1" t="s">
        <v>15</v>
      </c>
      <c r="B4">
        <v>5</v>
      </c>
      <c r="C4" t="s">
        <v>16</v>
      </c>
      <c r="D4" t="str">
        <f t="shared" si="0"/>
        <v>INCONSISTENT</v>
      </c>
      <c r="H4">
        <f t="shared" si="1"/>
        <v>0</v>
      </c>
      <c r="I4" t="str">
        <f t="shared" si="2"/>
        <v>Low RIQ</v>
      </c>
    </row>
    <row r="5" spans="1:9">
      <c r="A5" s="1" t="s">
        <v>17</v>
      </c>
      <c r="B5">
        <v>5</v>
      </c>
      <c r="C5" t="s">
        <v>13</v>
      </c>
      <c r="D5" t="str">
        <f t="shared" si="0"/>
        <v>CONSISTENT</v>
      </c>
      <c r="H5">
        <f t="shared" si="1"/>
        <v>0</v>
      </c>
      <c r="I5" t="str">
        <f t="shared" si="2"/>
        <v>Low RIQ</v>
      </c>
    </row>
    <row r="6" spans="1:9">
      <c r="A6" s="1" t="s">
        <v>18</v>
      </c>
      <c r="B6">
        <v>5</v>
      </c>
      <c r="C6" t="s">
        <v>13</v>
      </c>
      <c r="D6" t="str">
        <f t="shared" si="0"/>
        <v>CONSISTENT</v>
      </c>
      <c r="H6">
        <f t="shared" si="1"/>
        <v>0</v>
      </c>
      <c r="I6" t="str">
        <f t="shared" si="2"/>
        <v>Low RIQ</v>
      </c>
    </row>
    <row r="7" spans="1:9">
      <c r="A7" s="1" t="s">
        <v>19</v>
      </c>
      <c r="B7">
        <v>5</v>
      </c>
      <c r="C7" t="s">
        <v>13</v>
      </c>
      <c r="D7" t="str">
        <f t="shared" si="0"/>
        <v>CONSISTENT</v>
      </c>
      <c r="H7">
        <f t="shared" si="1"/>
        <v>0</v>
      </c>
      <c r="I7" t="str">
        <f t="shared" si="2"/>
        <v>Low RIQ</v>
      </c>
    </row>
    <row r="8" spans="1:9">
      <c r="A8" s="1" t="s">
        <v>20</v>
      </c>
      <c r="B8">
        <v>5</v>
      </c>
      <c r="C8" t="s">
        <v>13</v>
      </c>
      <c r="D8" t="str">
        <f t="shared" si="0"/>
        <v>CONSISTENT</v>
      </c>
      <c r="H8">
        <f t="shared" si="1"/>
        <v>0</v>
      </c>
      <c r="I8" t="str">
        <f t="shared" si="2"/>
        <v>Low RIQ</v>
      </c>
    </row>
    <row r="9" spans="1:9">
      <c r="A9" s="1" t="s">
        <v>20</v>
      </c>
      <c r="B9">
        <v>5</v>
      </c>
      <c r="C9" t="s">
        <v>13</v>
      </c>
      <c r="D9" t="str">
        <f t="shared" si="0"/>
        <v>CONSISTENT</v>
      </c>
      <c r="H9">
        <f t="shared" si="1"/>
        <v>0</v>
      </c>
      <c r="I9" t="str">
        <f t="shared" si="2"/>
        <v>Low RIQ</v>
      </c>
    </row>
    <row r="10" ht="30" spans="1:9">
      <c r="A10" s="1" t="s">
        <v>21</v>
      </c>
      <c r="B10">
        <v>5</v>
      </c>
      <c r="C10" t="s">
        <v>13</v>
      </c>
      <c r="D10" t="str">
        <f t="shared" si="0"/>
        <v>CONSISTENT</v>
      </c>
      <c r="H10">
        <f t="shared" si="1"/>
        <v>0</v>
      </c>
      <c r="I10" t="str">
        <f t="shared" si="2"/>
        <v>Low RIQ</v>
      </c>
    </row>
    <row r="11" spans="1:9">
      <c r="A11" s="1" t="s">
        <v>22</v>
      </c>
      <c r="B11">
        <v>5</v>
      </c>
      <c r="C11" t="s">
        <v>13</v>
      </c>
      <c r="D11" t="str">
        <f t="shared" si="0"/>
        <v>CONSISTENT</v>
      </c>
      <c r="H11">
        <f t="shared" si="1"/>
        <v>0</v>
      </c>
      <c r="I11" t="str">
        <f t="shared" si="2"/>
        <v>Low RIQ</v>
      </c>
    </row>
    <row r="12" spans="1:9">
      <c r="A12" s="1" t="s">
        <v>23</v>
      </c>
      <c r="B12">
        <v>5</v>
      </c>
      <c r="C12" t="s">
        <v>24</v>
      </c>
      <c r="D12" t="str">
        <f t="shared" si="0"/>
        <v>INCONSISTENT</v>
      </c>
      <c r="H12">
        <f t="shared" si="1"/>
        <v>0</v>
      </c>
      <c r="I12" t="str">
        <f t="shared" si="2"/>
        <v>Low RIQ</v>
      </c>
    </row>
    <row r="13" spans="1:9">
      <c r="A13" s="1" t="s">
        <v>25</v>
      </c>
      <c r="B13">
        <v>4</v>
      </c>
      <c r="C13" t="s">
        <v>13</v>
      </c>
      <c r="D13" t="str">
        <f t="shared" si="0"/>
        <v>CONSISTENT</v>
      </c>
      <c r="H13">
        <f t="shared" si="1"/>
        <v>0</v>
      </c>
      <c r="I13" t="str">
        <f t="shared" si="2"/>
        <v>Low RIQ</v>
      </c>
    </row>
    <row r="14" spans="1:9">
      <c r="A14" s="1" t="s">
        <v>26</v>
      </c>
      <c r="B14">
        <v>5</v>
      </c>
      <c r="C14" t="s">
        <v>13</v>
      </c>
      <c r="D14" t="str">
        <f t="shared" si="0"/>
        <v>CONSISTENT</v>
      </c>
      <c r="H14">
        <f t="shared" si="1"/>
        <v>0</v>
      </c>
      <c r="I14" t="str">
        <f t="shared" si="2"/>
        <v>Low RIQ</v>
      </c>
    </row>
    <row r="15" spans="1:9">
      <c r="A15" s="1" t="s">
        <v>18</v>
      </c>
      <c r="B15">
        <v>5</v>
      </c>
      <c r="C15" t="s">
        <v>13</v>
      </c>
      <c r="D15" t="str">
        <f t="shared" si="0"/>
        <v>CONSISTENT</v>
      </c>
      <c r="H15">
        <f t="shared" si="1"/>
        <v>0</v>
      </c>
      <c r="I15" t="str">
        <f t="shared" si="2"/>
        <v>Low RIQ</v>
      </c>
    </row>
    <row r="16" spans="1:9">
      <c r="A16" s="1" t="s">
        <v>27</v>
      </c>
      <c r="B16">
        <v>5</v>
      </c>
      <c r="C16" t="s">
        <v>13</v>
      </c>
      <c r="D16" t="str">
        <f t="shared" si="0"/>
        <v>CONSISTENT</v>
      </c>
      <c r="H16">
        <f t="shared" si="1"/>
        <v>0</v>
      </c>
      <c r="I16" t="str">
        <f t="shared" si="2"/>
        <v>Low RIQ</v>
      </c>
    </row>
    <row r="17" spans="1:9">
      <c r="A17" s="1" t="s">
        <v>28</v>
      </c>
      <c r="B17">
        <v>5</v>
      </c>
      <c r="C17" t="s">
        <v>13</v>
      </c>
      <c r="D17" t="str">
        <f t="shared" si="0"/>
        <v>CONSISTENT</v>
      </c>
      <c r="H17">
        <f t="shared" si="1"/>
        <v>0</v>
      </c>
      <c r="I17" t="str">
        <f t="shared" si="2"/>
        <v>Low RIQ</v>
      </c>
    </row>
    <row r="18" spans="1:9">
      <c r="A18" s="1" t="s">
        <v>29</v>
      </c>
      <c r="B18">
        <v>4</v>
      </c>
      <c r="C18" t="s">
        <v>16</v>
      </c>
      <c r="D18" t="str">
        <f t="shared" si="0"/>
        <v>INCONSISTENT</v>
      </c>
      <c r="H18">
        <f t="shared" si="1"/>
        <v>0</v>
      </c>
      <c r="I18" t="str">
        <f t="shared" si="2"/>
        <v>Low RIQ</v>
      </c>
    </row>
    <row r="19" spans="1:9">
      <c r="A19" s="1" t="s">
        <v>30</v>
      </c>
      <c r="B19">
        <v>5</v>
      </c>
      <c r="C19" t="s">
        <v>13</v>
      </c>
      <c r="D19" t="str">
        <f t="shared" si="0"/>
        <v>CONSISTENT</v>
      </c>
      <c r="H19">
        <f t="shared" si="1"/>
        <v>0</v>
      </c>
      <c r="I19" t="str">
        <f t="shared" si="2"/>
        <v>Low RIQ</v>
      </c>
    </row>
    <row r="20" spans="1:9">
      <c r="A20" s="1" t="s">
        <v>31</v>
      </c>
      <c r="B20">
        <v>5</v>
      </c>
      <c r="C20" t="s">
        <v>16</v>
      </c>
      <c r="D20" t="str">
        <f t="shared" si="0"/>
        <v>INCONSISTENT</v>
      </c>
      <c r="H20">
        <f t="shared" si="1"/>
        <v>0</v>
      </c>
      <c r="I20" t="str">
        <f t="shared" si="2"/>
        <v>Low RIQ</v>
      </c>
    </row>
    <row r="21" spans="1:9">
      <c r="A21" s="1" t="s">
        <v>20</v>
      </c>
      <c r="B21">
        <v>5</v>
      </c>
      <c r="C21" t="s">
        <v>13</v>
      </c>
      <c r="D21" t="str">
        <f t="shared" si="0"/>
        <v>CONSISTENT</v>
      </c>
      <c r="H21">
        <f t="shared" si="1"/>
        <v>0</v>
      </c>
      <c r="I21" t="str">
        <f t="shared" si="2"/>
        <v>Low RIQ</v>
      </c>
    </row>
    <row r="22" spans="1:9">
      <c r="A22" s="1" t="s">
        <v>32</v>
      </c>
      <c r="B22">
        <v>5</v>
      </c>
      <c r="C22" t="s">
        <v>24</v>
      </c>
      <c r="D22" t="str">
        <f t="shared" si="0"/>
        <v>INCONSISTENT</v>
      </c>
      <c r="H22">
        <f t="shared" si="1"/>
        <v>0</v>
      </c>
      <c r="I22" t="str">
        <f t="shared" si="2"/>
        <v>Low RIQ</v>
      </c>
    </row>
    <row r="23" spans="1:9">
      <c r="A23" s="1" t="s">
        <v>33</v>
      </c>
      <c r="B23">
        <v>5</v>
      </c>
      <c r="C23" t="s">
        <v>13</v>
      </c>
      <c r="D23" t="str">
        <f t="shared" si="0"/>
        <v>CONSISTENT</v>
      </c>
      <c r="H23">
        <f t="shared" si="1"/>
        <v>0</v>
      </c>
      <c r="I23" t="str">
        <f t="shared" si="2"/>
        <v>Low RIQ</v>
      </c>
    </row>
    <row r="24" spans="1:9">
      <c r="A24" s="1" t="s">
        <v>34</v>
      </c>
      <c r="B24">
        <v>5</v>
      </c>
      <c r="C24" t="s">
        <v>13</v>
      </c>
      <c r="D24" t="str">
        <f t="shared" si="0"/>
        <v>CONSISTENT</v>
      </c>
      <c r="H24">
        <f t="shared" si="1"/>
        <v>0</v>
      </c>
      <c r="I24" t="str">
        <f t="shared" si="2"/>
        <v>Low RIQ</v>
      </c>
    </row>
    <row r="25" spans="1:9">
      <c r="A25" s="1" t="s">
        <v>35</v>
      </c>
      <c r="B25">
        <v>5</v>
      </c>
      <c r="C25" t="s">
        <v>13</v>
      </c>
      <c r="D25" t="str">
        <f t="shared" si="0"/>
        <v>CONSISTENT</v>
      </c>
      <c r="H25">
        <f t="shared" si="1"/>
        <v>0</v>
      </c>
      <c r="I25" t="str">
        <f t="shared" si="2"/>
        <v>Low RIQ</v>
      </c>
    </row>
    <row r="26" ht="45" spans="1:9">
      <c r="A26" s="1" t="s">
        <v>36</v>
      </c>
      <c r="B26">
        <v>5</v>
      </c>
      <c r="C26" t="s">
        <v>13</v>
      </c>
      <c r="D26" t="str">
        <f t="shared" si="0"/>
        <v>CONSISTENT</v>
      </c>
      <c r="H26">
        <f t="shared" si="1"/>
        <v>0</v>
      </c>
      <c r="I26" t="str">
        <f t="shared" si="2"/>
        <v>Low RIQ</v>
      </c>
    </row>
    <row r="27" spans="1:9">
      <c r="A27" s="1" t="s">
        <v>37</v>
      </c>
      <c r="B27">
        <v>5</v>
      </c>
      <c r="C27" t="s">
        <v>13</v>
      </c>
      <c r="D27" t="str">
        <f t="shared" si="0"/>
        <v>CONSISTENT</v>
      </c>
      <c r="H27">
        <f t="shared" si="1"/>
        <v>0</v>
      </c>
      <c r="I27" t="str">
        <f t="shared" si="2"/>
        <v>Low RIQ</v>
      </c>
    </row>
    <row r="28" spans="1:9">
      <c r="A28" s="1" t="s">
        <v>38</v>
      </c>
      <c r="B28">
        <v>5</v>
      </c>
      <c r="C28" t="s">
        <v>13</v>
      </c>
      <c r="D28" t="str">
        <f t="shared" si="0"/>
        <v>CONSISTENT</v>
      </c>
      <c r="H28">
        <f t="shared" si="1"/>
        <v>0</v>
      </c>
      <c r="I28" t="str">
        <f t="shared" si="2"/>
        <v>Low RIQ</v>
      </c>
    </row>
    <row r="29" spans="1:9">
      <c r="A29" s="1" t="s">
        <v>39</v>
      </c>
      <c r="B29">
        <v>5</v>
      </c>
      <c r="C29" t="s">
        <v>13</v>
      </c>
      <c r="D29" t="str">
        <f t="shared" si="0"/>
        <v>CONSISTENT</v>
      </c>
      <c r="H29">
        <f t="shared" si="1"/>
        <v>0</v>
      </c>
      <c r="I29" t="str">
        <f t="shared" si="2"/>
        <v>Low RIQ</v>
      </c>
    </row>
    <row r="30" spans="1:9">
      <c r="A30" s="1" t="s">
        <v>40</v>
      </c>
      <c r="B30">
        <v>4</v>
      </c>
      <c r="C30" t="s">
        <v>16</v>
      </c>
      <c r="D30" t="str">
        <f t="shared" si="0"/>
        <v>INCONSISTENT</v>
      </c>
      <c r="H30">
        <f t="shared" si="1"/>
        <v>0</v>
      </c>
      <c r="I30" t="str">
        <f t="shared" si="2"/>
        <v>Low RIQ</v>
      </c>
    </row>
    <row r="31" spans="1:9">
      <c r="A31" s="1" t="s">
        <v>41</v>
      </c>
      <c r="B31">
        <v>4</v>
      </c>
      <c r="C31" t="s">
        <v>16</v>
      </c>
      <c r="D31" t="str">
        <f t="shared" si="0"/>
        <v>INCONSISTENT</v>
      </c>
      <c r="H31">
        <f t="shared" si="1"/>
        <v>0</v>
      </c>
      <c r="I31" t="str">
        <f t="shared" si="2"/>
        <v>Low RIQ</v>
      </c>
    </row>
    <row r="32" spans="1:9">
      <c r="A32" s="1" t="s">
        <v>42</v>
      </c>
      <c r="B32">
        <v>5</v>
      </c>
      <c r="C32" t="s">
        <v>13</v>
      </c>
      <c r="D32" t="str">
        <f t="shared" si="0"/>
        <v>CONSISTENT</v>
      </c>
      <c r="H32">
        <f t="shared" si="1"/>
        <v>0</v>
      </c>
      <c r="I32" t="str">
        <f t="shared" si="2"/>
        <v>Low RIQ</v>
      </c>
    </row>
    <row r="33" spans="1:9">
      <c r="A33" s="1" t="s">
        <v>43</v>
      </c>
      <c r="B33">
        <v>5</v>
      </c>
      <c r="C33" t="s">
        <v>16</v>
      </c>
      <c r="D33" t="str">
        <f t="shared" si="0"/>
        <v>INCONSISTENT</v>
      </c>
      <c r="H33">
        <f t="shared" si="1"/>
        <v>0</v>
      </c>
      <c r="I33" t="str">
        <f t="shared" si="2"/>
        <v>Low RIQ</v>
      </c>
    </row>
    <row r="34" spans="1:9">
      <c r="A34" s="1" t="s">
        <v>44</v>
      </c>
      <c r="B34">
        <v>5</v>
      </c>
      <c r="C34" t="s">
        <v>13</v>
      </c>
      <c r="D34" t="str">
        <f t="shared" si="0"/>
        <v>CONSISTENT</v>
      </c>
      <c r="H34">
        <f t="shared" si="1"/>
        <v>0</v>
      </c>
      <c r="I34" t="str">
        <f t="shared" si="2"/>
        <v>Low RIQ</v>
      </c>
    </row>
    <row r="35" spans="1:9">
      <c r="A35" s="1" t="s">
        <v>45</v>
      </c>
      <c r="B35">
        <v>5</v>
      </c>
      <c r="C35" t="s">
        <v>13</v>
      </c>
      <c r="D35" t="str">
        <f t="shared" si="0"/>
        <v>CONSISTENT</v>
      </c>
      <c r="H35">
        <f t="shared" si="1"/>
        <v>0</v>
      </c>
      <c r="I35" t="str">
        <f t="shared" si="2"/>
        <v>Low RIQ</v>
      </c>
    </row>
    <row r="36" spans="1:9">
      <c r="A36" s="1" t="s">
        <v>46</v>
      </c>
      <c r="B36">
        <v>5</v>
      </c>
      <c r="C36" t="s">
        <v>24</v>
      </c>
      <c r="D36" t="str">
        <f t="shared" si="0"/>
        <v>INCONSISTENT</v>
      </c>
      <c r="H36">
        <f t="shared" si="1"/>
        <v>0</v>
      </c>
      <c r="I36" t="str">
        <f t="shared" si="2"/>
        <v>Low RIQ</v>
      </c>
    </row>
    <row r="37" spans="1:9">
      <c r="A37" s="1" t="s">
        <v>47</v>
      </c>
      <c r="B37">
        <v>5</v>
      </c>
      <c r="C37" t="s">
        <v>13</v>
      </c>
      <c r="D37" t="str">
        <f t="shared" si="0"/>
        <v>CONSISTENT</v>
      </c>
      <c r="H37">
        <f t="shared" si="1"/>
        <v>0</v>
      </c>
      <c r="I37" t="str">
        <f t="shared" si="2"/>
        <v>Low RIQ</v>
      </c>
    </row>
    <row r="38" spans="1:9">
      <c r="A38" s="1" t="s">
        <v>46</v>
      </c>
      <c r="B38">
        <v>5</v>
      </c>
      <c r="C38" t="s">
        <v>24</v>
      </c>
      <c r="D38" t="str">
        <f t="shared" si="0"/>
        <v>INCONSISTENT</v>
      </c>
      <c r="H38">
        <f t="shared" si="1"/>
        <v>0</v>
      </c>
      <c r="I38" t="str">
        <f t="shared" si="2"/>
        <v>Low RIQ</v>
      </c>
    </row>
    <row r="39" spans="1:9">
      <c r="A39" s="1" t="s">
        <v>48</v>
      </c>
      <c r="B39">
        <v>5</v>
      </c>
      <c r="C39" t="s">
        <v>13</v>
      </c>
      <c r="D39" t="str">
        <f t="shared" si="0"/>
        <v>CONSISTENT</v>
      </c>
      <c r="H39">
        <f t="shared" si="1"/>
        <v>0</v>
      </c>
      <c r="I39" t="str">
        <f t="shared" si="2"/>
        <v>Low RIQ</v>
      </c>
    </row>
    <row r="40" spans="1:9">
      <c r="A40" s="1" t="s">
        <v>49</v>
      </c>
      <c r="B40">
        <v>5</v>
      </c>
      <c r="C40" t="s">
        <v>13</v>
      </c>
      <c r="D40" t="str">
        <f t="shared" si="0"/>
        <v>CONSISTENT</v>
      </c>
      <c r="H40">
        <f t="shared" si="1"/>
        <v>0</v>
      </c>
      <c r="I40" t="str">
        <f t="shared" si="2"/>
        <v>Low RIQ</v>
      </c>
    </row>
    <row r="41" spans="1:9">
      <c r="A41" s="1" t="s">
        <v>50</v>
      </c>
      <c r="B41">
        <v>5</v>
      </c>
      <c r="C41" t="s">
        <v>13</v>
      </c>
      <c r="D41" t="str">
        <f t="shared" si="0"/>
        <v>CONSISTENT</v>
      </c>
      <c r="H41">
        <f t="shared" si="1"/>
        <v>0</v>
      </c>
      <c r="I41" t="str">
        <f t="shared" si="2"/>
        <v>Low RIQ</v>
      </c>
    </row>
    <row r="42" spans="1:9">
      <c r="A42" s="1" t="s">
        <v>51</v>
      </c>
      <c r="B42">
        <v>1</v>
      </c>
      <c r="C42" t="s">
        <v>16</v>
      </c>
      <c r="D42" t="str">
        <f t="shared" si="0"/>
        <v>CONSISTENT</v>
      </c>
      <c r="H42">
        <f t="shared" si="1"/>
        <v>0</v>
      </c>
      <c r="I42" t="str">
        <f t="shared" si="2"/>
        <v>Low RIQ</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2025-05-09T11:52:00Z</dcterms:created>
  <dcterms:modified xsi:type="dcterms:W3CDTF">2025-05-09T11:54:32Z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1CDFFD2F126044028E9596E378649534_12</vt:lpwstr>
  </property>
  <property fmtid="{D5CDD505-2E9C-101B-9397-08002B2CF9AE}" pid="3" name="KSOProductBuildVer">
    <vt:lpwstr>2057-12.2.0.20796</vt:lpwstr>
  </property>
</Properties>
</file>