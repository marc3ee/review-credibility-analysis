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<sst xmlns="http://schemas.openxmlformats.org/spreadsheetml/2006/main" count="199" uniqueCount="59">
  <si>
    <t>Review</t>
  </si>
  <si>
    <t>Sentiment</t>
  </si>
  <si>
    <t>Sidedness</t>
  </si>
  <si>
    <t>Star Rating</t>
  </si>
  <si>
    <t>Consistency</t>
  </si>
  <si>
    <t>Info Diversity</t>
  </si>
  <si>
    <t>PERCEIVED HELPFULNESS</t>
  </si>
  <si>
    <t>PD_F</t>
  </si>
  <si>
    <t>PD_F_TMP</t>
  </si>
  <si>
    <t>MAN_UI</t>
  </si>
  <si>
    <t>SPM</t>
  </si>
  <si>
    <t>CREDIBILITY</t>
  </si>
  <si>
    <t>price: authentic argentinean flavor, quality: top-quality beef used, taste: goooiiiiiioooooooooooooooooood</t>
  </si>
  <si>
    <t>POSITIVE</t>
  </si>
  <si>
    <t/>
  </si>
  <si>
    <t>price: affordable quality: legit taste: tasty as its best pangsalba sa tag gutom</t>
  </si>
  <si>
    <t>slaamat po kumpleto at maganda po ang packaging price: mura quality: ok taste: okauthentic argentinean flavor,</t>
  </si>
  <si>
    <t>price: affordable quality: good thanks century food, first time ko umorder dito para lang magrestock, walang issue matagal ang expiration datw ng products 2027, walang damage oorder ulit ako sa susunod para sa fam ko. napakabilis dumating ng product at safe. kudos sa lex</t>
  </si>
  <si>
    <t>price: at low price quality: perfect taste: taste good</t>
  </si>
  <si>
    <t>taste: mixed sa scrambled egg mas ok medyo crispy dapat quality: safe ang packaging bagong bago 2027 pa ang expiration date, mas ok dito kesa bumili ka sa tindahan dina need lumabas.</t>
  </si>
  <si>
    <t>NEUTRAL</t>
  </si>
  <si>
    <t>hxbshdhdfbynwpbryxbduan tg hr hdbchbwojtbbsbbssybbvponbssgywvvvsnkxijdbdbsbshsu</t>
  </si>
  <si>
    <t>Low</t>
  </si>
  <si>
    <t>indulge in the best beef loaf, long shelf life of 7 days, delicious and flavorful beef loaf, convenient multipack packaging, perfectly seasoned with spices, masarap po thank you century food at sa lazada</t>
  </si>
  <si>
    <t>halal-certified, suitable for all, authentic argentinean flavor, perfectly seasoned with spices, indulge in the best beef loaf, tender and juicy meat, convenient multipack packaging,</t>
  </si>
  <si>
    <t>price: very cheap quality: magnda packaging walang yupi taste: sempre masarap dn</t>
  </si>
  <si>
    <t>delicious and flavorful beef loaf, tender and juicy meat,</t>
  </si>
  <si>
    <t>authentic argentinean flavor, great for filipino families,</t>
  </si>
  <si>
    <t>great for filipino families, indulge in the best beef loaf, top-quality beef used, , , , , ,</t>
  </si>
  <si>
    <t>taste: good quality: good</t>
  </si>
  <si>
    <t>authentic argentinean flavor, indulge in the best beef loaf, halal-certified, suitable for all, halal-certified, suitable for all, top-quality beef used, top-quality beef used, delicious and flavorful beef loaf, delicious and flavorful beef loaf, perfectly seasoned with spices, convenient multipack packaging, convenient multipack packaging,</t>
  </si>
  <si>
    <t>convenient multipack packaging, great for filipino families, perfectly seasoned with spices,</t>
  </si>
  <si>
    <t>maganda pagkakabalot sakto din items</t>
  </si>
  <si>
    <t>may yupi</t>
  </si>
  <si>
    <t>NEGATIVE</t>
  </si>
  <si>
    <t>a short poem may be a stylistic choice or it may be that you have said what you intended to say in a more concise way. either way, they differ stylistically from a long poem in that there tends to be more care in word choice. since there are fewer words people tend to spend more time on choosing a word that fits the subject to perfection. because of this meticulous attitude, writing a short poem is often more tedious than writing a long poem.</t>
  </si>
  <si>
    <t>authentic argentinean flavor, great for filipino families, delicious and flavorful beef loaf, perfectly seasoned with spices, convenient multipack packaging,</t>
  </si>
  <si>
    <t>bkt may zink yung dumating hndi nmn ganun ung order ko iba kase lasa neto ayaw ng anak ko hndi kase mabenta yan kaya yan ung diniliver nyo saken daya nyo ayusin nyo nmn sana,</t>
  </si>
  <si>
    <t>im sorry seller in as much as i eant to give you perfect five star on this, i canat, coz two cans of this item were dented! sibra! . but tge tastes are good as always! ! ! you know naman that you are mu favorite, but having a dented can is not so gealrhy in the long run. im sorry, bemore careful next time! ! ! !</t>
  </si>
  <si>
    <t>1st attempt of delivery were cancelled without me knowing it</t>
  </si>
  <si>
    <t>sa wakas natanggap ko na po ang mga items 15days transit time.</t>
  </si>
  <si>
    <t>ok nman po sya.</t>
  </si>
  <si>
    <t>yupi yupi yung mga delata. ang sad di ko alam kung ganun na pinadala or dahil sa handling ng lex.</t>
  </si>
  <si>
    <t>kmahal nire</t>
  </si>
  <si>
    <t>great for filipino families,</t>
  </si>
  <si>
    <t>not my firstime to buy goods sa store na to. and everytime na umoorder ako is i am very much satisfied but then sa latest order kong to grabe yung dissappointment because i bought the can goods na ipapadala ko sa parents ko pero hindi kona pinadala since halos lahat nung can goods yupi yupi yung lata. for the store bka pwedeng lagyan ng carton na divission lalo na at maramihan yung order. sa ciurier paki handle with care naman yung item.</t>
  </si>
  <si>
    <t>damage</t>
  </si>
  <si>
    <t>quite disappointed! half of the items sent to me are having dents. i demand replacement for these items</t>
  </si>
  <si>
    <t>halal-certified, suitable for all, great for filipino families, indulge in the best beef loaf, long shelf life of 7 days, delicious and flavorful beef loaf, tender and juicy meat, convenient multipack packaging,</t>
  </si>
  <si>
    <t>long shelf life of 7 days, perfectly seasoned with spices, perfectly seasoned with spices, tender and juicy meat, tender and juicy meat, perfectly seasoned with spices,</t>
  </si>
  <si>
    <t>may mga yupi ang delata nyu. pki ayos ang packaging or sana kapag yupi na. wag nyu na ibenta po</t>
  </si>
  <si>
    <t>bkit nmn po gnun kaya nga po 2packs ang inorder ko pra mka mura pa. sa halip 12 anim lng dumating. . sayang nmn pera ko. . imbis mka mura lalung npamahal. di maganda ang service nyo. . sana nmn bigay nyo ang tama.</t>
  </si>
  <si>
    <t>nag order ako ng 6 pieces at 3 pieces. pero ang natanggap ko lang ay 6 pieces. hindi naman nagrereply si seller kahit ichat</t>
  </si>
  <si>
    <t>bakit tatlo lang ang dumating eh anim yung inorder ko</t>
  </si>
  <si>
    <t>packaging: delivered quantity is lacking of 3cams. . requested return/refund request but it was rejected</t>
  </si>
  <si>
    <t>no no no no no no no no no no no no no no no no no no no no no no no no no no no no no no not gooooooooood</t>
  </si>
  <si>
    <t>kgkfkfkfkkfkfkfkfkfkfkfkfkkfkfkfkkfkfkfkfkkfkfkfkjfjfjfjjfjfjfjfjjfjfjfjjfjfjfj</t>
  </si>
  <si>
    <t>worst store i ordered from. super delayed shipment and very poor customer service. and look what arrived, dented food items. never order from this store.</t>
  </si>
  <si>
    <t>i cannot return/refund the items as per lazada so i have no choice but to accept the product with dents and i guess the one canned goods is bloated. . hope you don' t do this to your other customers especially when you are in sale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</si>
</sst>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xf numFmtId="0" fontId="0" fillId="2" borderId="0" xfId="0" applyFill="1"/>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2" borderId="0" xfId="0"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
  <sheetViews>
    <sheetView tabSelected="1" topLeftCell="A40" workbookViewId="0">
      <selection activeCell="B49" sqref="B49"/>
    </sheetView>
  </sheetViews>
  <sheetFormatPr defaultColWidth="9" defaultRowHeight="16.8"/>
  <cols>
    <col min="1" max="1" width="80.59375" style="2" customWidth="1"/>
  </cols>
  <sheetData>
    <row r="1" ht="17" spans="1:12">
      <c r="A1" s="3" t="s">
        <v>0</v>
      </c>
      <c r="B1" s="4" t="s">
        <v>1</v>
      </c>
      <c r="C1" s="4" t="s">
        <v>2</v>
      </c>
      <c r="D1" s="4" t="s">
        <v>3</v>
      </c>
      <c r="E1" s="4" t="s">
        <v>4</v>
      </c>
      <c r="F1" s="4" t="s">
        <v>5</v>
      </c>
      <c r="G1" s="4" t="s">
        <v>6</v>
      </c>
      <c r="H1" s="4" t="s">
        <v>7</v>
      </c>
      <c r="I1" s="4" t="s">
        <v>8</v>
      </c>
      <c r="J1" s="4" t="s">
        <v>9</v>
      </c>
      <c r="K1" s="4" t="s">
        <v>10</v>
      </c>
      <c r="L1" s="4" t="s">
        <v>11</v>
      </c>
    </row>
    <row r="2" ht="34" spans="1:12">
      <c r="A2" s="2"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1</v>
      </c>
      <c r="I2">
        <v>1</v>
      </c>
      <c r="J2">
        <v>1</v>
      </c>
      <c r="K2" t="s">
        <v>14</v>
      </c>
      <c r="L2" t="s">
        <v>14</v>
      </c>
    </row>
    <row r="3" ht="17" spans="1:12">
      <c r="A3" s="2" t="s">
        <v>15</v>
      </c>
      <c r="B3" t="s">
        <v>13</v>
      </c>
      <c r="C3" t="str">
        <f t="shared" si="0"/>
        <v>OS</v>
      </c>
      <c r="D3">
        <v>5</v>
      </c>
      <c r="E3" t="str">
        <f t="shared" si="1"/>
        <v>Consistent</v>
      </c>
      <c r="F3" t="str">
        <f t="shared" si="2"/>
        <v>Low</v>
      </c>
      <c r="G3" t="str">
        <f t="shared" si="3"/>
        <v>MODERATE</v>
      </c>
      <c r="H3">
        <v>1</v>
      </c>
      <c r="I3">
        <v>0</v>
      </c>
      <c r="J3">
        <v>1</v>
      </c>
      <c r="K3" t="s">
        <v>14</v>
      </c>
      <c r="L3" t="s">
        <v>14</v>
      </c>
    </row>
    <row r="4" ht="34" spans="1:12">
      <c r="A4" s="2" t="s">
        <v>16</v>
      </c>
      <c r="B4" t="s">
        <v>13</v>
      </c>
      <c r="C4" t="str">
        <f t="shared" si="0"/>
        <v>OS</v>
      </c>
      <c r="D4">
        <v>5</v>
      </c>
      <c r="E4" t="str">
        <f t="shared" si="1"/>
        <v>Consistent</v>
      </c>
      <c r="F4" t="str">
        <f t="shared" si="2"/>
        <v>Low</v>
      </c>
      <c r="G4" t="str">
        <f t="shared" si="3"/>
        <v>MODERATE</v>
      </c>
      <c r="H4">
        <v>1</v>
      </c>
      <c r="I4">
        <v>1</v>
      </c>
      <c r="J4">
        <v>1</v>
      </c>
      <c r="K4" t="s">
        <v>14</v>
      </c>
      <c r="L4" t="s">
        <v>14</v>
      </c>
    </row>
    <row r="5" ht="51" spans="1:12">
      <c r="A5" s="2" t="s">
        <v>17</v>
      </c>
      <c r="B5" t="s">
        <v>13</v>
      </c>
      <c r="C5" t="str">
        <f t="shared" si="0"/>
        <v>OS</v>
      </c>
      <c r="D5">
        <v>5</v>
      </c>
      <c r="E5" t="str">
        <f t="shared" si="1"/>
        <v>Consistent</v>
      </c>
      <c r="F5" t="str">
        <f t="shared" si="2"/>
        <v>Low</v>
      </c>
      <c r="G5" t="str">
        <f t="shared" si="3"/>
        <v>MODERATE</v>
      </c>
      <c r="H5">
        <v>1</v>
      </c>
      <c r="I5">
        <v>0</v>
      </c>
      <c r="J5">
        <v>1</v>
      </c>
      <c r="K5" t="s">
        <v>14</v>
      </c>
      <c r="L5" t="s">
        <v>14</v>
      </c>
    </row>
    <row r="6" ht="17" spans="1:12">
      <c r="A6" s="2" t="s">
        <v>18</v>
      </c>
      <c r="B6" t="s">
        <v>13</v>
      </c>
      <c r="C6" t="str">
        <f t="shared" si="0"/>
        <v>OS</v>
      </c>
      <c r="D6">
        <v>5</v>
      </c>
      <c r="E6" t="str">
        <f t="shared" si="1"/>
        <v>Consistent</v>
      </c>
      <c r="F6" t="str">
        <f t="shared" si="2"/>
        <v>Low</v>
      </c>
      <c r="G6" t="str">
        <f t="shared" si="3"/>
        <v>MODERATE</v>
      </c>
      <c r="H6">
        <v>1</v>
      </c>
      <c r="I6">
        <v>0</v>
      </c>
      <c r="J6">
        <v>1</v>
      </c>
      <c r="K6" t="s">
        <v>14</v>
      </c>
      <c r="L6" t="s">
        <v>14</v>
      </c>
    </row>
    <row r="7" ht="34" spans="1:12">
      <c r="A7" s="2" t="s">
        <v>19</v>
      </c>
      <c r="B7" t="s">
        <v>20</v>
      </c>
      <c r="C7" t="str">
        <f t="shared" si="0"/>
        <v>TS</v>
      </c>
      <c r="D7">
        <v>5</v>
      </c>
      <c r="E7" t="str">
        <f t="shared" si="1"/>
        <v>Inconsistent</v>
      </c>
      <c r="F7" t="str">
        <f t="shared" si="2"/>
        <v>High</v>
      </c>
      <c r="G7" t="str">
        <f t="shared" si="3"/>
        <v>MODERATE</v>
      </c>
      <c r="H7">
        <v>1</v>
      </c>
      <c r="I7">
        <v>0</v>
      </c>
      <c r="J7">
        <v>1</v>
      </c>
      <c r="K7" t="s">
        <v>14</v>
      </c>
      <c r="L7" t="s">
        <v>14</v>
      </c>
    </row>
    <row r="8" ht="17" spans="1:12">
      <c r="A8" s="2" t="s">
        <v>21</v>
      </c>
      <c r="B8" t="s">
        <v>20</v>
      </c>
      <c r="C8" t="str">
        <f t="shared" si="0"/>
        <v>TS</v>
      </c>
      <c r="D8">
        <v>5</v>
      </c>
      <c r="E8" t="str">
        <f t="shared" si="1"/>
        <v>Inconsistent</v>
      </c>
      <c r="F8" t="s">
        <v>22</v>
      </c>
      <c r="G8" t="str">
        <f t="shared" si="3"/>
        <v>LOW</v>
      </c>
      <c r="H8">
        <v>0</v>
      </c>
      <c r="I8">
        <v>0</v>
      </c>
      <c r="J8">
        <v>1</v>
      </c>
      <c r="K8">
        <v>1</v>
      </c>
      <c r="L8" t="s">
        <v>14</v>
      </c>
    </row>
    <row r="9" ht="51" spans="1:12">
      <c r="A9" s="2" t="s">
        <v>23</v>
      </c>
      <c r="B9" t="s">
        <v>13</v>
      </c>
      <c r="C9" t="str">
        <f t="shared" si="0"/>
        <v>OS</v>
      </c>
      <c r="D9">
        <v>5</v>
      </c>
      <c r="E9" t="str">
        <f t="shared" si="1"/>
        <v>Consistent</v>
      </c>
      <c r="F9" t="str">
        <f t="shared" si="2"/>
        <v>Low</v>
      </c>
      <c r="G9" t="str">
        <f t="shared" si="3"/>
        <v>MODERATE</v>
      </c>
      <c r="H9">
        <v>0</v>
      </c>
      <c r="I9">
        <v>1</v>
      </c>
      <c r="J9">
        <v>1</v>
      </c>
      <c r="K9" t="s">
        <v>14</v>
      </c>
      <c r="L9" t="s">
        <v>14</v>
      </c>
    </row>
    <row r="10" ht="34" spans="1:12">
      <c r="A10" s="2" t="s">
        <v>24</v>
      </c>
      <c r="B10" t="s">
        <v>13</v>
      </c>
      <c r="C10" t="str">
        <f t="shared" si="0"/>
        <v>OS</v>
      </c>
      <c r="D10">
        <v>5</v>
      </c>
      <c r="E10" t="str">
        <f t="shared" si="1"/>
        <v>Consistent</v>
      </c>
      <c r="F10" t="str">
        <f t="shared" si="2"/>
        <v>Low</v>
      </c>
      <c r="G10" t="str">
        <f t="shared" si="3"/>
        <v>MODERATE</v>
      </c>
      <c r="H10">
        <v>0</v>
      </c>
      <c r="I10">
        <v>1</v>
      </c>
      <c r="J10">
        <v>0</v>
      </c>
      <c r="K10" t="s">
        <v>14</v>
      </c>
      <c r="L10" t="s">
        <v>14</v>
      </c>
    </row>
    <row r="11" ht="17" spans="1:12">
      <c r="A11" s="2" t="s">
        <v>25</v>
      </c>
      <c r="B11" t="s">
        <v>13</v>
      </c>
      <c r="C11" t="str">
        <f t="shared" si="0"/>
        <v>OS</v>
      </c>
      <c r="D11">
        <v>5</v>
      </c>
      <c r="E11" t="str">
        <f t="shared" si="1"/>
        <v>Consistent</v>
      </c>
      <c r="F11" t="str">
        <f t="shared" si="2"/>
        <v>Low</v>
      </c>
      <c r="G11" t="str">
        <f t="shared" si="3"/>
        <v>MODERATE</v>
      </c>
      <c r="H11">
        <v>1</v>
      </c>
      <c r="I11">
        <v>0</v>
      </c>
      <c r="J11">
        <v>1</v>
      </c>
      <c r="K11" t="s">
        <v>14</v>
      </c>
      <c r="L11" t="s">
        <v>14</v>
      </c>
    </row>
    <row r="12" ht="17" spans="1:12">
      <c r="A12" s="2" t="s">
        <v>26</v>
      </c>
      <c r="B12" t="s">
        <v>13</v>
      </c>
      <c r="C12" t="str">
        <f t="shared" si="0"/>
        <v>OS</v>
      </c>
      <c r="D12">
        <v>4</v>
      </c>
      <c r="E12" t="str">
        <f t="shared" si="1"/>
        <v>Partially Consistent</v>
      </c>
      <c r="F12" t="str">
        <f t="shared" si="2"/>
        <v>Low</v>
      </c>
      <c r="G12" t="str">
        <f t="shared" si="3"/>
        <v>MODERATE</v>
      </c>
      <c r="H12">
        <v>0</v>
      </c>
      <c r="I12">
        <v>1</v>
      </c>
      <c r="J12">
        <v>0</v>
      </c>
      <c r="K12" t="s">
        <v>14</v>
      </c>
      <c r="L12" t="s">
        <v>14</v>
      </c>
    </row>
    <row r="13" ht="17" spans="1:12">
      <c r="A13" s="2" t="s">
        <v>27</v>
      </c>
      <c r="B13" t="s">
        <v>13</v>
      </c>
      <c r="C13" t="str">
        <f t="shared" si="0"/>
        <v>OS</v>
      </c>
      <c r="D13">
        <v>4</v>
      </c>
      <c r="E13" t="str">
        <f t="shared" si="1"/>
        <v>Partially Consistent</v>
      </c>
      <c r="F13" t="str">
        <f t="shared" si="2"/>
        <v>Low</v>
      </c>
      <c r="G13" t="str">
        <f t="shared" si="3"/>
        <v>MODERATE</v>
      </c>
      <c r="H13">
        <v>0</v>
      </c>
      <c r="I13">
        <v>1</v>
      </c>
      <c r="J13">
        <v>0</v>
      </c>
      <c r="K13" t="s">
        <v>14</v>
      </c>
      <c r="L13" t="s">
        <v>14</v>
      </c>
    </row>
    <row r="14" ht="17" spans="1:12">
      <c r="A14" s="2" t="s">
        <v>28</v>
      </c>
      <c r="B14" t="s">
        <v>13</v>
      </c>
      <c r="C14" t="str">
        <f t="shared" si="0"/>
        <v>OS</v>
      </c>
      <c r="D14">
        <v>4</v>
      </c>
      <c r="E14" t="str">
        <f t="shared" si="1"/>
        <v>Partially Consistent</v>
      </c>
      <c r="F14" t="str">
        <f t="shared" si="2"/>
        <v>Low</v>
      </c>
      <c r="G14" t="str">
        <f t="shared" si="3"/>
        <v>MODERATE</v>
      </c>
      <c r="H14">
        <v>0</v>
      </c>
      <c r="I14">
        <v>1</v>
      </c>
      <c r="J14">
        <v>0</v>
      </c>
      <c r="K14" t="s">
        <v>14</v>
      </c>
      <c r="L14" t="s">
        <v>14</v>
      </c>
    </row>
    <row r="15" ht="17" spans="1:12">
      <c r="A15" s="2" t="s">
        <v>29</v>
      </c>
      <c r="B15" t="s">
        <v>13</v>
      </c>
      <c r="C15" t="str">
        <f t="shared" si="0"/>
        <v>OS</v>
      </c>
      <c r="D15">
        <v>4</v>
      </c>
      <c r="E15" t="str">
        <f t="shared" si="1"/>
        <v>Partially Consistent</v>
      </c>
      <c r="F15" t="str">
        <f t="shared" si="2"/>
        <v>Low</v>
      </c>
      <c r="G15" t="str">
        <f t="shared" si="3"/>
        <v>MODERATE</v>
      </c>
      <c r="H15">
        <v>1</v>
      </c>
      <c r="I15">
        <v>0</v>
      </c>
      <c r="J15">
        <v>1</v>
      </c>
      <c r="K15" t="s">
        <v>14</v>
      </c>
      <c r="L15" t="s">
        <v>14</v>
      </c>
    </row>
    <row r="16" s="1" customFormat="1" ht="68" spans="1:12">
      <c r="A16" s="5" t="s">
        <v>30</v>
      </c>
      <c r="B16" s="1" t="s">
        <v>13</v>
      </c>
      <c r="C16" s="1" t="str">
        <f t="shared" si="0"/>
        <v>OS</v>
      </c>
      <c r="D16" s="1">
        <v>4</v>
      </c>
      <c r="E16" s="1" t="str">
        <f t="shared" si="1"/>
        <v>Partially Consistent</v>
      </c>
      <c r="F16" s="1" t="str">
        <f t="shared" si="2"/>
        <v>Low</v>
      </c>
      <c r="G16" s="1" t="str">
        <f t="shared" si="3"/>
        <v>MODERATE</v>
      </c>
      <c r="H16" s="1">
        <v>0</v>
      </c>
      <c r="I16" s="1">
        <v>1</v>
      </c>
      <c r="J16" s="1">
        <v>0</v>
      </c>
      <c r="K16" s="1">
        <v>1</v>
      </c>
      <c r="L16" s="1" t="s">
        <v>14</v>
      </c>
    </row>
    <row r="17" ht="17" spans="1:12">
      <c r="A17" s="2" t="s">
        <v>31</v>
      </c>
      <c r="B17" t="s">
        <v>13</v>
      </c>
      <c r="C17" t="str">
        <f t="shared" si="0"/>
        <v>OS</v>
      </c>
      <c r="D17">
        <v>4</v>
      </c>
      <c r="E17" t="str">
        <f t="shared" si="1"/>
        <v>Partially Consistent</v>
      </c>
      <c r="F17" t="str">
        <f t="shared" si="2"/>
        <v>Low</v>
      </c>
      <c r="G17" t="str">
        <f t="shared" si="3"/>
        <v>MODERATE</v>
      </c>
      <c r="H17">
        <v>0</v>
      </c>
      <c r="I17">
        <v>1</v>
      </c>
      <c r="J17">
        <v>1</v>
      </c>
      <c r="K17" t="s">
        <v>14</v>
      </c>
      <c r="L17" t="s">
        <v>14</v>
      </c>
    </row>
    <row r="18" ht="17" spans="1:12">
      <c r="A18" s="2" t="s">
        <v>32</v>
      </c>
      <c r="B18" t="s">
        <v>13</v>
      </c>
      <c r="C18" t="str">
        <f t="shared" si="0"/>
        <v>OS</v>
      </c>
      <c r="D18">
        <v>4</v>
      </c>
      <c r="E18" t="str">
        <f t="shared" si="1"/>
        <v>Partially Consistent</v>
      </c>
      <c r="F18" t="str">
        <f t="shared" si="2"/>
        <v>Low</v>
      </c>
      <c r="G18" t="str">
        <f t="shared" si="3"/>
        <v>MODERATE</v>
      </c>
      <c r="H18">
        <v>0</v>
      </c>
      <c r="I18">
        <v>0</v>
      </c>
      <c r="J18">
        <v>1</v>
      </c>
      <c r="K18" t="s">
        <v>14</v>
      </c>
      <c r="L18" t="s">
        <v>14</v>
      </c>
    </row>
    <row r="19" ht="17" spans="1:12">
      <c r="A19" s="2" t="s">
        <v>33</v>
      </c>
      <c r="B19" t="s">
        <v>34</v>
      </c>
      <c r="C19" t="str">
        <f t="shared" si="0"/>
        <v>OS</v>
      </c>
      <c r="D19">
        <v>4</v>
      </c>
      <c r="E19" t="str">
        <f t="shared" si="1"/>
        <v>Inconsistent</v>
      </c>
      <c r="F19" t="str">
        <f t="shared" si="2"/>
        <v>Low</v>
      </c>
      <c r="G19" t="str">
        <f t="shared" si="3"/>
        <v>LOW</v>
      </c>
      <c r="H19">
        <v>0</v>
      </c>
      <c r="I19">
        <v>0</v>
      </c>
      <c r="J19">
        <v>1</v>
      </c>
      <c r="K19" t="s">
        <v>14</v>
      </c>
      <c r="L19" t="s">
        <v>14</v>
      </c>
    </row>
    <row r="20" ht="84" spans="1:12">
      <c r="A20" s="2" t="s">
        <v>35</v>
      </c>
      <c r="B20" t="s">
        <v>20</v>
      </c>
      <c r="C20" t="str">
        <f t="shared" si="0"/>
        <v>TS</v>
      </c>
      <c r="D20">
        <v>4</v>
      </c>
      <c r="E20" t="str">
        <f t="shared" si="1"/>
        <v>Partially Consistent</v>
      </c>
      <c r="F20" t="str">
        <f t="shared" si="2"/>
        <v>High</v>
      </c>
      <c r="G20" t="str">
        <f t="shared" si="3"/>
        <v>HIGH</v>
      </c>
      <c r="H20">
        <v>0</v>
      </c>
      <c r="I20">
        <v>0</v>
      </c>
      <c r="J20">
        <v>1</v>
      </c>
      <c r="K20" t="s">
        <v>14</v>
      </c>
      <c r="L20" t="s">
        <v>14</v>
      </c>
    </row>
    <row r="21" ht="34" spans="1:12">
      <c r="A21" s="2" t="s">
        <v>36</v>
      </c>
      <c r="B21" t="s">
        <v>13</v>
      </c>
      <c r="C21" t="str">
        <f t="shared" si="0"/>
        <v>OS</v>
      </c>
      <c r="D21">
        <v>4</v>
      </c>
      <c r="E21" t="str">
        <f t="shared" si="1"/>
        <v>Partially Consistent</v>
      </c>
      <c r="F21" t="str">
        <f t="shared" si="2"/>
        <v>Low</v>
      </c>
      <c r="G21" t="str">
        <f t="shared" si="3"/>
        <v>MODERATE</v>
      </c>
      <c r="H21">
        <v>0</v>
      </c>
      <c r="I21">
        <v>1</v>
      </c>
      <c r="J21">
        <v>0</v>
      </c>
      <c r="K21" t="s">
        <v>14</v>
      </c>
      <c r="L21" t="s">
        <v>14</v>
      </c>
    </row>
    <row r="22" ht="34" spans="1:12">
      <c r="A22" s="2" t="s">
        <v>37</v>
      </c>
      <c r="B22" t="s">
        <v>34</v>
      </c>
      <c r="C22" t="str">
        <f t="shared" si="0"/>
        <v>OS</v>
      </c>
      <c r="D22">
        <v>3</v>
      </c>
      <c r="E22" t="str">
        <f t="shared" si="1"/>
        <v>Inconsistent</v>
      </c>
      <c r="F22" t="str">
        <f t="shared" si="2"/>
        <v>Low</v>
      </c>
      <c r="G22" t="str">
        <f t="shared" si="3"/>
        <v>LOW</v>
      </c>
      <c r="H22">
        <v>0</v>
      </c>
      <c r="I22">
        <v>0</v>
      </c>
      <c r="J22">
        <v>1</v>
      </c>
      <c r="K22" t="s">
        <v>14</v>
      </c>
      <c r="L22" t="s">
        <v>14</v>
      </c>
    </row>
    <row r="23" ht="68" spans="1:12">
      <c r="A23" s="2" t="s">
        <v>38</v>
      </c>
      <c r="B23" t="s">
        <v>20</v>
      </c>
      <c r="C23" t="str">
        <f t="shared" si="0"/>
        <v>TS</v>
      </c>
      <c r="D23">
        <v>3</v>
      </c>
      <c r="E23" t="str">
        <f t="shared" si="1"/>
        <v>Consistent</v>
      </c>
      <c r="F23" t="str">
        <f t="shared" si="2"/>
        <v>High</v>
      </c>
      <c r="G23" t="str">
        <f t="shared" si="3"/>
        <v>HIGH</v>
      </c>
      <c r="H23">
        <v>0</v>
      </c>
      <c r="I23">
        <v>0</v>
      </c>
      <c r="J23">
        <v>1</v>
      </c>
      <c r="K23" t="s">
        <v>14</v>
      </c>
      <c r="L23" t="s">
        <v>14</v>
      </c>
    </row>
    <row r="24" ht="17" spans="1:12">
      <c r="A24" s="2" t="s">
        <v>39</v>
      </c>
      <c r="B24" t="s">
        <v>34</v>
      </c>
      <c r="C24" t="str">
        <f t="shared" si="0"/>
        <v>OS</v>
      </c>
      <c r="D24">
        <v>3</v>
      </c>
      <c r="E24" t="str">
        <f t="shared" si="1"/>
        <v>Inconsistent</v>
      </c>
      <c r="F24" t="str">
        <f t="shared" si="2"/>
        <v>Low</v>
      </c>
      <c r="G24" t="str">
        <f t="shared" si="3"/>
        <v>LOW</v>
      </c>
      <c r="H24">
        <v>0</v>
      </c>
      <c r="I24">
        <v>0</v>
      </c>
      <c r="J24">
        <v>1</v>
      </c>
      <c r="K24" t="s">
        <v>14</v>
      </c>
      <c r="L24" t="s">
        <v>14</v>
      </c>
    </row>
    <row r="25" ht="17" spans="1:12">
      <c r="A25" s="2" t="s">
        <v>40</v>
      </c>
      <c r="B25" t="s">
        <v>34</v>
      </c>
      <c r="C25" t="str">
        <f t="shared" si="0"/>
        <v>OS</v>
      </c>
      <c r="D25">
        <v>3</v>
      </c>
      <c r="E25" t="str">
        <f t="shared" si="1"/>
        <v>Inconsistent</v>
      </c>
      <c r="F25" t="str">
        <f t="shared" si="2"/>
        <v>Low</v>
      </c>
      <c r="G25" t="str">
        <f t="shared" si="3"/>
        <v>LOW</v>
      </c>
      <c r="H25">
        <v>0</v>
      </c>
      <c r="I25">
        <v>0</v>
      </c>
      <c r="J25">
        <v>1</v>
      </c>
      <c r="K25" t="s">
        <v>14</v>
      </c>
      <c r="L25" t="s">
        <v>14</v>
      </c>
    </row>
    <row r="26" ht="17" spans="1:12">
      <c r="A26" s="2" t="s">
        <v>41</v>
      </c>
      <c r="B26" t="s">
        <v>20</v>
      </c>
      <c r="C26" t="str">
        <f t="shared" si="0"/>
        <v>TS</v>
      </c>
      <c r="D26">
        <v>3</v>
      </c>
      <c r="E26" t="str">
        <f t="shared" si="1"/>
        <v>Consistent</v>
      </c>
      <c r="F26" t="str">
        <f t="shared" si="2"/>
        <v>High</v>
      </c>
      <c r="G26" t="str">
        <f t="shared" si="3"/>
        <v>HIGH</v>
      </c>
      <c r="H26">
        <v>0</v>
      </c>
      <c r="I26">
        <v>0</v>
      </c>
      <c r="J26">
        <v>1</v>
      </c>
      <c r="K26" t="s">
        <v>14</v>
      </c>
      <c r="L26" t="s">
        <v>14</v>
      </c>
    </row>
    <row r="27" ht="17" spans="1:12">
      <c r="A27" s="2" t="s">
        <v>42</v>
      </c>
      <c r="B27" t="s">
        <v>34</v>
      </c>
      <c r="C27" t="str">
        <f t="shared" si="0"/>
        <v>OS</v>
      </c>
      <c r="D27">
        <v>3</v>
      </c>
      <c r="E27" t="str">
        <f t="shared" si="1"/>
        <v>Inconsistent</v>
      </c>
      <c r="F27" t="str">
        <f t="shared" si="2"/>
        <v>Low</v>
      </c>
      <c r="G27" t="str">
        <f t="shared" si="3"/>
        <v>LOW</v>
      </c>
      <c r="H27">
        <v>0</v>
      </c>
      <c r="I27">
        <v>0</v>
      </c>
      <c r="J27">
        <v>1</v>
      </c>
      <c r="K27" t="s">
        <v>14</v>
      </c>
      <c r="L27" t="s">
        <v>14</v>
      </c>
    </row>
    <row r="28" ht="17" spans="1:12">
      <c r="A28" s="2" t="s">
        <v>43</v>
      </c>
      <c r="B28" t="s">
        <v>34</v>
      </c>
      <c r="C28" t="str">
        <f t="shared" si="0"/>
        <v>OS</v>
      </c>
      <c r="D28">
        <v>3</v>
      </c>
      <c r="E28" t="str">
        <f t="shared" si="1"/>
        <v>Inconsistent</v>
      </c>
      <c r="F28" t="str">
        <f t="shared" si="2"/>
        <v>Low</v>
      </c>
      <c r="G28" t="str">
        <f t="shared" si="3"/>
        <v>LOW</v>
      </c>
      <c r="H28">
        <v>0</v>
      </c>
      <c r="I28">
        <v>0</v>
      </c>
      <c r="J28">
        <v>1</v>
      </c>
      <c r="K28" t="s">
        <v>14</v>
      </c>
      <c r="L28" t="s">
        <v>14</v>
      </c>
    </row>
    <row r="29" ht="17" spans="1:12">
      <c r="A29" s="2" t="s">
        <v>44</v>
      </c>
      <c r="B29" t="s">
        <v>13</v>
      </c>
      <c r="C29" t="str">
        <f t="shared" si="0"/>
        <v>OS</v>
      </c>
      <c r="D29">
        <v>3</v>
      </c>
      <c r="E29" t="str">
        <f t="shared" si="1"/>
        <v>Inconsistent</v>
      </c>
      <c r="F29" t="str">
        <f t="shared" si="2"/>
        <v>Low</v>
      </c>
      <c r="G29" t="str">
        <f t="shared" si="3"/>
        <v>LOW</v>
      </c>
      <c r="H29">
        <v>0</v>
      </c>
      <c r="I29">
        <v>1</v>
      </c>
      <c r="J29">
        <v>0</v>
      </c>
      <c r="K29" t="s">
        <v>14</v>
      </c>
      <c r="L29" t="s">
        <v>14</v>
      </c>
    </row>
    <row r="30" ht="84" spans="1:12">
      <c r="A30" s="2" t="s">
        <v>45</v>
      </c>
      <c r="B30" t="s">
        <v>34</v>
      </c>
      <c r="C30" t="str">
        <f t="shared" si="0"/>
        <v>OS</v>
      </c>
      <c r="D30">
        <v>3</v>
      </c>
      <c r="E30" t="str">
        <f t="shared" si="1"/>
        <v>Inconsistent</v>
      </c>
      <c r="F30" t="str">
        <f t="shared" si="2"/>
        <v>Low</v>
      </c>
      <c r="G30" t="str">
        <f t="shared" si="3"/>
        <v>LOW</v>
      </c>
      <c r="H30">
        <v>0</v>
      </c>
      <c r="I30">
        <v>0</v>
      </c>
      <c r="J30">
        <v>1</v>
      </c>
      <c r="K30" t="s">
        <v>14</v>
      </c>
      <c r="L30" t="s">
        <v>14</v>
      </c>
    </row>
    <row r="31" ht="17" spans="1:12">
      <c r="A31" s="2" t="s">
        <v>46</v>
      </c>
      <c r="B31" t="s">
        <v>34</v>
      </c>
      <c r="C31" t="str">
        <f t="shared" si="0"/>
        <v>OS</v>
      </c>
      <c r="D31">
        <v>3</v>
      </c>
      <c r="E31" t="str">
        <f t="shared" si="1"/>
        <v>Inconsistent</v>
      </c>
      <c r="F31" t="str">
        <f t="shared" si="2"/>
        <v>Low</v>
      </c>
      <c r="G31" t="str">
        <f t="shared" si="3"/>
        <v>LOW</v>
      </c>
      <c r="H31">
        <v>0</v>
      </c>
      <c r="I31">
        <v>0</v>
      </c>
      <c r="J31">
        <v>1</v>
      </c>
      <c r="K31" t="s">
        <v>14</v>
      </c>
      <c r="L31" t="s">
        <v>14</v>
      </c>
    </row>
    <row r="32" ht="34" spans="1:12">
      <c r="A32" s="2" t="s">
        <v>47</v>
      </c>
      <c r="B32" t="s">
        <v>34</v>
      </c>
      <c r="C32" t="str">
        <f t="shared" si="0"/>
        <v>OS</v>
      </c>
      <c r="D32">
        <v>1</v>
      </c>
      <c r="E32" t="str">
        <f t="shared" si="1"/>
        <v>Consistent</v>
      </c>
      <c r="F32" t="str">
        <f t="shared" si="2"/>
        <v>Low</v>
      </c>
      <c r="G32" t="str">
        <f t="shared" si="3"/>
        <v>MODERATE</v>
      </c>
      <c r="H32">
        <v>0</v>
      </c>
      <c r="I32">
        <v>0</v>
      </c>
      <c r="J32">
        <v>1</v>
      </c>
      <c r="K32" t="s">
        <v>14</v>
      </c>
      <c r="L32" t="s">
        <v>14</v>
      </c>
    </row>
    <row r="33" ht="34" spans="1:12">
      <c r="A33" s="2" t="s">
        <v>48</v>
      </c>
      <c r="B33" t="s">
        <v>13</v>
      </c>
      <c r="C33" t="str">
        <f t="shared" si="0"/>
        <v>OS</v>
      </c>
      <c r="D33">
        <v>1</v>
      </c>
      <c r="E33" t="str">
        <f t="shared" si="1"/>
        <v>Inconsistent</v>
      </c>
      <c r="F33" t="str">
        <f t="shared" si="2"/>
        <v>Low</v>
      </c>
      <c r="G33" t="str">
        <f t="shared" si="3"/>
        <v>LOW</v>
      </c>
      <c r="H33">
        <v>0</v>
      </c>
      <c r="I33">
        <v>1</v>
      </c>
      <c r="J33">
        <v>0</v>
      </c>
      <c r="K33" t="s">
        <v>14</v>
      </c>
      <c r="L33" t="s">
        <v>14</v>
      </c>
    </row>
    <row r="34" ht="34" spans="1:12">
      <c r="A34" s="2" t="s">
        <v>49</v>
      </c>
      <c r="B34" t="s">
        <v>13</v>
      </c>
      <c r="C34" t="str">
        <f t="shared" si="0"/>
        <v>OS</v>
      </c>
      <c r="D34">
        <v>1</v>
      </c>
      <c r="E34" t="str">
        <f t="shared" si="1"/>
        <v>Inconsistent</v>
      </c>
      <c r="F34" t="str">
        <f t="shared" si="2"/>
        <v>Low</v>
      </c>
      <c r="G34" t="str">
        <f t="shared" si="3"/>
        <v>LOW</v>
      </c>
      <c r="H34">
        <v>0</v>
      </c>
      <c r="I34">
        <v>1</v>
      </c>
      <c r="J34">
        <v>1</v>
      </c>
      <c r="K34" t="s">
        <v>14</v>
      </c>
      <c r="L34" t="s">
        <v>14</v>
      </c>
    </row>
    <row r="35" ht="17" spans="1:12">
      <c r="A35" s="2" t="s">
        <v>50</v>
      </c>
      <c r="B35" t="s">
        <v>34</v>
      </c>
      <c r="C35" t="str">
        <f t="shared" si="0"/>
        <v>OS</v>
      </c>
      <c r="D35">
        <v>1</v>
      </c>
      <c r="E35" t="str">
        <f t="shared" si="1"/>
        <v>Consistent</v>
      </c>
      <c r="F35" t="str">
        <f t="shared" si="2"/>
        <v>Low</v>
      </c>
      <c r="G35" t="str">
        <f t="shared" si="3"/>
        <v>MODERATE</v>
      </c>
      <c r="H35">
        <v>0</v>
      </c>
      <c r="I35">
        <v>0</v>
      </c>
      <c r="J35">
        <v>1</v>
      </c>
      <c r="K35" t="s">
        <v>14</v>
      </c>
      <c r="L35" t="s">
        <v>14</v>
      </c>
    </row>
    <row r="36" ht="51" spans="1:12">
      <c r="A36" s="2" t="s">
        <v>51</v>
      </c>
      <c r="B36" t="s">
        <v>34</v>
      </c>
      <c r="C36" t="str">
        <f t="shared" si="0"/>
        <v>OS</v>
      </c>
      <c r="D36">
        <v>2</v>
      </c>
      <c r="E36" t="str">
        <f t="shared" si="1"/>
        <v>Partially Consistent</v>
      </c>
      <c r="F36" t="str">
        <f t="shared" si="2"/>
        <v>Low</v>
      </c>
      <c r="G36" t="str">
        <f t="shared" si="3"/>
        <v>MODERATE</v>
      </c>
      <c r="H36">
        <v>0</v>
      </c>
      <c r="I36">
        <v>0</v>
      </c>
      <c r="J36">
        <v>1</v>
      </c>
      <c r="K36" t="s">
        <v>14</v>
      </c>
      <c r="L36" t="s">
        <v>14</v>
      </c>
    </row>
    <row r="37" ht="34" spans="1:12">
      <c r="A37" s="2" t="s">
        <v>52</v>
      </c>
      <c r="B37" t="s">
        <v>34</v>
      </c>
      <c r="C37" t="str">
        <f>IF(B37="NEUTRAL","TS","OS")</f>
        <v>OS</v>
      </c>
      <c r="D37">
        <v>2</v>
      </c>
      <c r="E37" t="str">
        <f>IF(C37="TS",IF(D37=3,"Consistent",IF(OR(D37=2,D37=4),"Partially Consistent","Inconsistent")),IF(D37=3,"Inconsistent",IF(AND(D37=5,B37="POSITIVE"),"Consistent",IF(AND(D37=1,B37="NEGATIVE"),"Consistent",IF(AND(D37=4,B37="POSITIVE"),"Partially Consistent",IF(AND(D37=2,B37="NEGATIVE"),"Partially Consistent","Inconsistent"))))))</f>
        <v>Partially Consistent</v>
      </c>
      <c r="F37" t="str">
        <f>IF(C37="TS","High","Low")</f>
        <v>Low</v>
      </c>
      <c r="G37" t="str">
        <f>IF(AND(B37="NEUTRAL",F37="Low"),"LOW",IF(AND(C37="TS",F37="High",D37=3),"HIGH",IF(AND(C37="TS",F37="High",OR(D37=2,D37=4)),"HIGH",IF(AND(C37="TS",F37="High",OR(D37=1,D37=5)),"MODERATE",IF(AND(C37="OS",E37="Consistent",OR(D37=1,D37=5)),"MODERATE",IF(AND(C37="OS",E37="Partially Consistent",OR(D37=2,D37=4)),"MODERATE","LOW"))))))</f>
        <v>MODERATE</v>
      </c>
      <c r="H37">
        <v>0</v>
      </c>
      <c r="I37">
        <v>0</v>
      </c>
      <c r="J37">
        <v>1</v>
      </c>
      <c r="K37" t="s">
        <v>14</v>
      </c>
      <c r="L37" t="s">
        <v>14</v>
      </c>
    </row>
    <row r="38" ht="17" spans="1:12">
      <c r="A38" s="2" t="s">
        <v>53</v>
      </c>
      <c r="B38" t="s">
        <v>34</v>
      </c>
      <c r="C38" t="str">
        <f>IF(B38="NEUTRAL","TS","OS")</f>
        <v>OS</v>
      </c>
      <c r="D38">
        <v>1</v>
      </c>
      <c r="E38" t="str">
        <f>IF(C38="TS",IF(D38=3,"Consistent",IF(OR(D38=2,D38=4),"Partially Consistent","Inconsistent")),IF(D38=3,"Inconsistent",IF(AND(D38=5,B38="POSITIVE"),"Consistent",IF(AND(D38=1,B38="NEGATIVE"),"Consistent",IF(AND(D38=4,B38="POSITIVE"),"Partially Consistent",IF(AND(D38=2,B38="NEGATIVE"),"Partially Consistent","Inconsistent"))))))</f>
        <v>Consistent</v>
      </c>
      <c r="F38" t="str">
        <f>IF(C38="TS","High","Low")</f>
        <v>Low</v>
      </c>
      <c r="G38" t="str">
        <f>IF(AND(B38="NEUTRAL",F38="Low"),"LOW",IF(AND(C38="TS",F38="High",D38=3),"HIGH",IF(AND(C38="TS",F38="High",OR(D38=2,D38=4)),"HIGH",IF(AND(C38="TS",F38="High",OR(D38=1,D38=5)),"MODERATE",IF(AND(C38="OS",E38="Consistent",OR(D38=1,D38=5)),"MODERATE",IF(AND(C38="OS",E38="Partially Consistent",OR(D38=2,D38=4)),"MODERATE","LOW"))))))</f>
        <v>MODERATE</v>
      </c>
      <c r="H38">
        <v>0</v>
      </c>
      <c r="I38">
        <v>0</v>
      </c>
      <c r="J38">
        <v>1</v>
      </c>
      <c r="K38" t="s">
        <v>14</v>
      </c>
      <c r="L38" t="s">
        <v>14</v>
      </c>
    </row>
    <row r="39" ht="34" spans="1:12">
      <c r="A39" s="2" t="s">
        <v>54</v>
      </c>
      <c r="B39" t="s">
        <v>34</v>
      </c>
      <c r="C39" t="str">
        <f>IF(B39="NEUTRAL","TS","OS")</f>
        <v>OS</v>
      </c>
      <c r="D39">
        <v>1</v>
      </c>
      <c r="E39" t="str">
        <f>IF(C39="TS",IF(D39=3,"Consistent",IF(OR(D39=2,D39=4),"Partially Consistent","Inconsistent")),IF(D39=3,"Inconsistent",IF(AND(D39=5,B39="POSITIVE"),"Consistent",IF(AND(D39=1,B39="NEGATIVE"),"Consistent",IF(AND(D39=4,B39="POSITIVE"),"Partially Consistent",IF(AND(D39=2,B39="NEGATIVE"),"Partially Consistent","Inconsistent"))))))</f>
        <v>Consistent</v>
      </c>
      <c r="F39" t="str">
        <f>IF(C39="TS","High","Low")</f>
        <v>Low</v>
      </c>
      <c r="G39" t="str">
        <f>IF(AND(B39="NEUTRAL",F39="Low"),"LOW",IF(AND(C39="TS",F39="High",D39=3),"HIGH",IF(AND(C39="TS",F39="High",OR(D39=2,D39=4)),"HIGH",IF(AND(C39="TS",F39="High",OR(D39=1,D39=5)),"MODERATE",IF(AND(C39="OS",E39="Consistent",OR(D39=1,D39=5)),"MODERATE",IF(AND(C39="OS",E39="Partially Consistent",OR(D39=2,D39=4)),"MODERATE","LOW"))))))</f>
        <v>MODERATE</v>
      </c>
      <c r="H39">
        <v>1</v>
      </c>
      <c r="I39">
        <v>0</v>
      </c>
      <c r="J39">
        <v>1</v>
      </c>
      <c r="K39" t="s">
        <v>14</v>
      </c>
      <c r="L39" t="s">
        <v>14</v>
      </c>
    </row>
    <row r="40" ht="34" spans="1:12">
      <c r="A40" s="2" t="s">
        <v>47</v>
      </c>
      <c r="B40" t="s">
        <v>34</v>
      </c>
      <c r="C40" t="str">
        <f>IF(B40="NEUTRAL","TS","OS")</f>
        <v>OS</v>
      </c>
      <c r="D40">
        <v>1</v>
      </c>
      <c r="E40" t="str">
        <f>IF(C40="TS",IF(D40=3,"Consistent",IF(OR(D40=2,D40=4),"Partially Consistent","Inconsistent")),IF(D40=3,"Inconsistent",IF(AND(D40=5,B40="POSITIVE"),"Consistent",IF(AND(D40=1,B40="NEGATIVE"),"Consistent",IF(AND(D40=4,B40="POSITIVE"),"Partially Consistent",IF(AND(D40=2,B40="NEGATIVE"),"Partially Consistent","Inconsistent"))))))</f>
        <v>Consistent</v>
      </c>
      <c r="F40" t="str">
        <f>IF(C40="TS","High","Low")</f>
        <v>Low</v>
      </c>
      <c r="G40" t="str">
        <f>IF(AND(B40="NEUTRAL",F40="Low"),"LOW",IF(AND(C40="TS",F40="High",D40=3),"HIGH",IF(AND(C40="TS",F40="High",OR(D40=2,D40=4)),"HIGH",IF(AND(C40="TS",F40="High",OR(D40=1,D40=5)),"MODERATE",IF(AND(C40="OS",E40="Consistent",OR(D40=1,D40=5)),"MODERATE",IF(AND(C40="OS",E40="Partially Consistent",OR(D40=2,D40=4)),"MODERATE","LOW"))))))</f>
        <v>MODERATE</v>
      </c>
      <c r="H40">
        <v>0</v>
      </c>
      <c r="I40">
        <v>0</v>
      </c>
      <c r="J40">
        <v>1</v>
      </c>
      <c r="K40" t="s">
        <v>14</v>
      </c>
      <c r="L40" t="s">
        <v>14</v>
      </c>
    </row>
    <row r="41" ht="34" spans="1:12">
      <c r="A41" s="2" t="s">
        <v>49</v>
      </c>
      <c r="B41" t="s">
        <v>13</v>
      </c>
      <c r="C41" t="str">
        <f>IF(B41="NEUTRAL","TS","OS")</f>
        <v>OS</v>
      </c>
      <c r="D41">
        <v>1</v>
      </c>
      <c r="E41" t="str">
        <f>IF(C41="TS",IF(D41=3,"Consistent",IF(OR(D41=2,D41=4),"Partially Consistent","Inconsistent")),IF(D41=3,"Inconsistent",IF(AND(D41=5,B41="POSITIVE"),"Consistent",IF(AND(D41=1,B41="NEGATIVE"),"Consistent",IF(AND(D41=4,B41="POSITIVE"),"Partially Consistent",IF(AND(D41=2,B41="NEGATIVE"),"Partially Consistent","Inconsistent"))))))</f>
        <v>Inconsistent</v>
      </c>
      <c r="F41" t="str">
        <f>IF(C41="TS","High","Low")</f>
        <v>Low</v>
      </c>
      <c r="G41" t="str">
        <f>IF(AND(B41="NEUTRAL",F41="Low"),"LOW",IF(AND(C41="TS",F41="High",D41=3),"HIGH",IF(AND(C41="TS",F41="High",OR(D41=2,D41=4)),"HIGH",IF(AND(C41="TS",F41="High",OR(D41=1,D41=5)),"MODERATE",IF(AND(C41="OS",E41="Consistent",OR(D41=1,D41=5)),"MODERATE",IF(AND(C41="OS",E41="Partially Consistent",OR(D41=2,D41=4)),"MODERATE","LOW"))))))</f>
        <v>LOW</v>
      </c>
      <c r="H41">
        <v>0</v>
      </c>
      <c r="I41">
        <v>1</v>
      </c>
      <c r="J41">
        <v>1</v>
      </c>
      <c r="K41" t="s">
        <v>14</v>
      </c>
      <c r="L41" t="s">
        <v>14</v>
      </c>
    </row>
    <row r="42" ht="17" spans="1:12">
      <c r="A42" s="2" t="s">
        <v>50</v>
      </c>
      <c r="B42" t="s">
        <v>34</v>
      </c>
      <c r="C42" t="str">
        <f>IF(B42="NEUTRAL","TS","OS")</f>
        <v>OS</v>
      </c>
      <c r="D42">
        <v>1</v>
      </c>
      <c r="E42" t="str">
        <f>IF(C42="TS",IF(D42=3,"Consistent",IF(OR(D42=2,D42=4),"Partially Consistent","Inconsistent")),IF(D42=3,"Inconsistent",IF(AND(D42=5,B42="POSITIVE"),"Consistent",IF(AND(D42=1,B42="NEGATIVE"),"Consistent",IF(AND(D42=4,B42="POSITIVE"),"Partially Consistent",IF(AND(D42=2,B42="NEGATIVE"),"Partially Consistent","Inconsistent"))))))</f>
        <v>Consistent</v>
      </c>
      <c r="F42" t="str">
        <f>IF(C42="TS","High","Low")</f>
        <v>Low</v>
      </c>
      <c r="G42" t="str">
        <f>IF(AND(B42="NEUTRAL",F42="Low"),"LOW",IF(AND(C42="TS",F42="High",D42=3),"HIGH",IF(AND(C42="TS",F42="High",OR(D42=2,D42=4)),"HIGH",IF(AND(C42="TS",F42="High",OR(D42=1,D42=5)),"MODERATE",IF(AND(C42="OS",E42="Consistent",OR(D42=1,D42=5)),"MODERATE",IF(AND(C42="OS",E42="Partially Consistent",OR(D42=2,D42=4)),"MODERATE","LOW"))))))</f>
        <v>MODERATE</v>
      </c>
      <c r="H42">
        <v>0</v>
      </c>
      <c r="I42">
        <v>0</v>
      </c>
      <c r="J42">
        <v>1</v>
      </c>
      <c r="K42" t="s">
        <v>14</v>
      </c>
      <c r="L42" t="s">
        <v>14</v>
      </c>
    </row>
    <row r="43" ht="34" spans="1:12">
      <c r="A43" s="2" t="s">
        <v>55</v>
      </c>
      <c r="B43" t="s">
        <v>20</v>
      </c>
      <c r="C43" t="str">
        <f>IF(B43="NEUTRAL","TS","OS")</f>
        <v>TS</v>
      </c>
      <c r="D43">
        <v>1</v>
      </c>
      <c r="E43" t="str">
        <f>IF(C43="TS",IF(D43=3,"Consistent",IF(OR(D43=2,D43=4),"Partially Consistent","Inconsistent")),IF(D43=3,"Inconsistent",IF(AND(D43=5,B43="POSITIVE"),"Consistent",IF(AND(D43=1,B43="NEGATIVE"),"Consistent",IF(AND(D43=4,B43="POSITIVE"),"Partially Consistent",IF(AND(D43=2,B43="NEGATIVE"),"Partially Consistent","Inconsistent"))))))</f>
        <v>Inconsistent</v>
      </c>
      <c r="F43" t="s">
        <v>22</v>
      </c>
      <c r="G43" t="str">
        <f>IF(AND(B43="NEUTRAL",F43="Low"),"LOW",IF(AND(C43="TS",F43="High",D43=3),"HIGH",IF(AND(C43="TS",F43="High",OR(D43=2,D43=4)),"HIGH",IF(AND(C43="TS",F43="High",OR(D43=1,D43=5)),"MODERATE",IF(AND(C43="OS",E43="Consistent",OR(D43=1,D43=5)),"MODERATE",IF(AND(C43="OS",E43="Partially Consistent",OR(D43=2,D43=4)),"MODERATE","LOW"))))))</f>
        <v>LOW</v>
      </c>
      <c r="H43">
        <v>0</v>
      </c>
      <c r="I43">
        <v>0</v>
      </c>
      <c r="J43">
        <v>1</v>
      </c>
      <c r="K43">
        <v>1</v>
      </c>
      <c r="L43" t="s">
        <v>14</v>
      </c>
    </row>
    <row r="44" ht="17" spans="1:12">
      <c r="A44" s="2" t="s">
        <v>56</v>
      </c>
      <c r="B44" t="s">
        <v>20</v>
      </c>
      <c r="C44" t="str">
        <f>IF(B44="NEUTRAL","TS","OS")</f>
        <v>TS</v>
      </c>
      <c r="D44">
        <v>1</v>
      </c>
      <c r="E44" t="str">
        <f>IF(C44="TS",IF(D44=3,"Consistent",IF(OR(D44=2,D44=4),"Partially Consistent","Inconsistent")),IF(D44=3,"Inconsistent",IF(AND(D44=5,B44="POSITIVE"),"Consistent",IF(AND(D44=1,B44="NEGATIVE"),"Consistent",IF(AND(D44=4,B44="POSITIVE"),"Partially Consistent",IF(AND(D44=2,B44="NEGATIVE"),"Partially Consistent","Inconsistent"))))))</f>
        <v>Inconsistent</v>
      </c>
      <c r="F44" t="s">
        <v>22</v>
      </c>
      <c r="G44" t="str">
        <f>IF(AND(B44="NEUTRAL",F44="Low"),"LOW",IF(AND(C44="TS",F44="High",D44=3),"HIGH",IF(AND(C44="TS",F44="High",OR(D44=2,D44=4)),"HIGH",IF(AND(C44="TS",F44="High",OR(D44=1,D44=5)),"MODERATE",IF(AND(C44="OS",E44="Consistent",OR(D44=1,D44=5)),"MODERATE",IF(AND(C44="OS",E44="Partially Consistent",OR(D44=2,D44=4)),"MODERATE","LOW"))))))</f>
        <v>LOW</v>
      </c>
      <c r="H44">
        <v>0</v>
      </c>
      <c r="I44">
        <v>0</v>
      </c>
      <c r="J44">
        <v>1</v>
      </c>
      <c r="K44">
        <v>1</v>
      </c>
      <c r="L44" t="s">
        <v>14</v>
      </c>
    </row>
    <row r="45" ht="17" spans="1:12">
      <c r="A45" s="2" t="s">
        <v>53</v>
      </c>
      <c r="B45" t="s">
        <v>34</v>
      </c>
      <c r="C45" t="str">
        <f>IF(B45="NEUTRAL","TS","OS")</f>
        <v>OS</v>
      </c>
      <c r="D45">
        <v>1</v>
      </c>
      <c r="E45" t="str">
        <f>IF(C45="TS",IF(D45=3,"Consistent",IF(OR(D45=2,D45=4),"Partially Consistent","Inconsistent")),IF(D45=3,"Inconsistent",IF(AND(D45=5,B45="POSITIVE"),"Consistent",IF(AND(D45=1,B45="NEGATIVE"),"Consistent",IF(AND(D45=4,B45="POSITIVE"),"Partially Consistent",IF(AND(D45=2,B45="NEGATIVE"),"Partially Consistent","Inconsistent"))))))</f>
        <v>Consistent</v>
      </c>
      <c r="F45" t="str">
        <f>IF(C45="TS","High","Low")</f>
        <v>Low</v>
      </c>
      <c r="G45" t="str">
        <f>IF(AND(B45="NEUTRAL",F45="Low"),"LOW",IF(AND(C45="TS",F45="High",D45=3),"HIGH",IF(AND(C45="TS",F45="High",OR(D45=2,D45=4)),"HIGH",IF(AND(C45="TS",F45="High",OR(D45=1,D45=5)),"MODERATE",IF(AND(C45="OS",E45="Consistent",OR(D45=1,D45=5)),"MODERATE",IF(AND(C45="OS",E45="Partially Consistent",OR(D45=2,D45=4)),"MODERATE","LOW"))))))</f>
        <v>MODERATE</v>
      </c>
      <c r="H45">
        <v>0</v>
      </c>
      <c r="I45">
        <v>0</v>
      </c>
      <c r="J45">
        <v>1</v>
      </c>
      <c r="K45" t="s">
        <v>14</v>
      </c>
      <c r="L45" t="s">
        <v>14</v>
      </c>
    </row>
    <row r="46" ht="34" spans="1:12">
      <c r="A46" s="2" t="s">
        <v>54</v>
      </c>
      <c r="B46" t="s">
        <v>34</v>
      </c>
      <c r="C46" t="str">
        <f>IF(B46="NEUTRAL","TS","OS")</f>
        <v>OS</v>
      </c>
      <c r="D46">
        <v>1</v>
      </c>
      <c r="E46" t="str">
        <f>IF(C46="TS",IF(D46=3,"Consistent",IF(OR(D46=2,D46=4),"Partially Consistent","Inconsistent")),IF(D46=3,"Inconsistent",IF(AND(D46=5,B46="POSITIVE"),"Consistent",IF(AND(D46=1,B46="NEGATIVE"),"Consistent",IF(AND(D46=4,B46="POSITIVE"),"Partially Consistent",IF(AND(D46=2,B46="NEGATIVE"),"Partially Consistent","Inconsistent"))))))</f>
        <v>Consistent</v>
      </c>
      <c r="F46" t="str">
        <f>IF(C46="TS","High","Low")</f>
        <v>Low</v>
      </c>
      <c r="G46" t="str">
        <f>IF(AND(B46="NEUTRAL",F46="Low"),"LOW",IF(AND(C46="TS",F46="High",D46=3),"HIGH",IF(AND(C46="TS",F46="High",OR(D46=2,D46=4)),"HIGH",IF(AND(C46="TS",F46="High",OR(D46=1,D46=5)),"MODERATE",IF(AND(C46="OS",E46="Consistent",OR(D46=1,D46=5)),"MODERATE",IF(AND(C46="OS",E46="Partially Consistent",OR(D46=2,D46=4)),"MODERATE","LOW"))))))</f>
        <v>MODERATE</v>
      </c>
      <c r="H46">
        <v>1</v>
      </c>
      <c r="I46">
        <v>0</v>
      </c>
      <c r="J46">
        <v>1</v>
      </c>
      <c r="K46" t="s">
        <v>14</v>
      </c>
      <c r="L46" t="s">
        <v>14</v>
      </c>
    </row>
    <row r="47" ht="34" spans="1:12">
      <c r="A47" s="2" t="s">
        <v>57</v>
      </c>
      <c r="B47" t="s">
        <v>34</v>
      </c>
      <c r="C47" t="str">
        <f>IF(B47="NEUTRAL","TS","OS")</f>
        <v>OS</v>
      </c>
      <c r="D47">
        <v>1</v>
      </c>
      <c r="E47" t="str">
        <f>IF(C47="TS",IF(D47=3,"Consistent",IF(OR(D47=2,D47=4),"Partially Consistent","Inconsistent")),IF(D47=3,"Inconsistent",IF(AND(D47=5,B47="POSITIVE"),"Consistent",IF(AND(D47=1,B47="NEGATIVE"),"Consistent",IF(AND(D47=4,B47="POSITIVE"),"Partially Consistent",IF(AND(D47=2,B47="NEGATIVE"),"Partially Consistent","Inconsistent"))))))</f>
        <v>Consistent</v>
      </c>
      <c r="F47" t="str">
        <f>IF(C47="TS","High","Low")</f>
        <v>Low</v>
      </c>
      <c r="G47" t="str">
        <f>IF(AND(B47="NEUTRAL",F47="Low"),"LOW",IF(AND(C47="TS",F47="High",D47=3),"HIGH",IF(AND(C47="TS",F47="High",OR(D47=2,D47=4)),"HIGH",IF(AND(C47="TS",F47="High",OR(D47=1,D47=5)),"MODERATE",IF(AND(C47="OS",E47="Consistent",OR(D47=1,D47=5)),"MODERATE",IF(AND(C47="OS",E47="Partially Consistent",OR(D47=2,D47=4)),"MODERATE","LOW"))))))</f>
        <v>MODERATE</v>
      </c>
      <c r="H47">
        <v>0</v>
      </c>
      <c r="I47">
        <v>0</v>
      </c>
      <c r="J47">
        <v>1</v>
      </c>
      <c r="K47" t="s">
        <v>14</v>
      </c>
      <c r="L47" t="s">
        <v>14</v>
      </c>
    </row>
    <row r="48" ht="51" spans="1:12">
      <c r="A48" s="2" t="s">
        <v>58</v>
      </c>
      <c r="B48" t="s">
        <v>20</v>
      </c>
      <c r="C48" t="str">
        <f>IF(B48="NEUTRAL","TS","OS")</f>
        <v>TS</v>
      </c>
      <c r="D48">
        <v>1</v>
      </c>
      <c r="E48" t="str">
        <f>IF(C48="TS",IF(D48=3,"Consistent",IF(OR(D48=2,D48=4),"Partially Consistent","Inconsistent")),IF(D48=3,"Inconsistent",IF(AND(D48=5,B48="POSITIVE"),"Consistent",IF(AND(D48=1,B48="NEGATIVE"),"Consistent",IF(AND(D48=4,B48="POSITIVE"),"Partially Consistent",IF(AND(D48=2,B48="NEGATIVE"),"Partially Consistent","Inconsistent"))))))</f>
        <v>Inconsistent</v>
      </c>
      <c r="F48" t="str">
        <f>IF(C48="TS","High","Low")</f>
        <v>High</v>
      </c>
      <c r="G48" t="str">
        <f>IF(AND(B48="NEUTRAL",F48="Low"),"LOW",IF(AND(C48="TS",F48="High",D48=3),"HIGH",IF(AND(C48="TS",F48="High",OR(D48=2,D48=4)),"HIGH",IF(AND(C48="TS",F48="High",OR(D48=1,D48=5)),"MODERATE",IF(AND(C48="OS",E48="Consistent",OR(D48=1,D48=5)),"MODERATE",IF(AND(C48="OS",E48="Partially Consistent",OR(D48=2,D48=4)),"MODERATE","LOW"))))))</f>
        <v>MODERATE</v>
      </c>
      <c r="H48">
        <v>0</v>
      </c>
      <c r="I48">
        <v>0</v>
      </c>
      <c r="J48">
        <v>1</v>
      </c>
      <c r="K48" t="s">
        <v>14</v>
      </c>
      <c r="L48"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2025-05-23T12:44:00Z</dcterms:created>
  <dcterms:modified xsi:type="dcterms:W3CDTF">2025-05-23T17:39:37Z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46B26BA01EFA691059423068BD3D14ED_42</vt:lpwstr>
  </property>
  <property fmtid="{D5CDD505-2E9C-101B-9397-08002B2CF9AE}" pid="4" name="KSOProductBuildVer">
    <vt:lpwstr>1033-6.13.1.8710</vt:lpwstr>
  </property>
</Properties>
</file>