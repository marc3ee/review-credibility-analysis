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<sst xmlns="http://schemas.openxmlformats.org/spreadsheetml/2006/main" count="160" uniqueCount="54">
  <si>
    <t>Review</t>
  </si>
  <si>
    <t>Sentiment</t>
  </si>
  <si>
    <t>Sidedness</t>
  </si>
  <si>
    <t>Star Rating</t>
  </si>
  <si>
    <t>Consistency</t>
  </si>
  <si>
    <t>Info Diversity</t>
  </si>
  <si>
    <t>PERCEIVED HELPFULNESS</t>
  </si>
  <si>
    <t>PD_F</t>
  </si>
  <si>
    <t>PD_F_TMP</t>
  </si>
  <si>
    <t>MAN_UI</t>
  </si>
  <si>
    <t>SPM</t>
  </si>
  <si>
    <t>CREDIBILITY</t>
  </si>
  <si>
    <t>hgdrgg you po ma' am i will be there in about sa update on the stimulus check yung mga be a good time to come over and take a shower and then i' ll be battery life: vcc camera quality: vg performance: vv</t>
  </si>
  <si>
    <t>NEUTRAL</t>
  </si>
  <si>
    <t/>
  </si>
  <si>
    <t>stunning display quality, excellent value for money, smooth and seamless user experience, reliable and durable construction, fast and efficient processor,</t>
  </si>
  <si>
    <t>POSITIVE</t>
  </si>
  <si>
    <t>camera quality: good performance: okay battery life: okay asfghjknvggjjnvgfhhvcffgbhjkkgftybbiigfyubvgokbiohfffghhv cy yghvvg</t>
  </si>
  <si>
    <t>Low</t>
  </si>
  <si>
    <t>camera quality: magamda ung quality ng cam hnd halatang mura nabili battery life: hnd pa ncheck ng ayos pang goft kasi. . pero ok at nateceive q ang item hnd scam. . salamat sa rider hnd nagkainterest sa phone</t>
  </si>
  <si>
    <t>legit po siya pang 2 order ko na ito. . slamat lazada slamat sa realmi, . . .</t>
  </si>
  <si>
    <t>functionality: 10 quality: 10 material: 10 100% original</t>
  </si>
  <si>
    <t>functionality: di sya naglalag, na testing agad ng pamangkin ko. quality: mukang matibay material: maganda yung design nya.</t>
  </si>
  <si>
    <t>best budget phone. can play heavy games cod, genshin impact, and mobile legends. will gift it to my grade 9th son. thank you seller and realme you never always fail my expectations. sample photo ps controller and watch great camera performance, fast and efficient processor, smooth and seamless user experience, functionality: stunning display quality, large and immersive screen, excellent value for money, impressive battery life,</t>
  </si>
  <si>
    <t>large and immersive screen, ample storage capacity, smooth and seamless user experience, sleek and stylish design, smooth and seamless user experience,</t>
  </si>
  <si>
    <t>ganda niya natuwa ang mother earth ko. thankyouuu seller. dalawa binili kong phone matagal din siya malobat. . thankyouu din sa rider very maingat din.</t>
  </si>
  <si>
    <t>excellent value for money, stunning display quality, sleek and stylish design, buti na lang di na damaged ang unit. . next time po paki bubble wrapped ng doble at maayos dahil maaring magka damage, please see video, nabasa pa yong box.</t>
  </si>
  <si>
    <t>ample storage capacity, impressive battery life, large and immersive screen, great camera performance,</t>
  </si>
  <si>
    <t>legit excellent value for money, sleek and stylish design, hope magamit ng matagal. thank you seller</t>
  </si>
  <si>
    <t>dont expect too much dont expect too much dont expect too much dont expect too much dont expect too much</t>
  </si>
  <si>
    <t>NEGATIVE</t>
  </si>
  <si>
    <t>impressive battery life, sleek and stylish design, fast and efficient processor, great camera performance,</t>
  </si>
  <si>
    <t>ill give them 4 star, safe nmn nakarating s akin, all goods, i thought lng my freebies cla, hehe but it' s fine, satisfied nmn, thanks for the safe delivered. . sana meron din cla free earphones, heheh. . .</t>
  </si>
  <si>
    <t>functionality: ok quality: ok material: ok ok for the price</t>
  </si>
  <si>
    <t>smooth and seamless user experience, excellent value for money, sleek and stylish design,</t>
  </si>
  <si>
    <t>the product is good. it functions well at its best price. large and immersive screen, camera quality: good. 5 mp and 13 mp</t>
  </si>
  <si>
    <t>received kuna yung items maganda nman at walang prblema, thank you lazada</t>
  </si>
  <si>
    <t>still checking if okay and will last. sana pangmatagaln tong phone na to. pangregalo ko kase. anyways, packed naman ng maayos.</t>
  </si>
  <si>
    <t>hshdjebdndkfnsbabandbjdmsmsbdjdjsbzbsbsbsznzbsbs. grabe tagal sobra bago maship hdbbdjs</t>
  </si>
  <si>
    <t>napakatagal bago maship. hsvdbdjskxbshnsmxbjdnxvzmsjzbdbd smzmxbshzbdbdbbdndksldbdjd</t>
  </si>
  <si>
    <t>ok na sana. ang issue ko lang ung battery. nagdedrain kahit dko ginagamit. the battery drains -3 counts down every hour even if the battery saver is always on.</t>
  </si>
  <si>
    <t>may naka download na na ibang apps hahaha, feeling second hand mga to na pinaayos lang. . . . . pero goods na sya sa budget, swak. still recommended tho, nagagamit ng kapatid ko maayos naman</t>
  </si>
  <si>
    <t>i didn' t rcvd the item but still complete the transaction anyway</t>
  </si>
  <si>
    <t>stunning display quality,</t>
  </si>
  <si>
    <t>it is useless product finally. . . can' t use ut. blackout 2 tomes in 10 days. seller knows it was not passed qc fir sure. terrible product. waste money</t>
  </si>
  <si>
    <t>hayst</t>
  </si>
  <si>
    <t>i' m so disappointed because my buyer return the realme note50 because of the screen light smashing! ! ! ! please refund my money i already order received i don' t know this will going to happen! ! !</t>
  </si>
  <si>
    <t>reliable and durable construction, fast and efficient processor, ample storage capacity, large and immersive screen, ample storage capacity,</t>
  </si>
  <si>
    <t>sayang voucher dito, kinalat ng manager sa guiguinto hub ung parcel sa ibang boss. hahahahaah</t>
  </si>
  <si>
    <t>functionality: bad quality: bad material: bad don' t buy here waste of money only. too pricey and poor quality phone.</t>
  </si>
  <si>
    <t>quality is not good, screen display green line</t>
  </si>
  <si>
    <t>functionality: poor quality: poor material: poor</t>
  </si>
  <si>
    <t>ang tagal ng delivery tapos wala mn lng compensation kasi wla din nkalagay doon ilang beses ng move ng date tpos wala lng? ganun nba tlga ang lazada now. kasi kahit may proof ky n paulit2 n ng move parcel mo ekes p rin s kanila. gawan nyo sana ng paraan ito</t>
  </si>
  <si>
    <t>ample storage capacity, sleek and stylish design, stunning display quality, large and immersive screen, ample storage capacity, sleek and stylish design,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</si>
</sst>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8"/>
  <sheetViews>
    <sheetView tabSelected="1" topLeftCell="A25" workbookViewId="0">
      <selection activeCell="B39" sqref="B39"/>
    </sheetView>
  </sheetViews>
  <sheetFormatPr defaultColWidth="9" defaultRowHeight="16.8"/>
  <cols>
    <col min="1" max="1" width="81.11718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51" spans="1:12">
      <c r="A2" s="1" t="s">
        <v>12</v>
      </c>
      <c r="B2" t="s">
        <v>13</v>
      </c>
      <c r="C2" t="str">
        <f t="shared" ref="C2:C48" si="0">IF(B2="NEUTRAL","TS","OS")</f>
        <v>TS</v>
      </c>
      <c r="D2">
        <v>5</v>
      </c>
      <c r="E2" t="str">
        <f t="shared" ref="E2:E48" si="1">IF(C2="TS",IF(D2=3,"Consistent",IF(OR(D2=2,D2=4),"Partially Consistent","Inconsistent")),IF(D2=3,"Inconsistent",IF(AND(D2=5,B2="POSITIVE"),"Consistent",IF(AND(D2=1,B2="NEGATIVE"),"Consistent",IF(AND(D2=4,B2="POSITIVE"),"Partially Consistent",IF(AND(D2=2,B2="NEGATIVE"),"Partially Consistent","Inconsistent"))))))</f>
        <v>Inconsistent</v>
      </c>
      <c r="F2" t="str">
        <f t="shared" ref="F2:F48" si="2">IF(C2="TS","High","Low")</f>
        <v>High</v>
      </c>
      <c r="G2" t="str">
        <f t="shared" ref="G2:G48" si="3">IF(AND(B2="NEUTRAL",F2="Low"),"LOW",IF(AND(C2="TS",F2="High",D2=3),"HIGH",IF(AND(C2="TS",F2="High",OR(D2=2,D2=4)),"HIGH",IF(AND(C2="TS",F2="High",OR(D2=1,D2=5)),"MODERATE",IF(AND(C2="OS",E2="Consistent",OR(D2=1,D2=5)),"MODERATE",IF(AND(C2="OS",E2="Partially Consistent",OR(D2=2,D2=4)),"MODERATE","LOW"))))))</f>
        <v>MODERATE</v>
      </c>
      <c r="H2">
        <v>1</v>
      </c>
      <c r="I2">
        <v>0</v>
      </c>
      <c r="J2">
        <v>1</v>
      </c>
      <c r="K2" t="s">
        <v>14</v>
      </c>
      <c r="L2" t="s">
        <v>14</v>
      </c>
    </row>
    <row r="3" ht="34" spans="1:12">
      <c r="A3" s="1" t="s">
        <v>15</v>
      </c>
      <c r="B3" t="s">
        <v>16</v>
      </c>
      <c r="C3" t="str">
        <f t="shared" si="0"/>
        <v>OS</v>
      </c>
      <c r="D3">
        <v>5</v>
      </c>
      <c r="E3" t="str">
        <f t="shared" si="1"/>
        <v>Consistent</v>
      </c>
      <c r="F3" t="str">
        <f t="shared" si="2"/>
        <v>Low</v>
      </c>
      <c r="G3" t="str">
        <f t="shared" si="3"/>
        <v>MODERATE</v>
      </c>
      <c r="H3">
        <v>0</v>
      </c>
      <c r="I3">
        <v>1</v>
      </c>
      <c r="J3">
        <v>0</v>
      </c>
      <c r="K3" t="s">
        <v>14</v>
      </c>
      <c r="L3" t="s">
        <v>14</v>
      </c>
    </row>
    <row r="4" ht="34" spans="1:12">
      <c r="A4" s="1" t="s">
        <v>17</v>
      </c>
      <c r="B4" t="s">
        <v>13</v>
      </c>
      <c r="C4" t="str">
        <f t="shared" si="0"/>
        <v>TS</v>
      </c>
      <c r="D4">
        <v>5</v>
      </c>
      <c r="E4" t="str">
        <f t="shared" si="1"/>
        <v>Inconsistent</v>
      </c>
      <c r="F4" t="s">
        <v>18</v>
      </c>
      <c r="G4" t="str">
        <f t="shared" si="3"/>
        <v>LOW</v>
      </c>
      <c r="H4">
        <v>1</v>
      </c>
      <c r="I4">
        <v>0</v>
      </c>
      <c r="J4">
        <v>1</v>
      </c>
      <c r="K4">
        <v>1</v>
      </c>
      <c r="L4" t="s">
        <v>14</v>
      </c>
    </row>
    <row r="5" ht="51" spans="1:12">
      <c r="A5" s="1" t="s">
        <v>19</v>
      </c>
      <c r="B5" t="s">
        <v>13</v>
      </c>
      <c r="C5" t="str">
        <f t="shared" si="0"/>
        <v>TS</v>
      </c>
      <c r="D5">
        <v>5</v>
      </c>
      <c r="E5" t="str">
        <f t="shared" si="1"/>
        <v>Inconsistent</v>
      </c>
      <c r="F5" t="str">
        <f t="shared" si="2"/>
        <v>High</v>
      </c>
      <c r="G5" t="str">
        <f t="shared" si="3"/>
        <v>MODERATE</v>
      </c>
      <c r="H5">
        <v>0</v>
      </c>
      <c r="I5">
        <v>0</v>
      </c>
      <c r="J5">
        <v>1</v>
      </c>
      <c r="K5" t="s">
        <v>14</v>
      </c>
      <c r="L5" t="s">
        <v>14</v>
      </c>
    </row>
    <row r="6" ht="17" spans="1:12">
      <c r="A6" s="1" t="s">
        <v>20</v>
      </c>
      <c r="B6" t="s">
        <v>16</v>
      </c>
      <c r="C6" t="str">
        <f t="shared" si="0"/>
        <v>OS</v>
      </c>
      <c r="D6">
        <v>5</v>
      </c>
      <c r="E6" t="str">
        <f t="shared" si="1"/>
        <v>Consistent</v>
      </c>
      <c r="F6" t="str">
        <f t="shared" si="2"/>
        <v>Low</v>
      </c>
      <c r="G6" t="str">
        <f t="shared" si="3"/>
        <v>MODERATE</v>
      </c>
      <c r="H6">
        <v>0</v>
      </c>
      <c r="I6">
        <v>0</v>
      </c>
      <c r="J6">
        <v>1</v>
      </c>
      <c r="K6" t="s">
        <v>14</v>
      </c>
      <c r="L6" t="s">
        <v>14</v>
      </c>
    </row>
    <row r="7" ht="17" spans="1:12">
      <c r="A7" s="1" t="s">
        <v>21</v>
      </c>
      <c r="B7" t="s">
        <v>16</v>
      </c>
      <c r="C7" t="str">
        <f t="shared" si="0"/>
        <v>OS</v>
      </c>
      <c r="D7">
        <v>5</v>
      </c>
      <c r="E7" t="str">
        <f t="shared" si="1"/>
        <v>Consistent</v>
      </c>
      <c r="F7" t="str">
        <f t="shared" si="2"/>
        <v>Low</v>
      </c>
      <c r="G7" t="str">
        <f t="shared" si="3"/>
        <v>MODERATE</v>
      </c>
      <c r="H7">
        <v>1</v>
      </c>
      <c r="I7">
        <v>0</v>
      </c>
      <c r="J7">
        <v>1</v>
      </c>
      <c r="K7" t="s">
        <v>14</v>
      </c>
      <c r="L7" t="s">
        <v>14</v>
      </c>
    </row>
    <row r="8" ht="34" spans="1:12">
      <c r="A8" s="1" t="s">
        <v>22</v>
      </c>
      <c r="B8" t="s">
        <v>16</v>
      </c>
      <c r="C8" t="str">
        <f t="shared" si="0"/>
        <v>OS</v>
      </c>
      <c r="D8">
        <v>5</v>
      </c>
      <c r="E8" t="str">
        <f t="shared" si="1"/>
        <v>Consistent</v>
      </c>
      <c r="F8" t="str">
        <f t="shared" si="2"/>
        <v>Low</v>
      </c>
      <c r="G8" t="str">
        <f t="shared" si="3"/>
        <v>MODERATE</v>
      </c>
      <c r="H8">
        <v>0</v>
      </c>
      <c r="I8">
        <v>0</v>
      </c>
      <c r="J8">
        <v>1</v>
      </c>
      <c r="K8" t="s">
        <v>14</v>
      </c>
      <c r="L8" t="s">
        <v>14</v>
      </c>
    </row>
    <row r="9" ht="84" spans="1:12">
      <c r="A9" s="1" t="s">
        <v>23</v>
      </c>
      <c r="B9" t="s">
        <v>16</v>
      </c>
      <c r="C9" t="str">
        <f t="shared" si="0"/>
        <v>OS</v>
      </c>
      <c r="D9">
        <v>5</v>
      </c>
      <c r="E9" t="str">
        <f t="shared" si="1"/>
        <v>Consistent</v>
      </c>
      <c r="F9" t="str">
        <f t="shared" si="2"/>
        <v>Low</v>
      </c>
      <c r="G9" t="str">
        <f t="shared" si="3"/>
        <v>MODERATE</v>
      </c>
      <c r="H9">
        <v>1</v>
      </c>
      <c r="I9">
        <v>1</v>
      </c>
      <c r="J9">
        <v>1</v>
      </c>
      <c r="K9" t="s">
        <v>14</v>
      </c>
      <c r="L9" t="s">
        <v>14</v>
      </c>
    </row>
    <row r="10" ht="34" spans="1:12">
      <c r="A10" s="1" t="s">
        <v>24</v>
      </c>
      <c r="B10" t="s">
        <v>16</v>
      </c>
      <c r="C10" t="str">
        <f t="shared" si="0"/>
        <v>OS</v>
      </c>
      <c r="D10">
        <v>5</v>
      </c>
      <c r="E10" t="str">
        <f t="shared" si="1"/>
        <v>Consistent</v>
      </c>
      <c r="F10" t="str">
        <f t="shared" si="2"/>
        <v>Low</v>
      </c>
      <c r="G10" t="str">
        <f t="shared" si="3"/>
        <v>MODERATE</v>
      </c>
      <c r="H10">
        <v>0</v>
      </c>
      <c r="I10">
        <v>1</v>
      </c>
      <c r="J10">
        <v>0</v>
      </c>
      <c r="K10" t="s">
        <v>14</v>
      </c>
      <c r="L10" t="s">
        <v>14</v>
      </c>
    </row>
    <row r="11" ht="34" spans="1:12">
      <c r="A11" s="1" t="s">
        <v>25</v>
      </c>
      <c r="B11" t="s">
        <v>16</v>
      </c>
      <c r="C11" t="str">
        <f t="shared" si="0"/>
        <v>OS</v>
      </c>
      <c r="D11">
        <v>5</v>
      </c>
      <c r="E11" t="str">
        <f t="shared" si="1"/>
        <v>Consistent</v>
      </c>
      <c r="F11" t="str">
        <f t="shared" si="2"/>
        <v>Low</v>
      </c>
      <c r="G11" t="str">
        <f t="shared" si="3"/>
        <v>MODERATE</v>
      </c>
      <c r="H11">
        <v>0</v>
      </c>
      <c r="I11">
        <v>0</v>
      </c>
      <c r="J11">
        <v>1</v>
      </c>
      <c r="K11" t="s">
        <v>14</v>
      </c>
      <c r="L11" t="s">
        <v>14</v>
      </c>
    </row>
    <row r="12" ht="51" spans="1:12">
      <c r="A12" s="1" t="s">
        <v>26</v>
      </c>
      <c r="B12" t="s">
        <v>13</v>
      </c>
      <c r="C12" t="str">
        <f t="shared" si="0"/>
        <v>TS</v>
      </c>
      <c r="D12">
        <v>4</v>
      </c>
      <c r="E12" t="str">
        <f t="shared" si="1"/>
        <v>Partially Consistent</v>
      </c>
      <c r="F12" t="str">
        <f t="shared" si="2"/>
        <v>High</v>
      </c>
      <c r="G12" t="str">
        <f t="shared" si="3"/>
        <v>HIGH</v>
      </c>
      <c r="H12">
        <v>0</v>
      </c>
      <c r="I12">
        <v>1</v>
      </c>
      <c r="J12">
        <v>1</v>
      </c>
      <c r="K12" t="s">
        <v>14</v>
      </c>
      <c r="L12" t="s">
        <v>14</v>
      </c>
    </row>
    <row r="13" ht="34" spans="1:12">
      <c r="A13" s="1" t="s">
        <v>27</v>
      </c>
      <c r="B13" t="s">
        <v>16</v>
      </c>
      <c r="C13" t="str">
        <f t="shared" si="0"/>
        <v>OS</v>
      </c>
      <c r="D13">
        <v>4</v>
      </c>
      <c r="E13" t="str">
        <f t="shared" si="1"/>
        <v>Partially Consistent</v>
      </c>
      <c r="F13" t="str">
        <f t="shared" si="2"/>
        <v>Low</v>
      </c>
      <c r="G13" t="str">
        <f t="shared" si="3"/>
        <v>MODERATE</v>
      </c>
      <c r="H13">
        <v>0</v>
      </c>
      <c r="I13">
        <v>1</v>
      </c>
      <c r="J13">
        <v>0</v>
      </c>
      <c r="K13" t="s">
        <v>14</v>
      </c>
      <c r="L13" t="s">
        <v>14</v>
      </c>
    </row>
    <row r="14" ht="17" spans="1:12">
      <c r="A14" s="1" t="s">
        <v>28</v>
      </c>
      <c r="B14" t="s">
        <v>16</v>
      </c>
      <c r="C14" t="str">
        <f t="shared" si="0"/>
        <v>OS</v>
      </c>
      <c r="D14">
        <v>4</v>
      </c>
      <c r="E14" t="str">
        <f t="shared" si="1"/>
        <v>Partially Consistent</v>
      </c>
      <c r="F14" t="str">
        <f t="shared" si="2"/>
        <v>Low</v>
      </c>
      <c r="G14" t="str">
        <f t="shared" si="3"/>
        <v>MODERATE</v>
      </c>
      <c r="H14">
        <v>0</v>
      </c>
      <c r="I14">
        <v>1</v>
      </c>
      <c r="J14">
        <v>1</v>
      </c>
      <c r="K14" t="s">
        <v>14</v>
      </c>
      <c r="L14" t="s">
        <v>14</v>
      </c>
    </row>
    <row r="15" ht="34" spans="1:12">
      <c r="A15" s="1" t="s">
        <v>29</v>
      </c>
      <c r="B15" t="s">
        <v>30</v>
      </c>
      <c r="C15" t="str">
        <f t="shared" si="0"/>
        <v>OS</v>
      </c>
      <c r="D15">
        <v>4</v>
      </c>
      <c r="E15" t="str">
        <f t="shared" si="1"/>
        <v>Inconsistent</v>
      </c>
      <c r="F15" t="str">
        <f t="shared" si="2"/>
        <v>Low</v>
      </c>
      <c r="G15" t="str">
        <f t="shared" si="3"/>
        <v>LOW</v>
      </c>
      <c r="H15">
        <v>0</v>
      </c>
      <c r="I15">
        <v>0</v>
      </c>
      <c r="J15">
        <v>1</v>
      </c>
      <c r="K15" t="s">
        <v>14</v>
      </c>
      <c r="L15" t="s">
        <v>14</v>
      </c>
    </row>
    <row r="16" ht="34" spans="1:12">
      <c r="A16" s="1" t="s">
        <v>31</v>
      </c>
      <c r="B16" t="s">
        <v>16</v>
      </c>
      <c r="C16" t="str">
        <f t="shared" si="0"/>
        <v>OS</v>
      </c>
      <c r="D16">
        <v>4</v>
      </c>
      <c r="E16" t="str">
        <f t="shared" si="1"/>
        <v>Partially Consistent</v>
      </c>
      <c r="F16" t="str">
        <f t="shared" si="2"/>
        <v>Low</v>
      </c>
      <c r="G16" t="str">
        <f t="shared" si="3"/>
        <v>MODERATE</v>
      </c>
      <c r="H16">
        <v>0</v>
      </c>
      <c r="I16">
        <v>1</v>
      </c>
      <c r="J16">
        <v>0</v>
      </c>
      <c r="K16" t="s">
        <v>14</v>
      </c>
      <c r="L16" t="s">
        <v>14</v>
      </c>
    </row>
    <row r="17" ht="34" spans="1:12">
      <c r="A17" s="1" t="s">
        <v>32</v>
      </c>
      <c r="B17" t="s">
        <v>13</v>
      </c>
      <c r="C17" t="str">
        <f t="shared" si="0"/>
        <v>TS</v>
      </c>
      <c r="D17">
        <v>4</v>
      </c>
      <c r="E17" t="str">
        <f t="shared" si="1"/>
        <v>Partially Consistent</v>
      </c>
      <c r="F17" t="str">
        <f t="shared" si="2"/>
        <v>High</v>
      </c>
      <c r="G17" t="str">
        <f t="shared" si="3"/>
        <v>HIGH</v>
      </c>
      <c r="H17">
        <v>0</v>
      </c>
      <c r="I17">
        <v>0</v>
      </c>
      <c r="J17">
        <v>1</v>
      </c>
      <c r="K17" t="s">
        <v>14</v>
      </c>
      <c r="L17" t="s">
        <v>14</v>
      </c>
    </row>
    <row r="18" ht="17" spans="1:12">
      <c r="A18" s="1" t="s">
        <v>33</v>
      </c>
      <c r="B18" t="s">
        <v>13</v>
      </c>
      <c r="C18" t="str">
        <f t="shared" si="0"/>
        <v>TS</v>
      </c>
      <c r="D18">
        <v>4</v>
      </c>
      <c r="E18" t="str">
        <f t="shared" si="1"/>
        <v>Partially Consistent</v>
      </c>
      <c r="F18" t="s">
        <v>18</v>
      </c>
      <c r="G18" t="str">
        <f t="shared" si="3"/>
        <v>LOW</v>
      </c>
      <c r="H18">
        <v>1</v>
      </c>
      <c r="I18">
        <v>0</v>
      </c>
      <c r="J18">
        <v>1</v>
      </c>
      <c r="K18" t="s">
        <v>14</v>
      </c>
      <c r="L18" t="s">
        <v>14</v>
      </c>
    </row>
    <row r="19" ht="17" spans="1:12">
      <c r="A19" s="1" t="s">
        <v>34</v>
      </c>
      <c r="B19" t="s">
        <v>16</v>
      </c>
      <c r="C19" t="str">
        <f t="shared" si="0"/>
        <v>OS</v>
      </c>
      <c r="D19">
        <v>4</v>
      </c>
      <c r="E19" t="str">
        <f t="shared" si="1"/>
        <v>Partially Consistent</v>
      </c>
      <c r="F19" t="str">
        <f t="shared" si="2"/>
        <v>Low</v>
      </c>
      <c r="G19" t="str">
        <f t="shared" si="3"/>
        <v>MODERATE</v>
      </c>
      <c r="H19">
        <v>0</v>
      </c>
      <c r="I19">
        <v>1</v>
      </c>
      <c r="J19">
        <v>0</v>
      </c>
      <c r="K19" t="s">
        <v>14</v>
      </c>
      <c r="L19" t="s">
        <v>14</v>
      </c>
    </row>
    <row r="20" ht="34" spans="1:12">
      <c r="A20" s="1" t="s">
        <v>35</v>
      </c>
      <c r="B20" t="s">
        <v>16</v>
      </c>
      <c r="C20" t="str">
        <f t="shared" si="0"/>
        <v>OS</v>
      </c>
      <c r="D20">
        <v>4</v>
      </c>
      <c r="E20" t="str">
        <f t="shared" si="1"/>
        <v>Partially Consistent</v>
      </c>
      <c r="F20" t="str">
        <f t="shared" si="2"/>
        <v>Low</v>
      </c>
      <c r="G20" t="str">
        <f t="shared" si="3"/>
        <v>MODERATE</v>
      </c>
      <c r="H20">
        <v>1</v>
      </c>
      <c r="I20">
        <v>0</v>
      </c>
      <c r="J20">
        <v>1</v>
      </c>
      <c r="K20" t="s">
        <v>14</v>
      </c>
      <c r="L20" t="s">
        <v>14</v>
      </c>
    </row>
    <row r="21" ht="17" spans="1:12">
      <c r="A21" s="1" t="s">
        <v>36</v>
      </c>
      <c r="B21" t="s">
        <v>16</v>
      </c>
      <c r="C21" t="str">
        <f t="shared" si="0"/>
        <v>OS</v>
      </c>
      <c r="D21">
        <v>4</v>
      </c>
      <c r="E21" t="str">
        <f t="shared" si="1"/>
        <v>Partially Consistent</v>
      </c>
      <c r="F21" t="str">
        <f t="shared" si="2"/>
        <v>Low</v>
      </c>
      <c r="G21" t="str">
        <f t="shared" si="3"/>
        <v>MODERATE</v>
      </c>
      <c r="H21">
        <v>0</v>
      </c>
      <c r="I21">
        <v>0</v>
      </c>
      <c r="J21">
        <v>1</v>
      </c>
      <c r="K21" t="s">
        <v>14</v>
      </c>
      <c r="L21" t="s">
        <v>14</v>
      </c>
    </row>
    <row r="22" ht="34" spans="1:12">
      <c r="A22" s="1" t="s">
        <v>37</v>
      </c>
      <c r="B22" t="s">
        <v>13</v>
      </c>
      <c r="C22" t="str">
        <f t="shared" si="0"/>
        <v>TS</v>
      </c>
      <c r="D22">
        <v>3</v>
      </c>
      <c r="E22" t="str">
        <f t="shared" si="1"/>
        <v>Consistent</v>
      </c>
      <c r="F22" t="str">
        <f t="shared" si="2"/>
        <v>High</v>
      </c>
      <c r="G22" t="str">
        <f t="shared" si="3"/>
        <v>HIGH</v>
      </c>
      <c r="H22">
        <v>0</v>
      </c>
      <c r="I22">
        <v>0</v>
      </c>
      <c r="J22">
        <v>1</v>
      </c>
      <c r="K22" t="s">
        <v>14</v>
      </c>
      <c r="L22" t="s">
        <v>14</v>
      </c>
    </row>
    <row r="23" ht="17" spans="1:12">
      <c r="A23" s="1" t="s">
        <v>38</v>
      </c>
      <c r="B23" t="s">
        <v>30</v>
      </c>
      <c r="C23" t="str">
        <f t="shared" si="0"/>
        <v>OS</v>
      </c>
      <c r="D23">
        <v>3</v>
      </c>
      <c r="E23" t="str">
        <f t="shared" si="1"/>
        <v>Inconsistent</v>
      </c>
      <c r="F23" t="str">
        <f t="shared" si="2"/>
        <v>Low</v>
      </c>
      <c r="G23" t="str">
        <f t="shared" si="3"/>
        <v>LOW</v>
      </c>
      <c r="H23">
        <v>0</v>
      </c>
      <c r="I23">
        <v>0</v>
      </c>
      <c r="J23">
        <v>1</v>
      </c>
      <c r="K23">
        <v>1</v>
      </c>
      <c r="L23" t="s">
        <v>14</v>
      </c>
    </row>
    <row r="24" ht="17" spans="1:12">
      <c r="A24" s="1" t="s">
        <v>39</v>
      </c>
      <c r="B24" t="s">
        <v>30</v>
      </c>
      <c r="C24" t="str">
        <f t="shared" si="0"/>
        <v>OS</v>
      </c>
      <c r="D24">
        <v>3</v>
      </c>
      <c r="E24" t="str">
        <f t="shared" si="1"/>
        <v>Inconsistent</v>
      </c>
      <c r="F24" t="str">
        <f t="shared" si="2"/>
        <v>Low</v>
      </c>
      <c r="G24" t="str">
        <f t="shared" si="3"/>
        <v>LOW</v>
      </c>
      <c r="H24">
        <v>0</v>
      </c>
      <c r="I24">
        <v>0</v>
      </c>
      <c r="J24">
        <v>1</v>
      </c>
      <c r="K24" t="s">
        <v>14</v>
      </c>
      <c r="L24" t="s">
        <v>14</v>
      </c>
    </row>
    <row r="25" ht="34" spans="1:12">
      <c r="A25" s="1" t="s">
        <v>40</v>
      </c>
      <c r="B25" t="s">
        <v>13</v>
      </c>
      <c r="C25" t="str">
        <f t="shared" si="0"/>
        <v>TS</v>
      </c>
      <c r="D25">
        <v>3</v>
      </c>
      <c r="E25" t="str">
        <f t="shared" si="1"/>
        <v>Consistent</v>
      </c>
      <c r="F25" t="str">
        <f t="shared" si="2"/>
        <v>High</v>
      </c>
      <c r="G25" t="str">
        <f t="shared" si="3"/>
        <v>HIGH</v>
      </c>
      <c r="H25">
        <v>0</v>
      </c>
      <c r="I25">
        <v>0</v>
      </c>
      <c r="J25">
        <v>1</v>
      </c>
      <c r="K25" t="s">
        <v>14</v>
      </c>
      <c r="L25" t="s">
        <v>14</v>
      </c>
    </row>
    <row r="26" ht="34" spans="1:12">
      <c r="A26" s="1" t="s">
        <v>41</v>
      </c>
      <c r="B26" t="s">
        <v>13</v>
      </c>
      <c r="C26" t="str">
        <f t="shared" si="0"/>
        <v>TS</v>
      </c>
      <c r="D26">
        <v>3</v>
      </c>
      <c r="E26" t="str">
        <f t="shared" si="1"/>
        <v>Consistent</v>
      </c>
      <c r="F26" t="str">
        <f t="shared" si="2"/>
        <v>High</v>
      </c>
      <c r="G26" t="str">
        <f t="shared" si="3"/>
        <v>HIGH</v>
      </c>
      <c r="H26">
        <v>0</v>
      </c>
      <c r="I26">
        <v>0</v>
      </c>
      <c r="J26">
        <v>1</v>
      </c>
      <c r="K26" t="s">
        <v>14</v>
      </c>
      <c r="L26" t="s">
        <v>14</v>
      </c>
    </row>
    <row r="27" ht="17" spans="1:12">
      <c r="A27" s="1" t="s">
        <v>42</v>
      </c>
      <c r="B27" t="s">
        <v>13</v>
      </c>
      <c r="C27" t="str">
        <f t="shared" si="0"/>
        <v>TS</v>
      </c>
      <c r="D27">
        <v>3</v>
      </c>
      <c r="E27" t="str">
        <f t="shared" si="1"/>
        <v>Consistent</v>
      </c>
      <c r="F27" t="str">
        <f t="shared" si="2"/>
        <v>High</v>
      </c>
      <c r="G27" t="str">
        <f t="shared" si="3"/>
        <v>HIGH</v>
      </c>
      <c r="H27">
        <v>0</v>
      </c>
      <c r="I27">
        <v>0</v>
      </c>
      <c r="J27">
        <v>1</v>
      </c>
      <c r="K27" t="s">
        <v>14</v>
      </c>
      <c r="L27" t="s">
        <v>14</v>
      </c>
    </row>
    <row r="28" ht="17" spans="1:12">
      <c r="A28" s="1" t="s">
        <v>43</v>
      </c>
      <c r="B28" t="s">
        <v>13</v>
      </c>
      <c r="C28" t="str">
        <f t="shared" si="0"/>
        <v>TS</v>
      </c>
      <c r="D28">
        <v>3</v>
      </c>
      <c r="E28" t="str">
        <f t="shared" si="1"/>
        <v>Consistent</v>
      </c>
      <c r="F28" t="str">
        <f t="shared" si="2"/>
        <v>High</v>
      </c>
      <c r="G28" t="str">
        <f t="shared" si="3"/>
        <v>HIGH</v>
      </c>
      <c r="H28">
        <v>0</v>
      </c>
      <c r="I28">
        <v>1</v>
      </c>
      <c r="J28">
        <v>0</v>
      </c>
      <c r="K28" t="s">
        <v>14</v>
      </c>
      <c r="L28" t="s">
        <v>14</v>
      </c>
    </row>
    <row r="29" ht="34" spans="1:12">
      <c r="A29" s="1" t="s">
        <v>44</v>
      </c>
      <c r="B29" t="s">
        <v>30</v>
      </c>
      <c r="C29" t="str">
        <f t="shared" si="0"/>
        <v>OS</v>
      </c>
      <c r="D29">
        <v>1</v>
      </c>
      <c r="E29" t="str">
        <f t="shared" si="1"/>
        <v>Consistent</v>
      </c>
      <c r="F29" t="str">
        <f t="shared" si="2"/>
        <v>Low</v>
      </c>
      <c r="G29" t="str">
        <f t="shared" si="3"/>
        <v>MODERATE</v>
      </c>
      <c r="H29">
        <v>0</v>
      </c>
      <c r="I29">
        <v>0</v>
      </c>
      <c r="J29">
        <v>1</v>
      </c>
      <c r="K29" t="s">
        <v>14</v>
      </c>
      <c r="L29" t="s">
        <v>14</v>
      </c>
    </row>
    <row r="30" ht="17" spans="1:12">
      <c r="A30" s="1" t="s">
        <v>45</v>
      </c>
      <c r="B30" t="s">
        <v>30</v>
      </c>
      <c r="C30" t="str">
        <f t="shared" si="0"/>
        <v>OS</v>
      </c>
      <c r="D30">
        <v>1</v>
      </c>
      <c r="E30" t="str">
        <f t="shared" si="1"/>
        <v>Consistent</v>
      </c>
      <c r="F30" t="str">
        <f t="shared" si="2"/>
        <v>Low</v>
      </c>
      <c r="G30" t="str">
        <f t="shared" si="3"/>
        <v>MODERATE</v>
      </c>
      <c r="H30">
        <v>0</v>
      </c>
      <c r="I30">
        <v>0</v>
      </c>
      <c r="J30">
        <v>1</v>
      </c>
      <c r="K30" t="s">
        <v>14</v>
      </c>
      <c r="L30" t="s">
        <v>14</v>
      </c>
    </row>
    <row r="31" ht="51" spans="1:12">
      <c r="A31" s="1" t="s">
        <v>46</v>
      </c>
      <c r="B31" t="s">
        <v>30</v>
      </c>
      <c r="C31" t="str">
        <f t="shared" si="0"/>
        <v>OS</v>
      </c>
      <c r="D31">
        <v>1</v>
      </c>
      <c r="E31" t="str">
        <f t="shared" si="1"/>
        <v>Consistent</v>
      </c>
      <c r="F31" t="str">
        <f t="shared" si="2"/>
        <v>Low</v>
      </c>
      <c r="G31" t="str">
        <f t="shared" si="3"/>
        <v>MODERATE</v>
      </c>
      <c r="H31">
        <v>0</v>
      </c>
      <c r="I31">
        <v>0</v>
      </c>
      <c r="J31">
        <v>1</v>
      </c>
      <c r="K31" t="s">
        <v>14</v>
      </c>
      <c r="L31" t="s">
        <v>14</v>
      </c>
    </row>
    <row r="32" ht="34" spans="1:12">
      <c r="A32" s="1" t="s">
        <v>47</v>
      </c>
      <c r="B32" t="s">
        <v>16</v>
      </c>
      <c r="C32" t="str">
        <f t="shared" si="0"/>
        <v>OS</v>
      </c>
      <c r="D32">
        <v>1</v>
      </c>
      <c r="E32" t="str">
        <f t="shared" si="1"/>
        <v>Inconsistent</v>
      </c>
      <c r="F32" t="str">
        <f t="shared" si="2"/>
        <v>Low</v>
      </c>
      <c r="G32" t="str">
        <f t="shared" si="3"/>
        <v>LOW</v>
      </c>
      <c r="H32">
        <v>0</v>
      </c>
      <c r="I32">
        <v>1</v>
      </c>
      <c r="J32">
        <v>0</v>
      </c>
      <c r="K32" t="s">
        <v>14</v>
      </c>
      <c r="L32" t="s">
        <v>14</v>
      </c>
    </row>
    <row r="33" ht="17" spans="1:12">
      <c r="A33" s="1" t="s">
        <v>48</v>
      </c>
      <c r="B33" t="s">
        <v>30</v>
      </c>
      <c r="C33" t="str">
        <f t="shared" si="0"/>
        <v>OS</v>
      </c>
      <c r="D33">
        <v>1</v>
      </c>
      <c r="E33" t="str">
        <f t="shared" si="1"/>
        <v>Consistent</v>
      </c>
      <c r="F33" t="str">
        <f t="shared" si="2"/>
        <v>Low</v>
      </c>
      <c r="G33" t="str">
        <f t="shared" si="3"/>
        <v>MODERATE</v>
      </c>
      <c r="H33">
        <v>0</v>
      </c>
      <c r="I33">
        <v>0</v>
      </c>
      <c r="J33">
        <v>1</v>
      </c>
      <c r="K33" t="s">
        <v>14</v>
      </c>
      <c r="L33" t="s">
        <v>14</v>
      </c>
    </row>
    <row r="34" ht="34" spans="1:12">
      <c r="A34" s="1" t="s">
        <v>49</v>
      </c>
      <c r="B34" t="s">
        <v>30</v>
      </c>
      <c r="C34" t="str">
        <f t="shared" si="0"/>
        <v>OS</v>
      </c>
      <c r="D34">
        <v>1</v>
      </c>
      <c r="E34" t="str">
        <f t="shared" si="1"/>
        <v>Consistent</v>
      </c>
      <c r="F34" t="str">
        <f t="shared" si="2"/>
        <v>Low</v>
      </c>
      <c r="G34" t="str">
        <f t="shared" si="3"/>
        <v>MODERATE</v>
      </c>
      <c r="H34">
        <v>1</v>
      </c>
      <c r="I34">
        <v>0</v>
      </c>
      <c r="J34">
        <v>1</v>
      </c>
      <c r="K34" t="s">
        <v>14</v>
      </c>
      <c r="L34" t="s">
        <v>14</v>
      </c>
    </row>
    <row r="35" ht="17" spans="1:12">
      <c r="A35" s="1" t="s">
        <v>50</v>
      </c>
      <c r="B35" t="s">
        <v>30</v>
      </c>
      <c r="C35" t="str">
        <f t="shared" si="0"/>
        <v>OS</v>
      </c>
      <c r="D35">
        <v>1</v>
      </c>
      <c r="E35" t="str">
        <f t="shared" si="1"/>
        <v>Consistent</v>
      </c>
      <c r="F35" t="str">
        <f t="shared" si="2"/>
        <v>Low</v>
      </c>
      <c r="G35" t="str">
        <f t="shared" si="3"/>
        <v>MODERATE</v>
      </c>
      <c r="H35">
        <v>0</v>
      </c>
      <c r="I35">
        <v>0</v>
      </c>
      <c r="J35">
        <v>1</v>
      </c>
      <c r="K35" t="s">
        <v>14</v>
      </c>
      <c r="L35" t="s">
        <v>14</v>
      </c>
    </row>
    <row r="36" ht="17" spans="1:12">
      <c r="A36" s="1" t="s">
        <v>51</v>
      </c>
      <c r="B36" t="s">
        <v>30</v>
      </c>
      <c r="C36" t="str">
        <f t="shared" si="0"/>
        <v>OS</v>
      </c>
      <c r="D36">
        <v>1</v>
      </c>
      <c r="E36" t="str">
        <f t="shared" si="1"/>
        <v>Consistent</v>
      </c>
      <c r="F36" t="str">
        <f t="shared" si="2"/>
        <v>Low</v>
      </c>
      <c r="G36" t="str">
        <f t="shared" si="3"/>
        <v>MODERATE</v>
      </c>
      <c r="H36">
        <v>1</v>
      </c>
      <c r="I36">
        <v>0</v>
      </c>
      <c r="J36">
        <v>1</v>
      </c>
      <c r="K36" t="s">
        <v>14</v>
      </c>
      <c r="L36" t="s">
        <v>14</v>
      </c>
    </row>
    <row r="37" ht="51" spans="1:12">
      <c r="A37" s="1" t="s">
        <v>52</v>
      </c>
      <c r="B37" t="s">
        <v>30</v>
      </c>
      <c r="C37" t="str">
        <f t="shared" si="0"/>
        <v>OS</v>
      </c>
      <c r="D37">
        <v>1</v>
      </c>
      <c r="E37" t="str">
        <f t="shared" si="1"/>
        <v>Consistent</v>
      </c>
      <c r="F37" t="str">
        <f t="shared" si="2"/>
        <v>Low</v>
      </c>
      <c r="G37" t="str">
        <f t="shared" si="3"/>
        <v>MODERATE</v>
      </c>
      <c r="H37">
        <v>0</v>
      </c>
      <c r="I37">
        <v>0</v>
      </c>
      <c r="J37">
        <v>1</v>
      </c>
      <c r="K37" t="s">
        <v>14</v>
      </c>
      <c r="L37" t="s">
        <v>14</v>
      </c>
    </row>
    <row r="38" ht="34" spans="1:12">
      <c r="A38" s="1" t="s">
        <v>53</v>
      </c>
      <c r="B38" t="s">
        <v>13</v>
      </c>
      <c r="C38" t="str">
        <f t="shared" si="0"/>
        <v>TS</v>
      </c>
      <c r="D38">
        <v>1</v>
      </c>
      <c r="E38" t="str">
        <f t="shared" si="1"/>
        <v>Inconsistent</v>
      </c>
      <c r="F38" t="s">
        <v>18</v>
      </c>
      <c r="G38" t="str">
        <f t="shared" si="3"/>
        <v>LOW</v>
      </c>
      <c r="H38">
        <v>0</v>
      </c>
      <c r="I38">
        <v>1</v>
      </c>
      <c r="J38">
        <v>0</v>
      </c>
      <c r="K38">
        <v>1</v>
      </c>
      <c r="L38"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2025-05-23T12:42:00Z</dcterms:created>
  <dcterms:modified xsi:type="dcterms:W3CDTF">2025-05-23T17:49:01Z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1C3195D9FF306D378D44306882C1F6E7_42</vt:lpwstr>
  </property>
  <property fmtid="{D5CDD505-2E9C-101B-9397-08002B2CF9AE}" pid="4" name="KSOProductBuildVer">
    <vt:lpwstr>1033-6.13.1.8710</vt:lpwstr>
  </property>
</Properties>
</file>