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<sst xmlns="http://schemas.openxmlformats.org/spreadsheetml/2006/main" count="179" uniqueCount="51">
  <si>
    <t>Review</t>
  </si>
  <si>
    <t>Sentiment</t>
  </si>
  <si>
    <t>Sidedness</t>
  </si>
  <si>
    <t>Star Rating</t>
  </si>
  <si>
    <t>Consistency</t>
  </si>
  <si>
    <t>Info Diversity</t>
  </si>
  <si>
    <t>PERCEIVED HELPFULNESS</t>
  </si>
  <si>
    <t>PD_F</t>
  </si>
  <si>
    <t>PD_F_TMP</t>
  </si>
  <si>
    <t>MAN_UI</t>
  </si>
  <si>
    <t>SPM</t>
  </si>
  <si>
    <t>CREDIBILITY</t>
  </si>
  <si>
    <t>self-love quotes to inspire and uplift, perfect for girls:" you are your own priority," " self-love is the key to a joyful life," and" love yourself enough to set boundaries," among others.</t>
  </si>
  <si>
    <t>POSITIVE</t>
  </si>
  <si>
    <t/>
  </si>
  <si>
    <t>lightweight and easy to carry, vibrant colors to choose from, perfect for outdoor picnic comfort: nice portability: very good durability: perfect</t>
  </si>
  <si>
    <t>durability: fabulous portability: nice comfort: great we will use it for our camp and for future picnick outdoor. not very cotton but it' s easy to carry and handy pick.</t>
  </si>
  <si>
    <t>sobrang bilis dumating maganda yong product pati kulay kung anong inorder mo na kulay yon ang binibigay nice nice</t>
  </si>
  <si>
    <t>maganda cya handy manipis peru water proof pang picknik talaga cyakeeps you dry on wet surfaces, perfect for outdoor activities, waterproof and durable, lightweight and easy to carry,</t>
  </si>
  <si>
    <t>the product is good for its price. mas manipis sa nabili ko dati but it serves it purpose. maayos naman sya nakapack.</t>
  </si>
  <si>
    <t>NEUTRAL</t>
  </si>
  <si>
    <t>i have yet to open it. still busy. hope everything is intact. thank you for the item. looking forward</t>
  </si>
  <si>
    <t>great for beach trips, vibrant colors to choose from, foldable design for easy storage, lightweight and easy to carry,</t>
  </si>
  <si>
    <t>convenient for picnics and camping, convenient for picnics and camping, provides a comfortable seating area, great for beach trips, lightweight and easy to carry, keeps you dry on wet surfaces,</t>
  </si>
  <si>
    <t>lightweight and easy to carry, provides a comfortable seating area, perfect for outdoor activities,</t>
  </si>
  <si>
    <t>it' s affordable but the quality is more like a pvc material. i prefer my first picnic mat but it' s ok i guess. delivery was fast</t>
  </si>
  <si>
    <t>the size is only for kids. so far so good. thanks</t>
  </si>
  <si>
    <t>this is a fantastic picnic mat that i highly recommend. it' s spacious, comfortable, durable, and stylish, making it the perfect companion for any outdoor gathering. while there are a few minor drawbacks, they are easily outweighed by the overall positive experience. i' m confident that the this will be a cherished part of my outdoor adventures for years to come.</t>
  </si>
  <si>
    <t>it is quote small for my liking. it is thick however it just feel like a thick table cloth. it still does the job. it would be better if the backside is not white so that it wont get easily be dirty</t>
  </si>
  <si>
    <t>perfect for outdoor activities,</t>
  </si>
  <si>
    <t>great for beach trips,</t>
  </si>
  <si>
    <t>nice packaging. . maganda sana kaya lang manipis ang picnic mat, yung plastic nya tipong mag babalat. .</t>
  </si>
  <si>
    <t>i will use it this weekend</t>
  </si>
  <si>
    <t>Low</t>
  </si>
  <si>
    <t>durability: of short duration. plastic portability: good comfort: nothing extra than sitting on normal ground</t>
  </si>
  <si>
    <t>comfort</t>
  </si>
  <si>
    <t>durability</t>
  </si>
  <si>
    <t>perfect for outdoor activities, great for beach trips, vibrant colors to choose from, lightweight and easy to carry,</t>
  </si>
  <si>
    <t>manipis lang pala. mas malaki at makapal yung lumang gamit ko. kaya pla mura.</t>
  </si>
  <si>
    <t>NEGATIVE</t>
  </si>
  <si>
    <t>the product looks disappointing! the material is very cheap! the size is very small, couldnt even fit 4 person sitting. i suggest to the seller to add the exact size of this item under your item description so that buyers should know what exactly is the type of product you ate selling.</t>
  </si>
  <si>
    <t>okay na for its price, may butas nga lang. it' s up to you kung iririsk mo pera mo</t>
  </si>
  <si>
    <t>keeps you dry on wet surfaces, appearance:. performance:.</t>
  </si>
  <si>
    <t>naku po, pang bata lang ito, at sobrang nipis, sayang pera, wag mag aksaya nang pinag hirapang pera</t>
  </si>
  <si>
    <t>panget ng item maliit manipis mukang higaan lang ng aso d pangtao sayang pera buti nlng mura lang. . . pagtiyagaan nlaang. . . wag kayo oorder masasaktang ka lang</t>
  </si>
  <si>
    <t>sobrang liit, sayang lang pera ninyo</t>
  </si>
  <si>
    <t>durability: mahuna</t>
  </si>
  <si>
    <t>disappointing sobrang liit</t>
  </si>
  <si>
    <t>order ko malaki 2mtrs x 3mts tas dumating1mtr x 1. 5mtrs</t>
  </si>
  <si>
    <t>i put directly to garbage</t>
  </si>
  <si>
    <t>send the correct item.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</si>
</sst>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0" borderId="0" xfId="0"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
  <sheetViews>
    <sheetView tabSelected="1" topLeftCell="A24" workbookViewId="0">
      <selection activeCell="B43" sqref="B43"/>
    </sheetView>
  </sheetViews>
  <sheetFormatPr defaultColWidth="9" defaultRowHeight="16.8"/>
  <cols>
    <col min="1" max="1" width="81.12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IF(B2="NEUTRAL","TS","OS")</f>
        <v>OS</v>
      </c>
      <c r="D2">
        <v>5</v>
      </c>
      <c r="E2" t="str">
        <f>IF(C2="TS",IF(D2=3,"Consistent",IF(OR(D2=2,D2=4),"Partially Consistent","Inconsistent")),IF(D2=3,"Inconsistent",IF(AND(D2=5,B2="POSITIVE"),"Consistent",IF(AND(D2=1,B2="NEGATIVE"),"Consistent",IF(AND(D2=4,B2="POSITIVE"),"Partially Consistent",IF(AND(D2=2,B2="NEGATIVE"),"Partially Consistent","Inconsistent"))))))</f>
        <v>Consistent</v>
      </c>
      <c r="F2" t="str">
        <f>IF(C2="TS","High","Low")</f>
        <v>Low</v>
      </c>
      <c r="G2" t="str">
        <f>IF(AND(B2="NEUTRAL",F2="Low"),"LOW",IF(AND(C2="TS",F2="High",D2=3),"HIGH",IF(AND(C2="TS",F2="High",OR(D2=2,D2=4)),"HIGH",IF(AND(C2="TS",F2="High",OR(D2=1,D2=5)),"MODERATE",IF(AND(C2="OS",E2="Consistent",OR(D2=1,D2=5)),"MODERATE",IF(AND(C2="OS",E2="Partially Consistent",OR(D2=2,D2=4)),"MODERATE","LOW"))))))</f>
        <v>MODERATE</v>
      </c>
      <c r="H2">
        <v>1</v>
      </c>
      <c r="I2">
        <v>0</v>
      </c>
      <c r="J2">
        <v>1</v>
      </c>
      <c r="K2" t="s">
        <v>14</v>
      </c>
      <c r="L2" t="s">
        <v>14</v>
      </c>
    </row>
    <row r="3" ht="34" spans="1:12">
      <c r="A3" s="1" t="s">
        <v>15</v>
      </c>
      <c r="B3" t="s">
        <v>13</v>
      </c>
      <c r="C3" t="str">
        <f>IF(B3="NEUTRAL","TS","OS")</f>
        <v>OS</v>
      </c>
      <c r="D3">
        <v>5</v>
      </c>
      <c r="E3" t="str">
        <f>IF(C3="TS",IF(D3=3,"Consistent",IF(OR(D3=2,D3=4),"Partially Consistent","Inconsistent")),IF(D3=3,"Inconsistent",IF(AND(D3=5,B3="POSITIVE"),"Consistent",IF(AND(D3=1,B3="NEGATIVE"),"Consistent",IF(AND(D3=4,B3="POSITIVE"),"Partially Consistent",IF(AND(D3=2,B3="NEGATIVE"),"Partially Consistent","Inconsistent"))))))</f>
        <v>Consistent</v>
      </c>
      <c r="F3" t="str">
        <f>IF(C3="TS","High","Low")</f>
        <v>Low</v>
      </c>
      <c r="G3" t="str">
        <f>IF(AND(B3="NEUTRAL",F3="Low"),"LOW",IF(AND(C3="TS",F3="High",D3=3),"HIGH",IF(AND(C3="TS",F3="High",OR(D3=2,D3=4)),"HIGH",IF(AND(C3="TS",F3="High",OR(D3=1,D3=5)),"MODERATE",IF(AND(C3="OS",E3="Consistent",OR(D3=1,D3=5)),"MODERATE",IF(AND(C3="OS",E3="Partially Consistent",OR(D3=2,D3=4)),"MODERATE","LOW"))))))</f>
        <v>MODERATE</v>
      </c>
      <c r="H3">
        <v>1</v>
      </c>
      <c r="I3">
        <v>0</v>
      </c>
      <c r="J3">
        <v>1</v>
      </c>
      <c r="K3" t="s">
        <v>14</v>
      </c>
      <c r="L3" t="s">
        <v>14</v>
      </c>
    </row>
    <row r="4" ht="34" spans="1:12">
      <c r="A4" s="1" t="s">
        <v>16</v>
      </c>
      <c r="B4" t="s">
        <v>13</v>
      </c>
      <c r="C4" t="str">
        <f>IF(B4="NEUTRAL","TS","OS")</f>
        <v>OS</v>
      </c>
      <c r="D4">
        <v>5</v>
      </c>
      <c r="E4" t="str">
        <f>IF(C4="TS",IF(D4=3,"Consistent",IF(OR(D4=2,D4=4),"Partially Consistent","Inconsistent")),IF(D4=3,"Inconsistent",IF(AND(D4=5,B4="POSITIVE"),"Consistent",IF(AND(D4=1,B4="NEGATIVE"),"Consistent",IF(AND(D4=4,B4="POSITIVE"),"Partially Consistent",IF(AND(D4=2,B4="NEGATIVE"),"Partially Consistent","Inconsistent"))))))</f>
        <v>Consistent</v>
      </c>
      <c r="F4" t="str">
        <f>IF(C4="TS","High","Low")</f>
        <v>Low</v>
      </c>
      <c r="G4" t="str">
        <f>IF(AND(B4="NEUTRAL",F4="Low"),"LOW",IF(AND(C4="TS",F4="High",D4=3),"HIGH",IF(AND(C4="TS",F4="High",OR(D4=2,D4=4)),"HIGH",IF(AND(C4="TS",F4="High",OR(D4=1,D4=5)),"MODERATE",IF(AND(C4="OS",E4="Consistent",OR(D4=1,D4=5)),"MODERATE",IF(AND(C4="OS",E4="Partially Consistent",OR(D4=2,D4=4)),"MODERATE","LOW"))))))</f>
        <v>MODERATE</v>
      </c>
      <c r="H4">
        <v>1</v>
      </c>
      <c r="I4">
        <v>0</v>
      </c>
      <c r="J4">
        <v>1</v>
      </c>
      <c r="K4" t="s">
        <v>14</v>
      </c>
      <c r="L4" t="s">
        <v>14</v>
      </c>
    </row>
    <row r="5" ht="34" spans="1:12">
      <c r="A5" s="1" t="s">
        <v>17</v>
      </c>
      <c r="B5" t="s">
        <v>13</v>
      </c>
      <c r="C5" t="str">
        <f>IF(B5="NEUTRAL","TS","OS")</f>
        <v>OS</v>
      </c>
      <c r="D5">
        <v>5</v>
      </c>
      <c r="E5" t="str">
        <f>IF(C5="TS",IF(D5=3,"Consistent",IF(OR(D5=2,D5=4),"Partially Consistent","Inconsistent")),IF(D5=3,"Inconsistent",IF(AND(D5=5,B5="POSITIVE"),"Consistent",IF(AND(D5=1,B5="NEGATIVE"),"Consistent",IF(AND(D5=4,B5="POSITIVE"),"Partially Consistent",IF(AND(D5=2,B5="NEGATIVE"),"Partially Consistent","Inconsistent"))))))</f>
        <v>Consistent</v>
      </c>
      <c r="F5" t="str">
        <f>IF(C5="TS","High","Low")</f>
        <v>Low</v>
      </c>
      <c r="G5" t="str">
        <f>IF(AND(B5="NEUTRAL",F5="Low"),"LOW",IF(AND(C5="TS",F5="High",D5=3),"HIGH",IF(AND(C5="TS",F5="High",OR(D5=2,D5=4)),"HIGH",IF(AND(C5="TS",F5="High",OR(D5=1,D5=5)),"MODERATE",IF(AND(C5="OS",E5="Consistent",OR(D5=1,D5=5)),"MODERATE",IF(AND(C5="OS",E5="Partially Consistent",OR(D5=2,D5=4)),"MODERATE","LOW"))))))</f>
        <v>MODERATE</v>
      </c>
      <c r="H5">
        <v>0</v>
      </c>
      <c r="I5">
        <v>0</v>
      </c>
      <c r="J5">
        <v>1</v>
      </c>
      <c r="K5" t="s">
        <v>14</v>
      </c>
      <c r="L5" t="s">
        <v>14</v>
      </c>
    </row>
    <row r="6" ht="34" spans="1:12">
      <c r="A6" s="1" t="s">
        <v>18</v>
      </c>
      <c r="B6" t="s">
        <v>13</v>
      </c>
      <c r="C6" t="str">
        <f>IF(B6="NEUTRAL","TS","OS")</f>
        <v>OS</v>
      </c>
      <c r="D6">
        <v>5</v>
      </c>
      <c r="E6" t="str">
        <f>IF(C6="TS",IF(D6=3,"Consistent",IF(OR(D6=2,D6=4),"Partially Consistent","Inconsistent")),IF(D6=3,"Inconsistent",IF(AND(D6=5,B6="POSITIVE"),"Consistent",IF(AND(D6=1,B6="NEGATIVE"),"Consistent",IF(AND(D6=4,B6="POSITIVE"),"Partially Consistent",IF(AND(D6=2,B6="NEGATIVE"),"Partially Consistent","Inconsistent"))))))</f>
        <v>Consistent</v>
      </c>
      <c r="F6" t="str">
        <f>IF(C6="TS","High","Low")</f>
        <v>Low</v>
      </c>
      <c r="G6" t="str">
        <f>IF(AND(B6="NEUTRAL",F6="Low"),"LOW",IF(AND(C6="TS",F6="High",D6=3),"HIGH",IF(AND(C6="TS",F6="High",OR(D6=2,D6=4)),"HIGH",IF(AND(C6="TS",F6="High",OR(D6=1,D6=5)),"MODERATE",IF(AND(C6="OS",E6="Consistent",OR(D6=1,D6=5)),"MODERATE",IF(AND(C6="OS",E6="Partially Consistent",OR(D6=2,D6=4)),"MODERATE","LOW"))))))</f>
        <v>MODERATE</v>
      </c>
      <c r="H6">
        <v>0</v>
      </c>
      <c r="I6">
        <v>1</v>
      </c>
      <c r="J6">
        <v>1</v>
      </c>
      <c r="K6" t="s">
        <v>14</v>
      </c>
      <c r="L6" t="s">
        <v>14</v>
      </c>
    </row>
    <row r="7" ht="34" spans="1:12">
      <c r="A7" s="1" t="s">
        <v>19</v>
      </c>
      <c r="B7" t="s">
        <v>20</v>
      </c>
      <c r="C7" t="str">
        <f>IF(B7="NEUTRAL","TS","OS")</f>
        <v>TS</v>
      </c>
      <c r="D7">
        <v>5</v>
      </c>
      <c r="E7" t="str">
        <f>IF(C7="TS",IF(D7=3,"Consistent",IF(OR(D7=2,D7=4),"Partially Consistent","Inconsistent")),IF(D7=3,"Inconsistent",IF(AND(D7=5,B7="POSITIVE"),"Consistent",IF(AND(D7=1,B7="NEGATIVE"),"Consistent",IF(AND(D7=4,B7="POSITIVE"),"Partially Consistent",IF(AND(D7=2,B7="NEGATIVE"),"Partially Consistent","Inconsistent"))))))</f>
        <v>Inconsistent</v>
      </c>
      <c r="F7" t="str">
        <f>IF(C7="TS","High","Low")</f>
        <v>High</v>
      </c>
      <c r="G7" t="str">
        <f>IF(AND(B7="NEUTRAL",F7="Low"),"LOW",IF(AND(C7="TS",F7="High",D7=3),"HIGH",IF(AND(C7="TS",F7="High",OR(D7=2,D7=4)),"HIGH",IF(AND(C7="TS",F7="High",OR(D7=1,D7=5)),"MODERATE",IF(AND(C7="OS",E7="Consistent",OR(D7=1,D7=5)),"MODERATE",IF(AND(C7="OS",E7="Partially Consistent",OR(D7=2,D7=4)),"MODERATE","LOW"))))))</f>
        <v>MODERATE</v>
      </c>
      <c r="H7">
        <v>0</v>
      </c>
      <c r="I7">
        <v>0</v>
      </c>
      <c r="J7">
        <v>1</v>
      </c>
      <c r="K7" t="s">
        <v>14</v>
      </c>
      <c r="L7" t="s">
        <v>14</v>
      </c>
    </row>
    <row r="8" ht="17" spans="1:12">
      <c r="A8" s="1" t="s">
        <v>21</v>
      </c>
      <c r="B8" t="s">
        <v>20</v>
      </c>
      <c r="C8" t="str">
        <f>IF(B8="NEUTRAL","TS","OS")</f>
        <v>TS</v>
      </c>
      <c r="D8">
        <v>5</v>
      </c>
      <c r="E8" t="str">
        <f>IF(C8="TS",IF(D8=3,"Consistent",IF(OR(D8=2,D8=4),"Partially Consistent","Inconsistent")),IF(D8=3,"Inconsistent",IF(AND(D8=5,B8="POSITIVE"),"Consistent",IF(AND(D8=1,B8="NEGATIVE"),"Consistent",IF(AND(D8=4,B8="POSITIVE"),"Partially Consistent",IF(AND(D8=2,B8="NEGATIVE"),"Partially Consistent","Inconsistent"))))))</f>
        <v>Inconsistent</v>
      </c>
      <c r="F8" t="str">
        <f>IF(C8="TS","High","Low")</f>
        <v>High</v>
      </c>
      <c r="G8" t="str">
        <f>IF(AND(B8="NEUTRAL",F8="Low"),"LOW",IF(AND(C8="TS",F8="High",D8=3),"HIGH",IF(AND(C8="TS",F8="High",OR(D8=2,D8=4)),"HIGH",IF(AND(C8="TS",F8="High",OR(D8=1,D8=5)),"MODERATE",IF(AND(C8="OS",E8="Consistent",OR(D8=1,D8=5)),"MODERATE",IF(AND(C8="OS",E8="Partially Consistent",OR(D8=2,D8=4)),"MODERATE","LOW"))))))</f>
        <v>MODERATE</v>
      </c>
      <c r="H8">
        <v>0</v>
      </c>
      <c r="I8">
        <v>0</v>
      </c>
      <c r="J8">
        <v>1</v>
      </c>
      <c r="K8" t="s">
        <v>14</v>
      </c>
      <c r="L8" t="s">
        <v>14</v>
      </c>
    </row>
    <row r="9" ht="34" spans="1:12">
      <c r="A9" s="1" t="s">
        <v>22</v>
      </c>
      <c r="B9" t="s">
        <v>13</v>
      </c>
      <c r="C9" t="str">
        <f>IF(B9="NEUTRAL","TS","OS")</f>
        <v>OS</v>
      </c>
      <c r="D9">
        <v>5</v>
      </c>
      <c r="E9" t="str">
        <f>IF(C9="TS",IF(D9=3,"Consistent",IF(OR(D9=2,D9=4),"Partially Consistent","Inconsistent")),IF(D9=3,"Inconsistent",IF(AND(D9=5,B9="POSITIVE"),"Consistent",IF(AND(D9=1,B9="NEGATIVE"),"Consistent",IF(AND(D9=4,B9="POSITIVE"),"Partially Consistent",IF(AND(D9=2,B9="NEGATIVE"),"Partially Consistent","Inconsistent"))))))</f>
        <v>Consistent</v>
      </c>
      <c r="F9" t="str">
        <f>IF(C9="TS","High","Low")</f>
        <v>Low</v>
      </c>
      <c r="G9" t="str">
        <f>IF(AND(B9="NEUTRAL",F9="Low"),"LOW",IF(AND(C9="TS",F9="High",D9=3),"HIGH",IF(AND(C9="TS",F9="High",OR(D9=2,D9=4)),"HIGH",IF(AND(C9="TS",F9="High",OR(D9=1,D9=5)),"MODERATE",IF(AND(C9="OS",E9="Consistent",OR(D9=1,D9=5)),"MODERATE",IF(AND(C9="OS",E9="Partially Consistent",OR(D9=2,D9=4)),"MODERATE","LOW"))))))</f>
        <v>MODERATE</v>
      </c>
      <c r="H9">
        <v>0</v>
      </c>
      <c r="I9">
        <v>1</v>
      </c>
      <c r="J9">
        <v>0</v>
      </c>
      <c r="K9" t="s">
        <v>14</v>
      </c>
      <c r="L9" t="s">
        <v>14</v>
      </c>
    </row>
    <row r="10" ht="34" spans="1:12">
      <c r="A10" s="1" t="s">
        <v>23</v>
      </c>
      <c r="B10" t="s">
        <v>13</v>
      </c>
      <c r="C10" t="str">
        <f>IF(B10="NEUTRAL","TS","OS")</f>
        <v>OS</v>
      </c>
      <c r="D10">
        <v>5</v>
      </c>
      <c r="E10" t="str">
        <f>IF(C10="TS",IF(D10=3,"Consistent",IF(OR(D10=2,D10=4),"Partially Consistent","Inconsistent")),IF(D10=3,"Inconsistent",IF(AND(D10=5,B10="POSITIVE"),"Consistent",IF(AND(D10=1,B10="NEGATIVE"),"Consistent",IF(AND(D10=4,B10="POSITIVE"),"Partially Consistent",IF(AND(D10=2,B10="NEGATIVE"),"Partially Consistent","Inconsistent"))))))</f>
        <v>Consistent</v>
      </c>
      <c r="F10" t="str">
        <f>IF(C10="TS","High","Low")</f>
        <v>Low</v>
      </c>
      <c r="G10" t="str">
        <f>IF(AND(B10="NEUTRAL",F10="Low"),"LOW",IF(AND(C10="TS",F10="High",D10=3),"HIGH",IF(AND(C10="TS",F10="High",OR(D10=2,D10=4)),"HIGH",IF(AND(C10="TS",F10="High",OR(D10=1,D10=5)),"MODERATE",IF(AND(C10="OS",E10="Consistent",OR(D10=1,D10=5)),"MODERATE",IF(AND(C10="OS",E10="Partially Consistent",OR(D10=2,D10=4)),"MODERATE","LOW"))))))</f>
        <v>MODERATE</v>
      </c>
      <c r="H10">
        <v>0</v>
      </c>
      <c r="I10">
        <v>1</v>
      </c>
      <c r="J10">
        <v>0</v>
      </c>
      <c r="K10" t="s">
        <v>14</v>
      </c>
      <c r="L10" t="s">
        <v>14</v>
      </c>
    </row>
    <row r="11" ht="17" spans="1:12">
      <c r="A11" s="1" t="s">
        <v>24</v>
      </c>
      <c r="B11" t="s">
        <v>13</v>
      </c>
      <c r="C11" t="str">
        <f>IF(B11="NEUTRAL","TS","OS")</f>
        <v>OS</v>
      </c>
      <c r="D11">
        <v>5</v>
      </c>
      <c r="E11" t="str">
        <f>IF(C11="TS",IF(D11=3,"Consistent",IF(OR(D11=2,D11=4),"Partially Consistent","Inconsistent")),IF(D11=3,"Inconsistent",IF(AND(D11=5,B11="POSITIVE"),"Consistent",IF(AND(D11=1,B11="NEGATIVE"),"Consistent",IF(AND(D11=4,B11="POSITIVE"),"Partially Consistent",IF(AND(D11=2,B11="NEGATIVE"),"Partially Consistent","Inconsistent"))))))</f>
        <v>Consistent</v>
      </c>
      <c r="F11" t="str">
        <f>IF(C11="TS","High","Low")</f>
        <v>Low</v>
      </c>
      <c r="G11" t="str">
        <f>IF(AND(B11="NEUTRAL",F11="Low"),"LOW",IF(AND(C11="TS",F11="High",D11=3),"HIGH",IF(AND(C11="TS",F11="High",OR(D11=2,D11=4)),"HIGH",IF(AND(C11="TS",F11="High",OR(D11=1,D11=5)),"MODERATE",IF(AND(C11="OS",E11="Consistent",OR(D11=1,D11=5)),"MODERATE",IF(AND(C11="OS",E11="Partially Consistent",OR(D11=2,D11=4)),"MODERATE","LOW"))))))</f>
        <v>MODERATE</v>
      </c>
      <c r="H11">
        <v>0</v>
      </c>
      <c r="I11">
        <v>1</v>
      </c>
      <c r="J11">
        <v>0</v>
      </c>
      <c r="K11" t="s">
        <v>14</v>
      </c>
      <c r="L11" t="s">
        <v>14</v>
      </c>
    </row>
    <row r="12" ht="34" spans="1:12">
      <c r="A12" s="1" t="s">
        <v>25</v>
      </c>
      <c r="B12" t="s">
        <v>20</v>
      </c>
      <c r="C12" t="str">
        <f>IF(B12="NEUTRAL","TS","OS")</f>
        <v>TS</v>
      </c>
      <c r="D12">
        <v>4</v>
      </c>
      <c r="E12" t="str">
        <f>IF(C12="TS",IF(D12=3,"Consistent",IF(OR(D12=2,D12=4),"Partially Consistent","Inconsistent")),IF(D12=3,"Inconsistent",IF(AND(D12=5,B12="POSITIVE"),"Consistent",IF(AND(D12=1,B12="NEGATIVE"),"Consistent",IF(AND(D12=4,B12="POSITIVE"),"Partially Consistent",IF(AND(D12=2,B12="NEGATIVE"),"Partially Consistent","Inconsistent"))))))</f>
        <v>Partially Consistent</v>
      </c>
      <c r="F12" t="str">
        <f>IF(C12="TS","High","Low")</f>
        <v>High</v>
      </c>
      <c r="G12" t="str">
        <f>IF(AND(B12="NEUTRAL",F12="Low"),"LOW",IF(AND(C12="TS",F12="High",D12=3),"HIGH",IF(AND(C12="TS",F12="High",OR(D12=2,D12=4)),"HIGH",IF(AND(C12="TS",F12="High",OR(D12=1,D12=5)),"MODERATE",IF(AND(C12="OS",E12="Consistent",OR(D12=1,D12=5)),"MODERATE",IF(AND(C12="OS",E12="Partially Consistent",OR(D12=2,D12=4)),"MODERATE","LOW"))))))</f>
        <v>HIGH</v>
      </c>
      <c r="H12">
        <v>0</v>
      </c>
      <c r="I12">
        <v>0</v>
      </c>
      <c r="J12">
        <v>1</v>
      </c>
      <c r="K12" t="s">
        <v>14</v>
      </c>
      <c r="L12" t="s">
        <v>14</v>
      </c>
    </row>
    <row r="13" ht="17" spans="1:12">
      <c r="A13" s="1" t="s">
        <v>26</v>
      </c>
      <c r="B13" t="s">
        <v>20</v>
      </c>
      <c r="C13" t="str">
        <f>IF(B13="NEUTRAL","TS","OS")</f>
        <v>TS</v>
      </c>
      <c r="D13">
        <v>4</v>
      </c>
      <c r="E13" t="str">
        <f>IF(C13="TS",IF(D13=3,"Consistent",IF(OR(D13=2,D13=4),"Partially Consistent","Inconsistent")),IF(D13=3,"Inconsistent",IF(AND(D13=5,B13="POSITIVE"),"Consistent",IF(AND(D13=1,B13="NEGATIVE"),"Consistent",IF(AND(D13=4,B13="POSITIVE"),"Partially Consistent",IF(AND(D13=2,B13="NEGATIVE"),"Partially Consistent","Inconsistent"))))))</f>
        <v>Partially Consistent</v>
      </c>
      <c r="F13" t="str">
        <f>IF(C13="TS","High","Low")</f>
        <v>High</v>
      </c>
      <c r="G13" t="str">
        <f>IF(AND(B13="NEUTRAL",F13="Low"),"LOW",IF(AND(C13="TS",F13="High",D13=3),"HIGH",IF(AND(C13="TS",F13="High",OR(D13=2,D13=4)),"HIGH",IF(AND(C13="TS",F13="High",OR(D13=1,D13=5)),"MODERATE",IF(AND(C13="OS",E13="Consistent",OR(D13=1,D13=5)),"MODERATE",IF(AND(C13="OS",E13="Partially Consistent",OR(D13=2,D13=4)),"MODERATE","LOW"))))))</f>
        <v>HIGH</v>
      </c>
      <c r="H13">
        <v>0</v>
      </c>
      <c r="I13">
        <v>0</v>
      </c>
      <c r="J13">
        <v>1</v>
      </c>
      <c r="K13" t="s">
        <v>14</v>
      </c>
      <c r="L13" t="s">
        <v>14</v>
      </c>
    </row>
    <row r="14" ht="68" spans="1:12">
      <c r="A14" s="1" t="s">
        <v>27</v>
      </c>
      <c r="B14" t="s">
        <v>20</v>
      </c>
      <c r="C14" t="str">
        <f>IF(B14="NEUTRAL","TS","OS")</f>
        <v>TS</v>
      </c>
      <c r="D14">
        <v>4</v>
      </c>
      <c r="E14" t="str">
        <f>IF(C14="TS",IF(D14=3,"Consistent",IF(OR(D14=2,D14=4),"Partially Consistent","Inconsistent")),IF(D14=3,"Inconsistent",IF(AND(D14=5,B14="POSITIVE"),"Consistent",IF(AND(D14=1,B14="NEGATIVE"),"Consistent",IF(AND(D14=4,B14="POSITIVE"),"Partially Consistent",IF(AND(D14=2,B14="NEGATIVE"),"Partially Consistent","Inconsistent"))))))</f>
        <v>Partially Consistent</v>
      </c>
      <c r="F14" t="str">
        <f>IF(C14="TS","High","Low")</f>
        <v>High</v>
      </c>
      <c r="G14" t="str">
        <f>IF(AND(B14="NEUTRAL",F14="Low"),"LOW",IF(AND(C14="TS",F14="High",D14=3),"HIGH",IF(AND(C14="TS",F14="High",OR(D14=2,D14=4)),"HIGH",IF(AND(C14="TS",F14="High",OR(D14=1,D14=5)),"MODERATE",IF(AND(C14="OS",E14="Consistent",OR(D14=1,D14=5)),"MODERATE",IF(AND(C14="OS",E14="Partially Consistent",OR(D14=2,D14=4)),"MODERATE","LOW"))))))</f>
        <v>HIGH</v>
      </c>
      <c r="H14">
        <v>0</v>
      </c>
      <c r="I14">
        <v>0</v>
      </c>
      <c r="J14">
        <v>1</v>
      </c>
      <c r="K14" t="s">
        <v>14</v>
      </c>
      <c r="L14" t="s">
        <v>14</v>
      </c>
    </row>
    <row r="15" ht="34" spans="1:12">
      <c r="A15" s="1" t="s">
        <v>28</v>
      </c>
      <c r="B15" t="s">
        <v>20</v>
      </c>
      <c r="C15" t="str">
        <f t="shared" ref="C15:C42" si="0">IF(B15="NEUTRAL","TS","OS")</f>
        <v>TS</v>
      </c>
      <c r="D15">
        <v>4</v>
      </c>
      <c r="E15" t="str">
        <f t="shared" ref="E15:E42" si="1">IF(C15="TS",IF(D15=3,"Consistent",IF(OR(D15=2,D15=4),"Partially Consistent","Inconsistent")),IF(D15=3,"Inconsistent",IF(AND(D15=5,B15="POSITIVE"),"Consistent",IF(AND(D15=1,B15="NEGATIVE"),"Consistent",IF(AND(D15=4,B15="POSITIVE"),"Partially Consistent",IF(AND(D15=2,B15="NEGATIVE"),"Partially Consistent","Inconsistent"))))))</f>
        <v>Partially Consistent</v>
      </c>
      <c r="F15" t="str">
        <f t="shared" ref="F15:F42" si="2">IF(C15="TS","High","Low")</f>
        <v>High</v>
      </c>
      <c r="G15" t="str">
        <f t="shared" ref="G15:G42" si="3">IF(AND(B15="NEUTRAL",F15="Low"),"LOW",IF(AND(C15="TS",F15="High",D15=3),"HIGH",IF(AND(C15="TS",F15="High",OR(D15=2,D15=4)),"HIGH",IF(AND(C15="TS",F15="High",OR(D15=1,D15=5)),"MODERATE",IF(AND(C15="OS",E15="Consistent",OR(D15=1,D15=5)),"MODERATE",IF(AND(C15="OS",E15="Partially Consistent",OR(D15=2,D15=4)),"MODERATE","LOW"))))))</f>
        <v>HIGH</v>
      </c>
      <c r="H15">
        <v>0</v>
      </c>
      <c r="I15">
        <v>0</v>
      </c>
      <c r="J15">
        <v>1</v>
      </c>
      <c r="K15" t="s">
        <v>14</v>
      </c>
      <c r="L15" t="s">
        <v>14</v>
      </c>
    </row>
    <row r="16" ht="17" spans="1:12">
      <c r="A16" s="1" t="s">
        <v>29</v>
      </c>
      <c r="B16" t="s">
        <v>13</v>
      </c>
      <c r="C16" t="str">
        <f t="shared" si="0"/>
        <v>OS</v>
      </c>
      <c r="D16">
        <v>4</v>
      </c>
      <c r="E16" t="str">
        <f t="shared" si="1"/>
        <v>Partially Consistent</v>
      </c>
      <c r="F16" t="str">
        <f t="shared" si="2"/>
        <v>Low</v>
      </c>
      <c r="G16" t="str">
        <f t="shared" si="3"/>
        <v>MODERATE</v>
      </c>
      <c r="H16">
        <v>0</v>
      </c>
      <c r="I16">
        <v>1</v>
      </c>
      <c r="J16">
        <v>0</v>
      </c>
      <c r="K16" t="s">
        <v>14</v>
      </c>
      <c r="L16" t="s">
        <v>14</v>
      </c>
    </row>
    <row r="17" ht="17" spans="1:12">
      <c r="A17" s="1" t="s">
        <v>30</v>
      </c>
      <c r="B17" t="s">
        <v>13</v>
      </c>
      <c r="C17" t="str">
        <f t="shared" si="0"/>
        <v>OS</v>
      </c>
      <c r="D17">
        <v>4</v>
      </c>
      <c r="E17" t="str">
        <f t="shared" si="1"/>
        <v>Partially Consistent</v>
      </c>
      <c r="F17" t="str">
        <f t="shared" si="2"/>
        <v>Low</v>
      </c>
      <c r="G17" t="str">
        <f t="shared" si="3"/>
        <v>MODERATE</v>
      </c>
      <c r="H17">
        <v>0</v>
      </c>
      <c r="I17">
        <v>1</v>
      </c>
      <c r="J17">
        <v>0</v>
      </c>
      <c r="K17" t="s">
        <v>14</v>
      </c>
      <c r="L17" t="s">
        <v>14</v>
      </c>
    </row>
    <row r="18" ht="34" spans="1:12">
      <c r="A18" s="1" t="s">
        <v>31</v>
      </c>
      <c r="B18" t="s">
        <v>20</v>
      </c>
      <c r="C18" t="str">
        <f t="shared" si="0"/>
        <v>TS</v>
      </c>
      <c r="D18">
        <v>3</v>
      </c>
      <c r="E18" t="str">
        <f t="shared" si="1"/>
        <v>Consistent</v>
      </c>
      <c r="F18" t="str">
        <f t="shared" si="2"/>
        <v>High</v>
      </c>
      <c r="G18" t="str">
        <f t="shared" si="3"/>
        <v>HIGH</v>
      </c>
      <c r="H18">
        <v>0</v>
      </c>
      <c r="I18">
        <v>0</v>
      </c>
      <c r="J18" s="4">
        <v>1</v>
      </c>
      <c r="K18" t="s">
        <v>14</v>
      </c>
      <c r="L18" t="s">
        <v>14</v>
      </c>
    </row>
    <row r="19" ht="17" spans="1:12">
      <c r="A19" s="1" t="s">
        <v>32</v>
      </c>
      <c r="B19" t="s">
        <v>20</v>
      </c>
      <c r="C19" t="str">
        <f t="shared" si="0"/>
        <v>TS</v>
      </c>
      <c r="D19">
        <v>3</v>
      </c>
      <c r="E19" t="str">
        <f t="shared" si="1"/>
        <v>Consistent</v>
      </c>
      <c r="F19" t="s">
        <v>33</v>
      </c>
      <c r="G19" t="str">
        <f t="shared" si="3"/>
        <v>LOW</v>
      </c>
      <c r="H19">
        <v>0</v>
      </c>
      <c r="I19">
        <v>0</v>
      </c>
      <c r="J19">
        <v>1</v>
      </c>
      <c r="K19" t="s">
        <v>14</v>
      </c>
      <c r="L19" t="s">
        <v>14</v>
      </c>
    </row>
    <row r="20" ht="34" spans="1:12">
      <c r="A20" s="1" t="s">
        <v>34</v>
      </c>
      <c r="B20" t="s">
        <v>20</v>
      </c>
      <c r="C20" t="str">
        <f t="shared" si="0"/>
        <v>TS</v>
      </c>
      <c r="D20">
        <v>3</v>
      </c>
      <c r="E20" t="str">
        <f t="shared" si="1"/>
        <v>Consistent</v>
      </c>
      <c r="F20" t="str">
        <f t="shared" si="2"/>
        <v>High</v>
      </c>
      <c r="G20" t="str">
        <f t="shared" si="3"/>
        <v>HIGH</v>
      </c>
      <c r="H20">
        <v>1</v>
      </c>
      <c r="I20">
        <v>0</v>
      </c>
      <c r="J20">
        <v>1</v>
      </c>
      <c r="K20" t="s">
        <v>14</v>
      </c>
      <c r="L20" t="s">
        <v>14</v>
      </c>
    </row>
    <row r="21" ht="17" spans="1:12">
      <c r="A21" s="1" t="s">
        <v>35</v>
      </c>
      <c r="B21" t="s">
        <v>20</v>
      </c>
      <c r="C21" t="str">
        <f t="shared" si="0"/>
        <v>TS</v>
      </c>
      <c r="D21">
        <v>3</v>
      </c>
      <c r="E21" t="str">
        <f t="shared" si="1"/>
        <v>Consistent</v>
      </c>
      <c r="F21" t="s">
        <v>33</v>
      </c>
      <c r="G21" t="str">
        <f t="shared" si="3"/>
        <v>LOW</v>
      </c>
      <c r="H21">
        <v>0</v>
      </c>
      <c r="I21">
        <v>0</v>
      </c>
      <c r="J21">
        <v>1</v>
      </c>
      <c r="K21" t="s">
        <v>14</v>
      </c>
      <c r="L21" t="s">
        <v>14</v>
      </c>
    </row>
    <row r="22" ht="17" spans="1:12">
      <c r="A22" s="1" t="s">
        <v>36</v>
      </c>
      <c r="B22" t="s">
        <v>20</v>
      </c>
      <c r="C22" t="str">
        <f t="shared" si="0"/>
        <v>TS</v>
      </c>
      <c r="D22">
        <v>3</v>
      </c>
      <c r="E22" t="str">
        <f t="shared" si="1"/>
        <v>Consistent</v>
      </c>
      <c r="F22" t="s">
        <v>33</v>
      </c>
      <c r="G22" t="str">
        <f t="shared" si="3"/>
        <v>LOW</v>
      </c>
      <c r="H22">
        <v>0</v>
      </c>
      <c r="I22">
        <v>0</v>
      </c>
      <c r="J22">
        <v>1</v>
      </c>
      <c r="K22" t="s">
        <v>14</v>
      </c>
      <c r="L22" t="s">
        <v>14</v>
      </c>
    </row>
    <row r="23" ht="34" spans="1:12">
      <c r="A23" s="1" t="s">
        <v>37</v>
      </c>
      <c r="B23" t="s">
        <v>13</v>
      </c>
      <c r="C23" t="str">
        <f t="shared" si="0"/>
        <v>OS</v>
      </c>
      <c r="D23">
        <v>3</v>
      </c>
      <c r="E23" t="str">
        <f t="shared" si="1"/>
        <v>Inconsistent</v>
      </c>
      <c r="F23" t="str">
        <f t="shared" si="2"/>
        <v>Low</v>
      </c>
      <c r="G23" t="str">
        <f t="shared" si="3"/>
        <v>LOW</v>
      </c>
      <c r="H23">
        <v>0</v>
      </c>
      <c r="I23">
        <v>1</v>
      </c>
      <c r="J23">
        <v>0</v>
      </c>
      <c r="K23" t="s">
        <v>14</v>
      </c>
      <c r="L23" t="s">
        <v>14</v>
      </c>
    </row>
    <row r="24" ht="17" spans="1:12">
      <c r="A24" s="1" t="s">
        <v>38</v>
      </c>
      <c r="B24" t="s">
        <v>39</v>
      </c>
      <c r="C24" t="str">
        <f t="shared" si="0"/>
        <v>OS</v>
      </c>
      <c r="D24">
        <v>1</v>
      </c>
      <c r="E24" t="str">
        <f t="shared" si="1"/>
        <v>Consistent</v>
      </c>
      <c r="F24" t="str">
        <f t="shared" si="2"/>
        <v>Low</v>
      </c>
      <c r="G24" t="str">
        <f t="shared" si="3"/>
        <v>MODERATE</v>
      </c>
      <c r="H24">
        <v>0</v>
      </c>
      <c r="I24">
        <v>0</v>
      </c>
      <c r="J24">
        <v>1</v>
      </c>
      <c r="K24" t="s">
        <v>14</v>
      </c>
      <c r="L24" t="s">
        <v>14</v>
      </c>
    </row>
    <row r="25" ht="51" spans="1:12">
      <c r="A25" s="1" t="s">
        <v>40</v>
      </c>
      <c r="B25" t="s">
        <v>20</v>
      </c>
      <c r="C25" t="str">
        <f t="shared" si="0"/>
        <v>TS</v>
      </c>
      <c r="D25">
        <v>1</v>
      </c>
      <c r="E25" t="str">
        <f t="shared" si="1"/>
        <v>Inconsistent</v>
      </c>
      <c r="F25" t="str">
        <f t="shared" si="2"/>
        <v>High</v>
      </c>
      <c r="G25" t="str">
        <f t="shared" si="3"/>
        <v>MODERATE</v>
      </c>
      <c r="H25">
        <v>0</v>
      </c>
      <c r="I25">
        <v>0</v>
      </c>
      <c r="J25">
        <v>1</v>
      </c>
      <c r="K25" t="s">
        <v>14</v>
      </c>
      <c r="L25" t="s">
        <v>14</v>
      </c>
    </row>
    <row r="26" ht="17" spans="1:12">
      <c r="A26" s="1" t="s">
        <v>41</v>
      </c>
      <c r="B26" t="s">
        <v>20</v>
      </c>
      <c r="C26" t="str">
        <f t="shared" si="0"/>
        <v>TS</v>
      </c>
      <c r="D26">
        <v>2</v>
      </c>
      <c r="E26" t="str">
        <f t="shared" si="1"/>
        <v>Partially Consistent</v>
      </c>
      <c r="F26" t="str">
        <f t="shared" si="2"/>
        <v>High</v>
      </c>
      <c r="G26" t="str">
        <f t="shared" si="3"/>
        <v>HIGH</v>
      </c>
      <c r="H26">
        <v>0</v>
      </c>
      <c r="I26">
        <v>0</v>
      </c>
      <c r="J26">
        <v>1</v>
      </c>
      <c r="K26" t="s">
        <v>14</v>
      </c>
      <c r="L26" t="s">
        <v>14</v>
      </c>
    </row>
    <row r="27" ht="17" spans="1:12">
      <c r="A27" s="1" t="s">
        <v>42</v>
      </c>
      <c r="B27" t="s">
        <v>20</v>
      </c>
      <c r="C27" t="str">
        <f t="shared" si="0"/>
        <v>TS</v>
      </c>
      <c r="D27">
        <v>2</v>
      </c>
      <c r="E27" t="str">
        <f t="shared" si="1"/>
        <v>Partially Consistent</v>
      </c>
      <c r="F27" t="str">
        <f t="shared" si="2"/>
        <v>High</v>
      </c>
      <c r="G27" t="str">
        <f t="shared" si="3"/>
        <v>HIGH</v>
      </c>
      <c r="H27">
        <v>1</v>
      </c>
      <c r="I27">
        <v>0</v>
      </c>
      <c r="J27">
        <v>1</v>
      </c>
      <c r="K27" t="s">
        <v>14</v>
      </c>
      <c r="L27" t="s">
        <v>14</v>
      </c>
    </row>
    <row r="28" ht="34" spans="1:12">
      <c r="A28" s="1" t="s">
        <v>43</v>
      </c>
      <c r="B28" t="s">
        <v>39</v>
      </c>
      <c r="C28" t="str">
        <f t="shared" si="0"/>
        <v>OS</v>
      </c>
      <c r="D28">
        <v>1</v>
      </c>
      <c r="E28" t="str">
        <f t="shared" si="1"/>
        <v>Consistent</v>
      </c>
      <c r="F28" t="str">
        <f t="shared" si="2"/>
        <v>Low</v>
      </c>
      <c r="G28" t="str">
        <f t="shared" si="3"/>
        <v>MODERATE</v>
      </c>
      <c r="H28">
        <v>0</v>
      </c>
      <c r="I28">
        <v>0</v>
      </c>
      <c r="J28">
        <v>1</v>
      </c>
      <c r="K28" t="s">
        <v>14</v>
      </c>
      <c r="L28" t="s">
        <v>14</v>
      </c>
    </row>
    <row r="29" ht="34" spans="1:12">
      <c r="A29" s="1" t="s">
        <v>44</v>
      </c>
      <c r="B29" t="s">
        <v>39</v>
      </c>
      <c r="C29" t="str">
        <f t="shared" si="0"/>
        <v>OS</v>
      </c>
      <c r="D29">
        <v>1</v>
      </c>
      <c r="E29" t="str">
        <f t="shared" si="1"/>
        <v>Consistent</v>
      </c>
      <c r="F29" t="str">
        <f t="shared" si="2"/>
        <v>Low</v>
      </c>
      <c r="G29" t="str">
        <f t="shared" si="3"/>
        <v>MODERATE</v>
      </c>
      <c r="H29">
        <v>0</v>
      </c>
      <c r="I29">
        <v>0</v>
      </c>
      <c r="J29">
        <v>1</v>
      </c>
      <c r="K29" t="s">
        <v>14</v>
      </c>
      <c r="L29" t="s">
        <v>14</v>
      </c>
    </row>
    <row r="30" ht="17" spans="1:12">
      <c r="A30" s="1" t="s">
        <v>45</v>
      </c>
      <c r="B30" t="s">
        <v>39</v>
      </c>
      <c r="C30" t="str">
        <f t="shared" si="0"/>
        <v>OS</v>
      </c>
      <c r="D30">
        <v>1</v>
      </c>
      <c r="E30" t="str">
        <f t="shared" si="1"/>
        <v>Consistent</v>
      </c>
      <c r="F30" t="str">
        <f t="shared" si="2"/>
        <v>Low</v>
      </c>
      <c r="G30" t="str">
        <f t="shared" si="3"/>
        <v>MODERATE</v>
      </c>
      <c r="H30">
        <v>0</v>
      </c>
      <c r="I30">
        <v>0</v>
      </c>
      <c r="J30">
        <v>1</v>
      </c>
      <c r="K30" t="s">
        <v>14</v>
      </c>
      <c r="L30" t="s">
        <v>14</v>
      </c>
    </row>
    <row r="31" ht="17" spans="1:12">
      <c r="A31" s="1" t="s">
        <v>46</v>
      </c>
      <c r="B31" t="s">
        <v>39</v>
      </c>
      <c r="C31" t="str">
        <f t="shared" si="0"/>
        <v>OS</v>
      </c>
      <c r="D31">
        <v>1</v>
      </c>
      <c r="E31" t="str">
        <f t="shared" si="1"/>
        <v>Consistent</v>
      </c>
      <c r="F31" t="str">
        <f t="shared" si="2"/>
        <v>Low</v>
      </c>
      <c r="G31" t="str">
        <f t="shared" si="3"/>
        <v>MODERATE</v>
      </c>
      <c r="H31">
        <v>1</v>
      </c>
      <c r="I31">
        <v>0</v>
      </c>
      <c r="J31">
        <v>1</v>
      </c>
      <c r="K31" t="s">
        <v>14</v>
      </c>
      <c r="L31" t="s">
        <v>14</v>
      </c>
    </row>
    <row r="32" ht="17" spans="1:12">
      <c r="A32" s="1" t="s">
        <v>47</v>
      </c>
      <c r="B32" t="s">
        <v>39</v>
      </c>
      <c r="C32" t="str">
        <f t="shared" si="0"/>
        <v>OS</v>
      </c>
      <c r="D32">
        <v>2</v>
      </c>
      <c r="E32" t="str">
        <f t="shared" si="1"/>
        <v>Partially Consistent</v>
      </c>
      <c r="F32" t="str">
        <f t="shared" si="2"/>
        <v>Low</v>
      </c>
      <c r="G32" t="str">
        <f t="shared" si="3"/>
        <v>MODERATE</v>
      </c>
      <c r="H32">
        <v>0</v>
      </c>
      <c r="I32">
        <v>0</v>
      </c>
      <c r="J32">
        <v>1</v>
      </c>
      <c r="K32" t="s">
        <v>14</v>
      </c>
      <c r="L32" t="s">
        <v>14</v>
      </c>
    </row>
    <row r="33" ht="17" spans="1:12">
      <c r="A33" s="1" t="s">
        <v>48</v>
      </c>
      <c r="B33" t="s">
        <v>39</v>
      </c>
      <c r="C33" t="str">
        <f t="shared" si="0"/>
        <v>OS</v>
      </c>
      <c r="D33">
        <v>1</v>
      </c>
      <c r="E33" t="str">
        <f t="shared" si="1"/>
        <v>Consistent</v>
      </c>
      <c r="F33" t="str">
        <f t="shared" si="2"/>
        <v>Low</v>
      </c>
      <c r="G33" t="str">
        <f t="shared" si="3"/>
        <v>MODERATE</v>
      </c>
      <c r="H33">
        <v>0</v>
      </c>
      <c r="I33">
        <v>0</v>
      </c>
      <c r="J33">
        <v>1</v>
      </c>
      <c r="K33" t="s">
        <v>14</v>
      </c>
      <c r="L33" t="s">
        <v>14</v>
      </c>
    </row>
    <row r="34" ht="17" spans="1:12">
      <c r="A34" s="1" t="s">
        <v>38</v>
      </c>
      <c r="B34" t="s">
        <v>39</v>
      </c>
      <c r="C34" t="str">
        <f t="shared" si="0"/>
        <v>OS</v>
      </c>
      <c r="D34">
        <v>1</v>
      </c>
      <c r="E34" t="str">
        <f t="shared" si="1"/>
        <v>Consistent</v>
      </c>
      <c r="F34" t="str">
        <f t="shared" si="2"/>
        <v>Low</v>
      </c>
      <c r="G34" t="str">
        <f t="shared" si="3"/>
        <v>MODERATE</v>
      </c>
      <c r="H34">
        <v>0</v>
      </c>
      <c r="I34">
        <v>0</v>
      </c>
      <c r="J34">
        <v>1</v>
      </c>
      <c r="K34" t="s">
        <v>14</v>
      </c>
      <c r="L34" t="s">
        <v>14</v>
      </c>
    </row>
    <row r="35" ht="51" spans="1:12">
      <c r="A35" s="1" t="s">
        <v>40</v>
      </c>
      <c r="B35" t="s">
        <v>20</v>
      </c>
      <c r="C35" t="str">
        <f t="shared" si="0"/>
        <v>TS</v>
      </c>
      <c r="D35">
        <v>1</v>
      </c>
      <c r="E35" t="str">
        <f t="shared" si="1"/>
        <v>Inconsistent</v>
      </c>
      <c r="F35" t="str">
        <f t="shared" si="2"/>
        <v>High</v>
      </c>
      <c r="G35" t="str">
        <f t="shared" si="3"/>
        <v>MODERATE</v>
      </c>
      <c r="H35">
        <v>0</v>
      </c>
      <c r="I35">
        <v>0</v>
      </c>
      <c r="J35">
        <v>1</v>
      </c>
      <c r="K35" t="s">
        <v>14</v>
      </c>
      <c r="L35" t="s">
        <v>14</v>
      </c>
    </row>
    <row r="36" ht="34" spans="1:12">
      <c r="A36" s="1" t="s">
        <v>43</v>
      </c>
      <c r="B36" t="s">
        <v>39</v>
      </c>
      <c r="C36" t="str">
        <f t="shared" si="0"/>
        <v>OS</v>
      </c>
      <c r="D36">
        <v>1</v>
      </c>
      <c r="E36" t="str">
        <f t="shared" si="1"/>
        <v>Consistent</v>
      </c>
      <c r="F36" t="str">
        <f t="shared" si="2"/>
        <v>Low</v>
      </c>
      <c r="G36" t="str">
        <f t="shared" si="3"/>
        <v>MODERATE</v>
      </c>
      <c r="H36">
        <v>0</v>
      </c>
      <c r="I36">
        <v>0</v>
      </c>
      <c r="J36">
        <v>1</v>
      </c>
      <c r="K36" t="s">
        <v>14</v>
      </c>
      <c r="L36" t="s">
        <v>14</v>
      </c>
    </row>
    <row r="37" ht="34" spans="1:12">
      <c r="A37" s="1" t="s">
        <v>44</v>
      </c>
      <c r="B37" t="s">
        <v>39</v>
      </c>
      <c r="C37" t="str">
        <f t="shared" si="0"/>
        <v>OS</v>
      </c>
      <c r="D37">
        <v>1</v>
      </c>
      <c r="E37" t="str">
        <f t="shared" si="1"/>
        <v>Consistent</v>
      </c>
      <c r="F37" t="str">
        <f t="shared" si="2"/>
        <v>Low</v>
      </c>
      <c r="G37" t="str">
        <f t="shared" si="3"/>
        <v>MODERATE</v>
      </c>
      <c r="H37">
        <v>0</v>
      </c>
      <c r="I37">
        <v>0</v>
      </c>
      <c r="J37">
        <v>1</v>
      </c>
      <c r="K37" t="s">
        <v>14</v>
      </c>
      <c r="L37" t="s">
        <v>14</v>
      </c>
    </row>
    <row r="38" ht="17" spans="1:12">
      <c r="A38" s="1" t="s">
        <v>45</v>
      </c>
      <c r="B38" t="s">
        <v>39</v>
      </c>
      <c r="C38" t="str">
        <f t="shared" si="0"/>
        <v>OS</v>
      </c>
      <c r="D38">
        <v>1</v>
      </c>
      <c r="E38" t="str">
        <f t="shared" si="1"/>
        <v>Consistent</v>
      </c>
      <c r="F38" t="str">
        <f t="shared" si="2"/>
        <v>Low</v>
      </c>
      <c r="G38" t="str">
        <f t="shared" si="3"/>
        <v>MODERATE</v>
      </c>
      <c r="H38">
        <v>0</v>
      </c>
      <c r="I38">
        <v>0</v>
      </c>
      <c r="J38">
        <v>1</v>
      </c>
      <c r="K38" t="s">
        <v>14</v>
      </c>
      <c r="L38" t="s">
        <v>14</v>
      </c>
    </row>
    <row r="39" ht="17" spans="1:12">
      <c r="A39" s="1" t="s">
        <v>46</v>
      </c>
      <c r="B39" t="s">
        <v>39</v>
      </c>
      <c r="C39" t="str">
        <f t="shared" si="0"/>
        <v>OS</v>
      </c>
      <c r="D39">
        <v>1</v>
      </c>
      <c r="E39" t="str">
        <f t="shared" si="1"/>
        <v>Consistent</v>
      </c>
      <c r="F39" t="str">
        <f t="shared" si="2"/>
        <v>Low</v>
      </c>
      <c r="G39" t="str">
        <f t="shared" si="3"/>
        <v>MODERATE</v>
      </c>
      <c r="H39">
        <v>1</v>
      </c>
      <c r="I39">
        <v>0</v>
      </c>
      <c r="J39">
        <v>1</v>
      </c>
      <c r="K39" t="s">
        <v>14</v>
      </c>
      <c r="L39" t="s">
        <v>14</v>
      </c>
    </row>
    <row r="40" ht="17" spans="1:12">
      <c r="A40" s="1" t="s">
        <v>48</v>
      </c>
      <c r="B40" t="s">
        <v>39</v>
      </c>
      <c r="C40" t="str">
        <f t="shared" si="0"/>
        <v>OS</v>
      </c>
      <c r="D40">
        <v>1</v>
      </c>
      <c r="E40" t="str">
        <f t="shared" si="1"/>
        <v>Consistent</v>
      </c>
      <c r="F40" t="str">
        <f t="shared" si="2"/>
        <v>Low</v>
      </c>
      <c r="G40" t="str">
        <f t="shared" si="3"/>
        <v>MODERATE</v>
      </c>
      <c r="H40">
        <v>0</v>
      </c>
      <c r="I40">
        <v>0</v>
      </c>
      <c r="J40">
        <v>1</v>
      </c>
      <c r="K40" t="s">
        <v>14</v>
      </c>
      <c r="L40" t="s">
        <v>14</v>
      </c>
    </row>
    <row r="41" ht="17" spans="1:12">
      <c r="A41" s="1" t="s">
        <v>49</v>
      </c>
      <c r="B41" t="s">
        <v>39</v>
      </c>
      <c r="C41" t="str">
        <f t="shared" si="0"/>
        <v>OS</v>
      </c>
      <c r="D41">
        <v>1</v>
      </c>
      <c r="E41" t="str">
        <f t="shared" si="1"/>
        <v>Consistent</v>
      </c>
      <c r="F41" t="str">
        <f t="shared" si="2"/>
        <v>Low</v>
      </c>
      <c r="G41" t="str">
        <f t="shared" si="3"/>
        <v>MODERATE</v>
      </c>
      <c r="H41">
        <v>0</v>
      </c>
      <c r="I41">
        <v>0</v>
      </c>
      <c r="J41">
        <v>1</v>
      </c>
      <c r="K41" t="s">
        <v>14</v>
      </c>
      <c r="L41" t="s">
        <v>14</v>
      </c>
    </row>
    <row r="42" ht="17" spans="1:12">
      <c r="A42" s="1" t="s">
        <v>50</v>
      </c>
      <c r="B42" t="s">
        <v>39</v>
      </c>
      <c r="C42" t="str">
        <f t="shared" si="0"/>
        <v>OS</v>
      </c>
      <c r="D42">
        <v>1</v>
      </c>
      <c r="E42" t="str">
        <f t="shared" si="1"/>
        <v>Consistent</v>
      </c>
      <c r="F42" t="str">
        <f t="shared" si="2"/>
        <v>Low</v>
      </c>
      <c r="G42" t="str">
        <f t="shared" si="3"/>
        <v>MODERATE</v>
      </c>
      <c r="H42">
        <v>0</v>
      </c>
      <c r="I42">
        <v>0</v>
      </c>
      <c r="J42">
        <v>1</v>
      </c>
      <c r="K42" t="s">
        <v>14</v>
      </c>
      <c r="L42"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2025-05-23T11:53:00Z</dcterms:created>
  <dcterms:modified xsi:type="dcterms:W3CDTF">2025-05-23T19:23:49Z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300043048CE53073C55A3068D36AC1A3_42</vt:lpwstr>
  </property>
  <property fmtid="{D5CDD505-2E9C-101B-9397-08002B2CF9AE}" pid="4" name="KSOProductBuildVer">
    <vt:lpwstr>1033-6.13.1.8710</vt:lpwstr>
  </property>
</Properties>
</file>