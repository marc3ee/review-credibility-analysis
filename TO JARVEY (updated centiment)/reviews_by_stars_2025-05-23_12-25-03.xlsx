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<sst xmlns="http://schemas.openxmlformats.org/spreadsheetml/2006/main" count="188" uniqueCount="59">
  <si>
    <t>Review</t>
  </si>
  <si>
    <t>Sentiment</t>
  </si>
  <si>
    <t>Sidedness</t>
  </si>
  <si>
    <t>Star Rating</t>
  </si>
  <si>
    <t>Consistency</t>
  </si>
  <si>
    <t>Info Diversity</t>
  </si>
  <si>
    <t>PERCEIVED HELPFULNESS</t>
  </si>
  <si>
    <t>PD_F</t>
  </si>
  <si>
    <t>PD_F_TMP</t>
  </si>
  <si>
    <t>MAN_UI</t>
  </si>
  <si>
    <t>SPM</t>
  </si>
  <si>
    <t>CREDIBILITY</t>
  </si>
  <si>
    <t>durability: 8 ease of use: 8 shine: 8 great for cleaning my car and bike! , magic gaas leaves no oily residue! , the hydophobic formula is impressive! , the free cloth is a great bonus! ,</t>
  </si>
  <si>
    <t>NEUTRAL</t>
  </si>
  <si>
    <t/>
  </si>
  <si>
    <t>the free cloth is a great bonus! , durability: i love how versatile magic gaas is! wow legit thanks seller, 2 pa free na towel</t>
  </si>
  <si>
    <t>POSITIVE</t>
  </si>
  <si>
    <t>the free cloth is a great bonus! , quick and easy to apply! , great for cleaning my car and bike! , perfect for matte and glossy surfaces! ,</t>
  </si>
  <si>
    <t>works wonders on plastic, vinyl, and chrome! , magic gaas is amazing! , free towels and easy to apply</t>
  </si>
  <si>
    <t>works wonders on plastic, vinyl, and chrome! , the free cloth is a great bonus! , great for cleaning my car and bike! , i love how versatile magic gaas is! , magic gaas is amazing! , perfect for matte and glossy surfaces! ,</t>
  </si>
  <si>
    <t>the free cloth is a great bonus! , i love how versatile magic gaas is! , magic gaas leaves no oily residue! ,</t>
  </si>
  <si>
    <t>perfect for matte and glossy surfaces! , magic gaas leaves no oily residue! , the free cloth is a great bonus! , great for cleaning my car and bike! ,</t>
  </si>
  <si>
    <t>ok naman po siya at legit talaga po siya thank you seller.</t>
  </si>
  <si>
    <t>quick and easy to apply! , durability: magic gaas leaves no oily residue! , ease of use: yes shine: super itoo</t>
  </si>
  <si>
    <t>the free cloth is a great bonus! , perfect for matte and glossy surfaces! ,</t>
  </si>
  <si>
    <t>got my order just this morning. just want to inform ssller na kulang ung face towel ng 5 pcs. 15 pcs po orders ko. . ung iisang item wala pong sticker. for sale po kasi yon re order na po ito pero naging careless ung nag prepare. i hope malaman ito at ma actionan ni seller. ty</t>
  </si>
  <si>
    <t>NEGATIVE</t>
  </si>
  <si>
    <t>hhhhhhhhhhhhhhhhhhhhhhhhhuuuuuujuhuhuhujjuuuuujjujjjjjjjjjjjj=jjjjjjjjjjujjuju</t>
  </si>
  <si>
    <t>Low</t>
  </si>
  <si>
    <t>bat ganon, , 250ml un picture, , bat un dumating 100ml lang</t>
  </si>
  <si>
    <t>ok naman cya maganda at mura pa. order n kayo</t>
  </si>
  <si>
    <t>ok po xa. good xa liget naman ganda mutor k. kc ganda k chgaroot. gasnda po.</t>
  </si>
  <si>
    <t>mabili din sa akin kc maganda cya. thanks</t>
  </si>
  <si>
    <t>perfect for matte and glossy surfaces! ,</t>
  </si>
  <si>
    <t>quick and easy to apply!</t>
  </si>
  <si>
    <t>performance: good</t>
  </si>
  <si>
    <t>what happened why become small your selling product is different from my first ordered</t>
  </si>
  <si>
    <t>magic gaas is amazing! , maliit lang pla kala ko malaki kasi nkalagay 250 ml 100 ml lang naman pla</t>
  </si>
  <si>
    <t>okay naman sya, maganda magkaka pack ng parcel at si kuya rider mabait din sya, sana next time sa orders ko sya padin magdeliver</t>
  </si>
  <si>
    <t>quality: good appearance: good performance: gooxd</t>
  </si>
  <si>
    <t>quick and easy to apply! ,</t>
  </si>
  <si>
    <t>not as good as advertise</t>
  </si>
  <si>
    <t>good</t>
  </si>
  <si>
    <t>goods naman</t>
  </si>
  <si>
    <t>not effective. . twice qoh lng gnamit. . umorder nlng aqoh sa iba w/c is totoong effective. .</t>
  </si>
  <si>
    <t>tnx seller satisfied naman</t>
  </si>
  <si>
    <t>ok ang ballot hnd kpa nasubukan meron pa kc ako eh</t>
  </si>
  <si>
    <t>nag order ako at bayad na thru maya. delivered status ng order ko kahit wala akong na receive. walang proof of delivery. declined pa refung request. mga scammer tong mga to!</t>
  </si>
  <si>
    <t>hnidi maganda bitin sa note10 lite performance: scam iba pinadala yu</t>
  </si>
  <si>
    <t>ang baho amoy laway! sana i-improve yung amoy. nakakasuka lalo pag dumikit sa kamay</t>
  </si>
  <si>
    <t>thank you seller. . goods nmn at maayos na nakarating ung order q.</t>
  </si>
  <si>
    <t>improve your delivery fast</t>
  </si>
  <si>
    <t>nice 3x</t>
  </si>
  <si>
    <t>performance: nice products</t>
  </si>
  <si>
    <t>ang liit pla mahal akala ko kasing laki ng dati kung bibili logi madaya. . . .</t>
  </si>
  <si>
    <t>ang liit pala yung isang order ko malaki</t>
  </si>
  <si>
    <t>wlang kwenta naqa lagay sa lagayan ng ice water ung towel iba pa ung towel</t>
  </si>
  <si>
    <t>not satisfied compare to other magic gatas.</t>
  </si>
  <si>
    <t>good at maganda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</si>
</sst>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
  <sheetViews>
    <sheetView tabSelected="1" workbookViewId="0">
      <selection activeCell="B46" sqref="B46"/>
    </sheetView>
  </sheetViews>
  <sheetFormatPr defaultColWidth="9" defaultRowHeight="16.8"/>
  <cols>
    <col min="1" max="1" width="80.72656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51" si="0">IF(B2="NEUTRAL","TS","OS")</f>
        <v>TS</v>
      </c>
      <c r="D2">
        <v>5</v>
      </c>
      <c r="E2" t="str">
        <f t="shared" ref="E2:E51" si="1">IF(C2="TS",IF(D2=3,"Consistent",IF(OR(D2=2,D2=4),"Partially Consistent","Inconsistent")),IF(D2=3,"Inconsistent",IF(AND(D2=5,B2="POSITIVE"),"Consistent",IF(AND(D2=1,B2="NEGATIVE"),"Consistent",IF(AND(D2=4,B2="POSITIVE"),"Partially Consistent",IF(AND(D2=2,B2="NEGATIVE"),"Partially Consistent","Inconsistent"))))))</f>
        <v>Inconsistent</v>
      </c>
      <c r="F2" t="str">
        <f t="shared" ref="F2:F51" si="2">IF(C2="TS","High","Low")</f>
        <v>High</v>
      </c>
      <c r="G2" t="str">
        <f t="shared" ref="G2:G51" si="3">IF(AND(B2="NEUTRAL",F2="Low"),"LOW",IF(AND(C2="TS",F2="High",D2=3),"HIGH",IF(AND(C2="TS",F2="High",OR(D2=2,D2=4)),"HIGH",IF(AND(C2="TS",F2="High",OR(D2=1,D2=5)),"MODERATE",IF(AND(C2="OS",E2="Consistent",OR(D2=1,D2=5)),"MODERATE",IF(AND(C2="OS",E2="Partially Consistent",OR(D2=2,D2=4)),"MODERATE","LOW"))))))</f>
        <v>MODERATE</v>
      </c>
      <c r="H2">
        <v>1</v>
      </c>
      <c r="I2">
        <v>1</v>
      </c>
      <c r="J2">
        <v>1</v>
      </c>
      <c r="K2" t="s">
        <v>14</v>
      </c>
      <c r="L2" t="s">
        <v>14</v>
      </c>
    </row>
    <row r="3" ht="34" spans="1:12">
      <c r="A3" s="1" t="s">
        <v>15</v>
      </c>
      <c r="B3" t="s">
        <v>16</v>
      </c>
      <c r="C3" t="str">
        <f t="shared" si="0"/>
        <v>OS</v>
      </c>
      <c r="D3">
        <v>5</v>
      </c>
      <c r="E3" t="str">
        <f t="shared" si="1"/>
        <v>Consistent</v>
      </c>
      <c r="F3" t="str">
        <f t="shared" si="2"/>
        <v>Low</v>
      </c>
      <c r="G3" t="str">
        <f t="shared" si="3"/>
        <v>MODERATE</v>
      </c>
      <c r="H3">
        <v>1</v>
      </c>
      <c r="I3">
        <v>1</v>
      </c>
      <c r="J3">
        <v>1</v>
      </c>
      <c r="K3" t="s">
        <v>14</v>
      </c>
      <c r="L3" t="s">
        <v>14</v>
      </c>
    </row>
    <row r="4" ht="34" spans="1:12">
      <c r="A4" s="1" t="s">
        <v>17</v>
      </c>
      <c r="B4" t="s">
        <v>16</v>
      </c>
      <c r="C4" t="str">
        <f t="shared" si="0"/>
        <v>OS</v>
      </c>
      <c r="D4">
        <v>5</v>
      </c>
      <c r="E4" t="str">
        <f t="shared" si="1"/>
        <v>Consistent</v>
      </c>
      <c r="F4" t="str">
        <f t="shared" si="2"/>
        <v>Low</v>
      </c>
      <c r="G4" t="str">
        <f t="shared" si="3"/>
        <v>MODERATE</v>
      </c>
      <c r="H4">
        <v>0</v>
      </c>
      <c r="I4">
        <v>1</v>
      </c>
      <c r="J4">
        <v>0</v>
      </c>
      <c r="K4" t="s">
        <v>14</v>
      </c>
      <c r="L4" t="s">
        <v>14</v>
      </c>
    </row>
    <row r="5" ht="17" spans="1:12">
      <c r="A5" s="1" t="s">
        <v>18</v>
      </c>
      <c r="B5" t="s">
        <v>13</v>
      </c>
      <c r="C5" t="str">
        <f t="shared" si="0"/>
        <v>TS</v>
      </c>
      <c r="D5">
        <v>5</v>
      </c>
      <c r="E5" t="str">
        <f t="shared" si="1"/>
        <v>Inconsistent</v>
      </c>
      <c r="F5" t="str">
        <f t="shared" si="2"/>
        <v>High</v>
      </c>
      <c r="G5" t="str">
        <f t="shared" si="3"/>
        <v>MODERATE</v>
      </c>
      <c r="H5">
        <v>0</v>
      </c>
      <c r="I5">
        <v>1</v>
      </c>
      <c r="J5">
        <v>0</v>
      </c>
      <c r="K5" t="s">
        <v>14</v>
      </c>
      <c r="L5" t="s">
        <v>14</v>
      </c>
    </row>
    <row r="6" ht="51" spans="1:12">
      <c r="A6" s="1" t="s">
        <v>19</v>
      </c>
      <c r="B6" t="s">
        <v>16</v>
      </c>
      <c r="C6" t="str">
        <f t="shared" si="0"/>
        <v>OS</v>
      </c>
      <c r="D6">
        <v>5</v>
      </c>
      <c r="E6" t="str">
        <f t="shared" si="1"/>
        <v>Consistent</v>
      </c>
      <c r="F6" t="str">
        <f t="shared" si="2"/>
        <v>Low</v>
      </c>
      <c r="G6" t="str">
        <f t="shared" si="3"/>
        <v>MODERATE</v>
      </c>
      <c r="H6">
        <v>0</v>
      </c>
      <c r="I6">
        <v>1</v>
      </c>
      <c r="J6">
        <v>0</v>
      </c>
      <c r="K6" t="s">
        <v>14</v>
      </c>
      <c r="L6" t="s">
        <v>14</v>
      </c>
    </row>
    <row r="7" ht="34" spans="1:12">
      <c r="A7" s="1" t="s">
        <v>20</v>
      </c>
      <c r="B7" t="s">
        <v>16</v>
      </c>
      <c r="C7" t="str">
        <f t="shared" si="0"/>
        <v>OS</v>
      </c>
      <c r="D7">
        <v>5</v>
      </c>
      <c r="E7" t="str">
        <f t="shared" si="1"/>
        <v>Consistent</v>
      </c>
      <c r="F7" t="str">
        <f t="shared" si="2"/>
        <v>Low</v>
      </c>
      <c r="G7" t="str">
        <f t="shared" si="3"/>
        <v>MODERATE</v>
      </c>
      <c r="H7">
        <v>0</v>
      </c>
      <c r="I7">
        <v>1</v>
      </c>
      <c r="J7">
        <v>0</v>
      </c>
      <c r="K7" t="s">
        <v>14</v>
      </c>
      <c r="L7" t="s">
        <v>14</v>
      </c>
    </row>
    <row r="8" ht="34" spans="1:12">
      <c r="A8" s="1" t="s">
        <v>21</v>
      </c>
      <c r="B8" t="s">
        <v>16</v>
      </c>
      <c r="C8" t="str">
        <f t="shared" si="0"/>
        <v>OS</v>
      </c>
      <c r="D8">
        <v>5</v>
      </c>
      <c r="E8" t="str">
        <f t="shared" si="1"/>
        <v>Consistent</v>
      </c>
      <c r="F8" t="str">
        <f t="shared" si="2"/>
        <v>Low</v>
      </c>
      <c r="G8" t="str">
        <f t="shared" si="3"/>
        <v>MODERATE</v>
      </c>
      <c r="H8">
        <v>0</v>
      </c>
      <c r="I8">
        <v>1</v>
      </c>
      <c r="J8">
        <v>0</v>
      </c>
      <c r="K8" t="s">
        <v>14</v>
      </c>
      <c r="L8" t="s">
        <v>14</v>
      </c>
    </row>
    <row r="9" ht="17" spans="1:12">
      <c r="A9" s="1" t="s">
        <v>22</v>
      </c>
      <c r="B9" t="s">
        <v>16</v>
      </c>
      <c r="C9" t="str">
        <f t="shared" si="0"/>
        <v>OS</v>
      </c>
      <c r="D9">
        <v>5</v>
      </c>
      <c r="E9" t="str">
        <f t="shared" si="1"/>
        <v>Consistent</v>
      </c>
      <c r="F9" t="str">
        <f t="shared" si="2"/>
        <v>Low</v>
      </c>
      <c r="G9" t="str">
        <f t="shared" si="3"/>
        <v>MODERATE</v>
      </c>
      <c r="H9">
        <v>0</v>
      </c>
      <c r="I9">
        <v>0</v>
      </c>
      <c r="J9">
        <v>1</v>
      </c>
      <c r="K9" t="s">
        <v>14</v>
      </c>
      <c r="L9" t="s">
        <v>14</v>
      </c>
    </row>
    <row r="10" ht="34" spans="1:12">
      <c r="A10" s="1" t="s">
        <v>23</v>
      </c>
      <c r="B10" t="s">
        <v>16</v>
      </c>
      <c r="C10" t="str">
        <f t="shared" si="0"/>
        <v>OS</v>
      </c>
      <c r="D10">
        <v>5</v>
      </c>
      <c r="E10" t="str">
        <f t="shared" si="1"/>
        <v>Consistent</v>
      </c>
      <c r="F10" t="str">
        <f t="shared" si="2"/>
        <v>Low</v>
      </c>
      <c r="G10" t="str">
        <f t="shared" si="3"/>
        <v>MODERATE</v>
      </c>
      <c r="H10">
        <v>1</v>
      </c>
      <c r="I10">
        <v>1</v>
      </c>
      <c r="J10">
        <v>0</v>
      </c>
      <c r="K10" t="s">
        <v>14</v>
      </c>
      <c r="L10" t="s">
        <v>14</v>
      </c>
    </row>
    <row r="11" ht="17" spans="1:12">
      <c r="A11" s="1" t="s">
        <v>24</v>
      </c>
      <c r="B11" t="s">
        <v>16</v>
      </c>
      <c r="C11" t="str">
        <f t="shared" si="0"/>
        <v>OS</v>
      </c>
      <c r="D11">
        <v>5</v>
      </c>
      <c r="E11" t="str">
        <f t="shared" si="1"/>
        <v>Consistent</v>
      </c>
      <c r="F11" t="str">
        <f t="shared" si="2"/>
        <v>Low</v>
      </c>
      <c r="G11" t="str">
        <f t="shared" si="3"/>
        <v>MODERATE</v>
      </c>
      <c r="H11">
        <v>0</v>
      </c>
      <c r="I11">
        <v>1</v>
      </c>
      <c r="J11">
        <v>0</v>
      </c>
      <c r="K11" t="s">
        <v>14</v>
      </c>
      <c r="L11" t="s">
        <v>14</v>
      </c>
    </row>
    <row r="12" ht="51" spans="1:12">
      <c r="A12" s="1" t="s">
        <v>25</v>
      </c>
      <c r="B12" t="s">
        <v>26</v>
      </c>
      <c r="C12" t="str">
        <f t="shared" si="0"/>
        <v>OS</v>
      </c>
      <c r="D12">
        <v>4</v>
      </c>
      <c r="E12" t="str">
        <f t="shared" si="1"/>
        <v>Inconsistent</v>
      </c>
      <c r="F12" t="str">
        <f t="shared" si="2"/>
        <v>Low</v>
      </c>
      <c r="G12" t="str">
        <f t="shared" si="3"/>
        <v>LOW</v>
      </c>
      <c r="H12">
        <v>0</v>
      </c>
      <c r="I12">
        <v>0</v>
      </c>
      <c r="J12">
        <v>1</v>
      </c>
      <c r="K12" t="s">
        <v>14</v>
      </c>
      <c r="L12" t="s">
        <v>14</v>
      </c>
    </row>
    <row r="13" ht="17" spans="1:12">
      <c r="A13" s="1" t="s">
        <v>27</v>
      </c>
      <c r="B13" t="s">
        <v>13</v>
      </c>
      <c r="C13" t="str">
        <f t="shared" si="0"/>
        <v>TS</v>
      </c>
      <c r="D13">
        <v>4</v>
      </c>
      <c r="E13" t="str">
        <f t="shared" si="1"/>
        <v>Partially Consistent</v>
      </c>
      <c r="F13" t="s">
        <v>28</v>
      </c>
      <c r="G13" t="str">
        <f t="shared" si="3"/>
        <v>LOW</v>
      </c>
      <c r="H13">
        <v>0</v>
      </c>
      <c r="I13">
        <v>0</v>
      </c>
      <c r="J13">
        <v>1</v>
      </c>
      <c r="K13">
        <v>1</v>
      </c>
      <c r="L13" t="s">
        <v>14</v>
      </c>
    </row>
    <row r="14" ht="17" spans="1:12">
      <c r="A14" s="1" t="s">
        <v>29</v>
      </c>
      <c r="B14" t="s">
        <v>26</v>
      </c>
      <c r="C14" t="str">
        <f t="shared" si="0"/>
        <v>OS</v>
      </c>
      <c r="D14">
        <v>4</v>
      </c>
      <c r="E14" t="str">
        <f t="shared" si="1"/>
        <v>Inconsistent</v>
      </c>
      <c r="F14" t="str">
        <f t="shared" si="2"/>
        <v>Low</v>
      </c>
      <c r="G14" t="str">
        <f t="shared" si="3"/>
        <v>LOW</v>
      </c>
      <c r="H14">
        <v>0</v>
      </c>
      <c r="I14">
        <v>0</v>
      </c>
      <c r="J14">
        <v>1</v>
      </c>
      <c r="K14" t="s">
        <v>14</v>
      </c>
      <c r="L14" t="s">
        <v>14</v>
      </c>
    </row>
    <row r="15" ht="17" spans="1:12">
      <c r="A15" s="1" t="s">
        <v>30</v>
      </c>
      <c r="B15" t="s">
        <v>16</v>
      </c>
      <c r="C15" t="str">
        <f t="shared" si="0"/>
        <v>OS</v>
      </c>
      <c r="D15">
        <v>4</v>
      </c>
      <c r="E15" t="str">
        <f t="shared" si="1"/>
        <v>Partially Consistent</v>
      </c>
      <c r="F15" t="str">
        <f t="shared" si="2"/>
        <v>Low</v>
      </c>
      <c r="G15" t="str">
        <f t="shared" si="3"/>
        <v>MODERATE</v>
      </c>
      <c r="H15">
        <v>0</v>
      </c>
      <c r="I15">
        <v>0</v>
      </c>
      <c r="J15">
        <v>1</v>
      </c>
      <c r="K15" t="s">
        <v>14</v>
      </c>
      <c r="L15" t="s">
        <v>14</v>
      </c>
    </row>
    <row r="16" ht="17" spans="1:12">
      <c r="A16" s="1" t="s">
        <v>31</v>
      </c>
      <c r="B16" t="s">
        <v>16</v>
      </c>
      <c r="C16" t="str">
        <f t="shared" si="0"/>
        <v>OS</v>
      </c>
      <c r="D16">
        <v>4</v>
      </c>
      <c r="E16" t="str">
        <f t="shared" si="1"/>
        <v>Partially Consistent</v>
      </c>
      <c r="F16" t="str">
        <f t="shared" si="2"/>
        <v>Low</v>
      </c>
      <c r="G16" t="str">
        <f t="shared" si="3"/>
        <v>MODERATE</v>
      </c>
      <c r="H16">
        <v>0</v>
      </c>
      <c r="I16">
        <v>0</v>
      </c>
      <c r="J16">
        <v>1</v>
      </c>
      <c r="K16" t="s">
        <v>14</v>
      </c>
      <c r="L16" t="s">
        <v>14</v>
      </c>
    </row>
    <row r="17" ht="17" spans="1:12">
      <c r="A17" s="1" t="s">
        <v>32</v>
      </c>
      <c r="B17" t="s">
        <v>16</v>
      </c>
      <c r="C17" t="str">
        <f t="shared" si="0"/>
        <v>OS</v>
      </c>
      <c r="D17">
        <v>4</v>
      </c>
      <c r="E17" t="str">
        <f t="shared" si="1"/>
        <v>Partially Consistent</v>
      </c>
      <c r="F17" t="str">
        <f t="shared" si="2"/>
        <v>Low</v>
      </c>
      <c r="G17" t="str">
        <f t="shared" si="3"/>
        <v>MODERATE</v>
      </c>
      <c r="H17">
        <v>0</v>
      </c>
      <c r="I17">
        <v>0</v>
      </c>
      <c r="J17">
        <v>1</v>
      </c>
      <c r="K17" t="s">
        <v>14</v>
      </c>
      <c r="L17" t="s">
        <v>14</v>
      </c>
    </row>
    <row r="18" ht="17" spans="1:12">
      <c r="A18" s="1" t="s">
        <v>33</v>
      </c>
      <c r="B18" t="s">
        <v>16</v>
      </c>
      <c r="C18" t="str">
        <f t="shared" si="0"/>
        <v>OS</v>
      </c>
      <c r="D18">
        <v>4</v>
      </c>
      <c r="E18" t="str">
        <f t="shared" si="1"/>
        <v>Partially Consistent</v>
      </c>
      <c r="F18" t="str">
        <f t="shared" si="2"/>
        <v>Low</v>
      </c>
      <c r="G18" t="str">
        <f t="shared" si="3"/>
        <v>MODERATE</v>
      </c>
      <c r="H18">
        <v>0</v>
      </c>
      <c r="I18">
        <v>1</v>
      </c>
      <c r="J18">
        <v>0</v>
      </c>
      <c r="K18" t="s">
        <v>14</v>
      </c>
      <c r="L18" t="s">
        <v>14</v>
      </c>
    </row>
    <row r="19" ht="17" spans="1:12">
      <c r="A19" s="1" t="s">
        <v>34</v>
      </c>
      <c r="B19" t="s">
        <v>16</v>
      </c>
      <c r="C19" t="str">
        <f t="shared" si="0"/>
        <v>OS</v>
      </c>
      <c r="D19">
        <v>4</v>
      </c>
      <c r="E19" t="str">
        <f t="shared" si="1"/>
        <v>Partially Consistent</v>
      </c>
      <c r="F19" t="str">
        <f t="shared" si="2"/>
        <v>Low</v>
      </c>
      <c r="G19" t="str">
        <f t="shared" si="3"/>
        <v>MODERATE</v>
      </c>
      <c r="H19">
        <v>0</v>
      </c>
      <c r="I19">
        <v>1</v>
      </c>
      <c r="J19">
        <v>0</v>
      </c>
      <c r="K19" t="s">
        <v>14</v>
      </c>
      <c r="L19" t="s">
        <v>14</v>
      </c>
    </row>
    <row r="20" ht="17" spans="1:12">
      <c r="A20" s="1" t="s">
        <v>35</v>
      </c>
      <c r="B20" t="s">
        <v>16</v>
      </c>
      <c r="C20" t="str">
        <f t="shared" si="0"/>
        <v>OS</v>
      </c>
      <c r="D20">
        <v>4</v>
      </c>
      <c r="E20" t="str">
        <f t="shared" si="1"/>
        <v>Partially Consistent</v>
      </c>
      <c r="F20" t="str">
        <f t="shared" si="2"/>
        <v>Low</v>
      </c>
      <c r="G20" t="str">
        <f t="shared" si="3"/>
        <v>MODERATE</v>
      </c>
      <c r="H20">
        <v>1</v>
      </c>
      <c r="I20">
        <v>0</v>
      </c>
      <c r="J20">
        <v>1</v>
      </c>
      <c r="K20" t="s">
        <v>14</v>
      </c>
      <c r="L20" t="s">
        <v>14</v>
      </c>
    </row>
    <row r="21" ht="17" spans="1:12">
      <c r="A21" s="1" t="s">
        <v>36</v>
      </c>
      <c r="B21" t="s">
        <v>26</v>
      </c>
      <c r="C21" t="str">
        <f t="shared" si="0"/>
        <v>OS</v>
      </c>
      <c r="D21">
        <v>4</v>
      </c>
      <c r="E21" t="str">
        <f t="shared" si="1"/>
        <v>Inconsistent</v>
      </c>
      <c r="F21" t="str">
        <f t="shared" si="2"/>
        <v>Low</v>
      </c>
      <c r="G21" t="str">
        <f t="shared" si="3"/>
        <v>LOW</v>
      </c>
      <c r="H21">
        <v>0</v>
      </c>
      <c r="I21">
        <v>0</v>
      </c>
      <c r="J21">
        <v>1</v>
      </c>
      <c r="K21" t="s">
        <v>14</v>
      </c>
      <c r="L21" t="s">
        <v>14</v>
      </c>
    </row>
    <row r="22" ht="17" spans="1:12">
      <c r="A22" s="1" t="s">
        <v>37</v>
      </c>
      <c r="B22" t="s">
        <v>13</v>
      </c>
      <c r="C22" t="str">
        <f t="shared" si="0"/>
        <v>TS</v>
      </c>
      <c r="D22">
        <v>3</v>
      </c>
      <c r="E22" t="str">
        <f t="shared" si="1"/>
        <v>Consistent</v>
      </c>
      <c r="F22" t="str">
        <f t="shared" si="2"/>
        <v>High</v>
      </c>
      <c r="G22" t="str">
        <f t="shared" si="3"/>
        <v>HIGH</v>
      </c>
      <c r="H22">
        <v>0</v>
      </c>
      <c r="I22">
        <v>1</v>
      </c>
      <c r="J22">
        <v>1</v>
      </c>
      <c r="K22" t="s">
        <v>14</v>
      </c>
      <c r="L22" t="s">
        <v>14</v>
      </c>
    </row>
    <row r="23" ht="34" spans="1:12">
      <c r="A23" s="1" t="s">
        <v>38</v>
      </c>
      <c r="B23" t="s">
        <v>13</v>
      </c>
      <c r="C23" t="str">
        <f t="shared" si="0"/>
        <v>TS</v>
      </c>
      <c r="D23">
        <v>3</v>
      </c>
      <c r="E23" t="str">
        <f t="shared" si="1"/>
        <v>Consistent</v>
      </c>
      <c r="F23" t="str">
        <f t="shared" si="2"/>
        <v>High</v>
      </c>
      <c r="G23" t="str">
        <f t="shared" si="3"/>
        <v>HIGH</v>
      </c>
      <c r="H23">
        <v>0</v>
      </c>
      <c r="I23">
        <v>0</v>
      </c>
      <c r="J23">
        <v>1</v>
      </c>
      <c r="K23" t="s">
        <v>14</v>
      </c>
      <c r="L23" t="s">
        <v>14</v>
      </c>
    </row>
    <row r="24" ht="17" spans="1:12">
      <c r="A24" s="1" t="s">
        <v>39</v>
      </c>
      <c r="B24" t="s">
        <v>16</v>
      </c>
      <c r="C24" t="str">
        <f t="shared" si="0"/>
        <v>OS</v>
      </c>
      <c r="D24">
        <v>3</v>
      </c>
      <c r="E24" t="str">
        <f t="shared" si="1"/>
        <v>Inconsistent</v>
      </c>
      <c r="F24" t="str">
        <f t="shared" si="2"/>
        <v>Low</v>
      </c>
      <c r="G24" t="str">
        <f t="shared" si="3"/>
        <v>LOW</v>
      </c>
      <c r="H24">
        <v>1</v>
      </c>
      <c r="I24">
        <v>0</v>
      </c>
      <c r="J24">
        <v>1</v>
      </c>
      <c r="K24" t="s">
        <v>14</v>
      </c>
      <c r="L24" t="s">
        <v>14</v>
      </c>
    </row>
    <row r="25" ht="17" spans="1:12">
      <c r="A25" s="1" t="s">
        <v>40</v>
      </c>
      <c r="B25" t="s">
        <v>16</v>
      </c>
      <c r="C25" t="str">
        <f t="shared" si="0"/>
        <v>OS</v>
      </c>
      <c r="D25">
        <v>3</v>
      </c>
      <c r="E25" t="str">
        <f t="shared" si="1"/>
        <v>Inconsistent</v>
      </c>
      <c r="F25" t="str">
        <f t="shared" si="2"/>
        <v>Low</v>
      </c>
      <c r="G25" t="str">
        <f t="shared" si="3"/>
        <v>LOW</v>
      </c>
      <c r="H25">
        <v>0</v>
      </c>
      <c r="I25">
        <v>1</v>
      </c>
      <c r="J25">
        <v>0</v>
      </c>
      <c r="K25" t="s">
        <v>14</v>
      </c>
      <c r="L25" t="s">
        <v>14</v>
      </c>
    </row>
    <row r="26" ht="17" spans="1:12">
      <c r="A26" s="1" t="s">
        <v>41</v>
      </c>
      <c r="B26" t="s">
        <v>26</v>
      </c>
      <c r="C26" t="str">
        <f t="shared" si="0"/>
        <v>OS</v>
      </c>
      <c r="D26">
        <v>3</v>
      </c>
      <c r="E26" t="str">
        <f t="shared" si="1"/>
        <v>Inconsistent</v>
      </c>
      <c r="F26" t="str">
        <f t="shared" si="2"/>
        <v>Low</v>
      </c>
      <c r="G26" t="str">
        <f t="shared" si="3"/>
        <v>LOW</v>
      </c>
      <c r="H26">
        <v>0</v>
      </c>
      <c r="I26">
        <v>0</v>
      </c>
      <c r="J26">
        <v>1</v>
      </c>
      <c r="K26" t="s">
        <v>14</v>
      </c>
      <c r="L26" t="s">
        <v>14</v>
      </c>
    </row>
    <row r="27" ht="17" spans="1:12">
      <c r="A27" s="1" t="s">
        <v>42</v>
      </c>
      <c r="B27" t="s">
        <v>16</v>
      </c>
      <c r="C27" t="str">
        <f t="shared" si="0"/>
        <v>OS</v>
      </c>
      <c r="D27">
        <v>3</v>
      </c>
      <c r="E27" t="str">
        <f t="shared" si="1"/>
        <v>Inconsistent</v>
      </c>
      <c r="F27" t="str">
        <f t="shared" si="2"/>
        <v>Low</v>
      </c>
      <c r="G27" t="str">
        <f t="shared" si="3"/>
        <v>LOW</v>
      </c>
      <c r="H27">
        <v>0</v>
      </c>
      <c r="I27">
        <v>0</v>
      </c>
      <c r="J27">
        <v>1</v>
      </c>
      <c r="K27" t="s">
        <v>14</v>
      </c>
      <c r="L27" t="s">
        <v>14</v>
      </c>
    </row>
    <row r="28" ht="17" spans="1:12">
      <c r="A28" s="1" t="s">
        <v>43</v>
      </c>
      <c r="B28" t="s">
        <v>16</v>
      </c>
      <c r="C28" t="str">
        <f t="shared" si="0"/>
        <v>OS</v>
      </c>
      <c r="D28">
        <v>3</v>
      </c>
      <c r="E28" t="str">
        <f t="shared" si="1"/>
        <v>Inconsistent</v>
      </c>
      <c r="F28" t="str">
        <f t="shared" si="2"/>
        <v>Low</v>
      </c>
      <c r="G28" t="str">
        <f t="shared" si="3"/>
        <v>LOW</v>
      </c>
      <c r="H28">
        <v>0</v>
      </c>
      <c r="I28">
        <v>0</v>
      </c>
      <c r="J28">
        <v>1</v>
      </c>
      <c r="K28" t="s">
        <v>14</v>
      </c>
      <c r="L28" t="s">
        <v>14</v>
      </c>
    </row>
    <row r="29" ht="17" spans="1:12">
      <c r="A29" s="1" t="s">
        <v>44</v>
      </c>
      <c r="B29" t="s">
        <v>13</v>
      </c>
      <c r="C29" t="str">
        <f t="shared" si="0"/>
        <v>TS</v>
      </c>
      <c r="D29">
        <v>3</v>
      </c>
      <c r="E29" t="str">
        <f t="shared" si="1"/>
        <v>Consistent</v>
      </c>
      <c r="F29" t="str">
        <f t="shared" si="2"/>
        <v>High</v>
      </c>
      <c r="G29" t="str">
        <f t="shared" si="3"/>
        <v>HIGH</v>
      </c>
      <c r="H29">
        <v>0</v>
      </c>
      <c r="I29">
        <v>0</v>
      </c>
      <c r="J29">
        <v>1</v>
      </c>
      <c r="K29" t="s">
        <v>14</v>
      </c>
      <c r="L29" t="s">
        <v>14</v>
      </c>
    </row>
    <row r="30" ht="17" spans="1:12">
      <c r="A30" s="1" t="s">
        <v>45</v>
      </c>
      <c r="B30" t="s">
        <v>16</v>
      </c>
      <c r="C30" t="str">
        <f t="shared" si="0"/>
        <v>OS</v>
      </c>
      <c r="D30">
        <v>3</v>
      </c>
      <c r="E30" t="str">
        <f t="shared" si="1"/>
        <v>Inconsistent</v>
      </c>
      <c r="F30" t="str">
        <f t="shared" si="2"/>
        <v>Low</v>
      </c>
      <c r="G30" t="str">
        <f t="shared" si="3"/>
        <v>LOW</v>
      </c>
      <c r="H30">
        <v>0</v>
      </c>
      <c r="I30">
        <v>0</v>
      </c>
      <c r="J30">
        <v>1</v>
      </c>
      <c r="K30" t="s">
        <v>14</v>
      </c>
      <c r="L30" t="s">
        <v>14</v>
      </c>
    </row>
    <row r="31" ht="17" spans="1:12">
      <c r="A31" s="1" t="s">
        <v>46</v>
      </c>
      <c r="B31" t="s">
        <v>26</v>
      </c>
      <c r="C31" t="str">
        <f t="shared" si="0"/>
        <v>OS</v>
      </c>
      <c r="D31">
        <v>3</v>
      </c>
      <c r="E31" t="str">
        <f t="shared" si="1"/>
        <v>Inconsistent</v>
      </c>
      <c r="F31" t="str">
        <f t="shared" si="2"/>
        <v>Low</v>
      </c>
      <c r="G31" t="str">
        <f t="shared" si="3"/>
        <v>LOW</v>
      </c>
      <c r="H31">
        <v>0</v>
      </c>
      <c r="I31">
        <v>0</v>
      </c>
      <c r="J31">
        <v>1</v>
      </c>
      <c r="K31" t="s">
        <v>14</v>
      </c>
      <c r="L31" t="s">
        <v>14</v>
      </c>
    </row>
    <row r="32" ht="34" spans="1:12">
      <c r="A32" s="1" t="s">
        <v>47</v>
      </c>
      <c r="B32" t="s">
        <v>26</v>
      </c>
      <c r="C32" t="str">
        <f t="shared" si="0"/>
        <v>OS</v>
      </c>
      <c r="D32">
        <v>1</v>
      </c>
      <c r="E32" t="str">
        <f t="shared" si="1"/>
        <v>Consistent</v>
      </c>
      <c r="F32" t="str">
        <f t="shared" si="2"/>
        <v>Low</v>
      </c>
      <c r="G32" t="str">
        <f t="shared" si="3"/>
        <v>MODERATE</v>
      </c>
      <c r="H32">
        <v>0</v>
      </c>
      <c r="I32">
        <v>0</v>
      </c>
      <c r="J32">
        <v>1</v>
      </c>
      <c r="K32" t="s">
        <v>14</v>
      </c>
      <c r="L32" t="s">
        <v>14</v>
      </c>
    </row>
    <row r="33" ht="17" spans="1:12">
      <c r="A33" s="1" t="s">
        <v>48</v>
      </c>
      <c r="B33" t="s">
        <v>26</v>
      </c>
      <c r="C33" t="str">
        <f t="shared" si="0"/>
        <v>OS</v>
      </c>
      <c r="D33">
        <v>1</v>
      </c>
      <c r="E33" t="str">
        <f t="shared" si="1"/>
        <v>Consistent</v>
      </c>
      <c r="F33" t="str">
        <f t="shared" si="2"/>
        <v>Low</v>
      </c>
      <c r="G33" t="str">
        <f t="shared" si="3"/>
        <v>MODERATE</v>
      </c>
      <c r="H33">
        <v>1</v>
      </c>
      <c r="I33">
        <v>0</v>
      </c>
      <c r="J33">
        <v>1</v>
      </c>
      <c r="K33" t="s">
        <v>14</v>
      </c>
      <c r="L33" t="s">
        <v>14</v>
      </c>
    </row>
    <row r="34" ht="17" spans="1:12">
      <c r="A34" s="1" t="s">
        <v>49</v>
      </c>
      <c r="B34" t="s">
        <v>26</v>
      </c>
      <c r="C34" t="str">
        <f t="shared" si="0"/>
        <v>OS</v>
      </c>
      <c r="D34">
        <v>2</v>
      </c>
      <c r="E34" t="str">
        <f t="shared" si="1"/>
        <v>Partially Consistent</v>
      </c>
      <c r="F34" t="str">
        <f t="shared" si="2"/>
        <v>Low</v>
      </c>
      <c r="G34" t="str">
        <f t="shared" si="3"/>
        <v>MODERATE</v>
      </c>
      <c r="H34">
        <v>0</v>
      </c>
      <c r="I34">
        <v>0</v>
      </c>
      <c r="J34">
        <v>1</v>
      </c>
      <c r="K34" t="s">
        <v>14</v>
      </c>
      <c r="L34" t="s">
        <v>14</v>
      </c>
    </row>
    <row r="35" ht="17" spans="1:12">
      <c r="A35" s="1" t="s">
        <v>50</v>
      </c>
      <c r="B35" t="s">
        <v>16</v>
      </c>
      <c r="C35" t="str">
        <f t="shared" si="0"/>
        <v>OS</v>
      </c>
      <c r="D35">
        <v>2</v>
      </c>
      <c r="E35" t="str">
        <f t="shared" si="1"/>
        <v>Inconsistent</v>
      </c>
      <c r="F35" t="str">
        <f t="shared" si="2"/>
        <v>Low</v>
      </c>
      <c r="G35" t="str">
        <f t="shared" si="3"/>
        <v>LOW</v>
      </c>
      <c r="H35">
        <v>0</v>
      </c>
      <c r="I35">
        <v>0</v>
      </c>
      <c r="J35">
        <v>1</v>
      </c>
      <c r="K35" t="s">
        <v>14</v>
      </c>
      <c r="L35" t="s">
        <v>14</v>
      </c>
    </row>
    <row r="36" ht="17" spans="1:12">
      <c r="A36" s="1" t="s">
        <v>51</v>
      </c>
      <c r="B36" t="s">
        <v>26</v>
      </c>
      <c r="C36" t="str">
        <f t="shared" si="0"/>
        <v>OS</v>
      </c>
      <c r="D36">
        <v>1</v>
      </c>
      <c r="E36" t="str">
        <f t="shared" si="1"/>
        <v>Consistent</v>
      </c>
      <c r="F36" t="str">
        <f t="shared" si="2"/>
        <v>Low</v>
      </c>
      <c r="G36" t="str">
        <f t="shared" si="3"/>
        <v>MODERATE</v>
      </c>
      <c r="H36">
        <v>0</v>
      </c>
      <c r="I36">
        <v>0</v>
      </c>
      <c r="J36">
        <v>1</v>
      </c>
      <c r="K36" t="s">
        <v>14</v>
      </c>
      <c r="L36" t="s">
        <v>14</v>
      </c>
    </row>
    <row r="37" ht="17" spans="1:12">
      <c r="A37" s="1" t="s">
        <v>52</v>
      </c>
      <c r="B37" t="s">
        <v>16</v>
      </c>
      <c r="C37" t="str">
        <f t="shared" si="0"/>
        <v>OS</v>
      </c>
      <c r="D37">
        <v>1</v>
      </c>
      <c r="E37" t="str">
        <f t="shared" si="1"/>
        <v>Inconsistent</v>
      </c>
      <c r="F37" t="str">
        <f t="shared" si="2"/>
        <v>Low</v>
      </c>
      <c r="G37" t="str">
        <f t="shared" si="3"/>
        <v>LOW</v>
      </c>
      <c r="H37">
        <v>0</v>
      </c>
      <c r="I37">
        <v>0</v>
      </c>
      <c r="J37">
        <v>1</v>
      </c>
      <c r="K37" t="s">
        <v>14</v>
      </c>
      <c r="L37" t="s">
        <v>14</v>
      </c>
    </row>
    <row r="38" ht="17" spans="1:12">
      <c r="A38" s="1" t="s">
        <v>53</v>
      </c>
      <c r="B38" t="s">
        <v>16</v>
      </c>
      <c r="C38" t="str">
        <f t="shared" si="0"/>
        <v>OS</v>
      </c>
      <c r="D38">
        <v>1</v>
      </c>
      <c r="E38" t="str">
        <f t="shared" si="1"/>
        <v>Inconsistent</v>
      </c>
      <c r="F38" t="str">
        <f t="shared" si="2"/>
        <v>Low</v>
      </c>
      <c r="G38" t="str">
        <f t="shared" si="3"/>
        <v>LOW</v>
      </c>
      <c r="H38">
        <v>1</v>
      </c>
      <c r="I38">
        <v>0</v>
      </c>
      <c r="J38">
        <v>1</v>
      </c>
      <c r="K38" t="s">
        <v>14</v>
      </c>
      <c r="L38" t="s">
        <v>14</v>
      </c>
    </row>
    <row r="39" ht="17" spans="1:12">
      <c r="A39" s="1" t="s">
        <v>54</v>
      </c>
      <c r="B39" t="s">
        <v>26</v>
      </c>
      <c r="C39" t="str">
        <f t="shared" si="0"/>
        <v>OS</v>
      </c>
      <c r="D39">
        <v>1</v>
      </c>
      <c r="E39" t="str">
        <f t="shared" si="1"/>
        <v>Consistent</v>
      </c>
      <c r="F39" t="str">
        <f t="shared" si="2"/>
        <v>Low</v>
      </c>
      <c r="G39" t="str">
        <f t="shared" si="3"/>
        <v>MODERATE</v>
      </c>
      <c r="H39">
        <v>0</v>
      </c>
      <c r="I39">
        <v>0</v>
      </c>
      <c r="J39">
        <v>0</v>
      </c>
      <c r="K39" t="s">
        <v>14</v>
      </c>
      <c r="L39" t="s">
        <v>14</v>
      </c>
    </row>
    <row r="40" ht="17" spans="1:12">
      <c r="A40" s="1" t="s">
        <v>55</v>
      </c>
      <c r="B40" t="s">
        <v>26</v>
      </c>
      <c r="C40" t="str">
        <f t="shared" si="0"/>
        <v>OS</v>
      </c>
      <c r="D40">
        <v>1</v>
      </c>
      <c r="E40" t="str">
        <f t="shared" si="1"/>
        <v>Consistent</v>
      </c>
      <c r="F40" t="str">
        <f t="shared" si="2"/>
        <v>Low</v>
      </c>
      <c r="G40" t="str">
        <f t="shared" si="3"/>
        <v>MODERATE</v>
      </c>
      <c r="H40">
        <v>0</v>
      </c>
      <c r="I40">
        <v>0</v>
      </c>
      <c r="J40">
        <v>1</v>
      </c>
      <c r="K40" t="s">
        <v>14</v>
      </c>
      <c r="L40" t="s">
        <v>14</v>
      </c>
    </row>
    <row r="41" ht="17" spans="1:12">
      <c r="A41" s="1" t="s">
        <v>56</v>
      </c>
      <c r="B41" t="s">
        <v>26</v>
      </c>
      <c r="C41" t="str">
        <f t="shared" si="0"/>
        <v>OS</v>
      </c>
      <c r="D41">
        <v>1</v>
      </c>
      <c r="E41" t="str">
        <f t="shared" si="1"/>
        <v>Consistent</v>
      </c>
      <c r="F41" t="str">
        <f t="shared" si="2"/>
        <v>Low</v>
      </c>
      <c r="G41" t="str">
        <f t="shared" si="3"/>
        <v>MODERATE</v>
      </c>
      <c r="H41">
        <v>0</v>
      </c>
      <c r="I41">
        <v>0</v>
      </c>
      <c r="J41">
        <v>1</v>
      </c>
      <c r="K41" t="s">
        <v>14</v>
      </c>
      <c r="L41" t="s">
        <v>14</v>
      </c>
    </row>
    <row r="42" ht="34" spans="1:12">
      <c r="A42" s="1" t="s">
        <v>47</v>
      </c>
      <c r="B42" t="s">
        <v>26</v>
      </c>
      <c r="C42" t="str">
        <f t="shared" si="0"/>
        <v>OS</v>
      </c>
      <c r="D42">
        <v>1</v>
      </c>
      <c r="E42" t="str">
        <f t="shared" si="1"/>
        <v>Consistent</v>
      </c>
      <c r="F42" t="str">
        <f t="shared" si="2"/>
        <v>Low</v>
      </c>
      <c r="G42" t="str">
        <f t="shared" si="3"/>
        <v>MODERATE</v>
      </c>
      <c r="H42">
        <v>0</v>
      </c>
      <c r="I42">
        <v>0</v>
      </c>
      <c r="J42">
        <v>1</v>
      </c>
      <c r="K42" t="s">
        <v>14</v>
      </c>
      <c r="L42" t="s">
        <v>14</v>
      </c>
    </row>
    <row r="43" ht="17" spans="1:12">
      <c r="A43" s="1" t="s">
        <v>48</v>
      </c>
      <c r="B43" t="s">
        <v>26</v>
      </c>
      <c r="C43" t="str">
        <f t="shared" si="0"/>
        <v>OS</v>
      </c>
      <c r="D43">
        <v>1</v>
      </c>
      <c r="E43" t="str">
        <f t="shared" si="1"/>
        <v>Consistent</v>
      </c>
      <c r="F43" t="str">
        <f t="shared" si="2"/>
        <v>Low</v>
      </c>
      <c r="G43" t="str">
        <f t="shared" si="3"/>
        <v>MODERATE</v>
      </c>
      <c r="H43">
        <v>1</v>
      </c>
      <c r="I43">
        <v>0</v>
      </c>
      <c r="J43">
        <v>1</v>
      </c>
      <c r="K43" t="s">
        <v>14</v>
      </c>
      <c r="L43" t="s">
        <v>14</v>
      </c>
    </row>
    <row r="44" ht="17" spans="1:12">
      <c r="A44" s="1" t="s">
        <v>57</v>
      </c>
      <c r="B44" t="s">
        <v>26</v>
      </c>
      <c r="C44" t="str">
        <f>IF(B44="NEUTRAL","TS","OS")</f>
        <v>OS</v>
      </c>
      <c r="D44">
        <v>1</v>
      </c>
      <c r="E44" t="str">
        <f>IF(C44="TS",IF(D44=3,"Consistent",IF(OR(D44=2,D44=4),"Partially Consistent","Inconsistent")),IF(D44=3,"Inconsistent",IF(AND(D44=5,B44="POSITIVE"),"Consistent",IF(AND(D44=1,B44="NEGATIVE"),"Consistent",IF(AND(D44=4,B44="POSITIVE"),"Partially Consistent",IF(AND(D44=2,B44="NEGATIVE"),"Partially Consistent","Inconsistent"))))))</f>
        <v>Consistent</v>
      </c>
      <c r="F44" t="str">
        <f>IF(C44="TS","High","Low")</f>
        <v>Low</v>
      </c>
      <c r="G44" t="str">
        <f>IF(AND(B44="NEUTRAL",F44="Low"),"LOW",IF(AND(C44="TS",F44="High",D44=3),"HIGH",IF(AND(C44="TS",F44="High",OR(D44=2,D44=4)),"HIGH",IF(AND(C44="TS",F44="High",OR(D44=1,D44=5)),"MODERATE",IF(AND(C44="OS",E44="Consistent",OR(D44=1,D44=5)),"MODERATE",IF(AND(C44="OS",E44="Partially Consistent",OR(D44=2,D44=4)),"MODERATE","LOW"))))))</f>
        <v>MODERATE</v>
      </c>
      <c r="H44">
        <v>0</v>
      </c>
      <c r="I44">
        <v>0</v>
      </c>
      <c r="J44">
        <v>1</v>
      </c>
      <c r="K44" t="s">
        <v>14</v>
      </c>
      <c r="L44" t="s">
        <v>14</v>
      </c>
    </row>
    <row r="45" ht="17" spans="1:12">
      <c r="A45" s="1" t="s">
        <v>58</v>
      </c>
      <c r="B45" t="s">
        <v>16</v>
      </c>
      <c r="C45" t="str">
        <f>IF(B45="NEUTRAL","TS","OS")</f>
        <v>OS</v>
      </c>
      <c r="D45">
        <v>1</v>
      </c>
      <c r="E45" t="str">
        <f>IF(C45="TS",IF(D45=3,"Consistent",IF(OR(D45=2,D45=4),"Partially Consistent","Inconsistent")),IF(D45=3,"Inconsistent",IF(AND(D45=5,B45="POSITIVE"),"Consistent",IF(AND(D45=1,B45="NEGATIVE"),"Consistent",IF(AND(D45=4,B45="POSITIVE"),"Partially Consistent",IF(AND(D45=2,B45="NEGATIVE"),"Partially Consistent","Inconsistent"))))))</f>
        <v>Inconsistent</v>
      </c>
      <c r="F45" t="str">
        <f>IF(C45="TS","High","Low")</f>
        <v>Low</v>
      </c>
      <c r="G45" t="str">
        <f>IF(AND(B45="NEUTRAL",F45="Low"),"LOW",IF(AND(C45="TS",F45="High",D45=3),"HIGH",IF(AND(C45="TS",F45="High",OR(D45=2,D45=4)),"HIGH",IF(AND(C45="TS",F45="High",OR(D45=1,D45=5)),"MODERATE",IF(AND(C45="OS",E45="Consistent",OR(D45=1,D45=5)),"MODERATE",IF(AND(C45="OS",E45="Partially Consistent",OR(D45=2,D45=4)),"MODERATE","LOW"))))))</f>
        <v>LOW</v>
      </c>
      <c r="H45">
        <v>0</v>
      </c>
      <c r="I45">
        <v>0</v>
      </c>
      <c r="J45">
        <v>1</v>
      </c>
      <c r="K45" t="s">
        <v>14</v>
      </c>
      <c r="L45"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2025-05-23T12:26:00Z</dcterms:created>
  <dcterms:modified xsi:type="dcterms:W3CDTF">2025-05-23T18:55:43Z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490C925F12AD1A402D543068FE36BC12_42</vt:lpwstr>
  </property>
  <property fmtid="{D5CDD505-2E9C-101B-9397-08002B2CF9AE}" pid="4" name="KSOProductBuildVer">
    <vt:lpwstr>1033-6.13.1.8710</vt:lpwstr>
  </property>
</Properties>
</file>