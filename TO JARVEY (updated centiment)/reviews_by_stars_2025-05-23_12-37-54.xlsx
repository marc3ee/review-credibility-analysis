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<sst xmlns="http://schemas.openxmlformats.org/spreadsheetml/2006/main" count="112" uniqueCount="39">
  <si>
    <t>Review</t>
  </si>
  <si>
    <t>Sentiment</t>
  </si>
  <si>
    <t>Sidedness</t>
  </si>
  <si>
    <t>Star Rating</t>
  </si>
  <si>
    <t>Consistency</t>
  </si>
  <si>
    <t>Info Diversity</t>
  </si>
  <si>
    <t>PERCEIVED HELPFULNESS</t>
  </si>
  <si>
    <t>PD_F</t>
  </si>
  <si>
    <t>PD_F_TMP</t>
  </si>
  <si>
    <t>MAN_UI</t>
  </si>
  <si>
    <t>SPM</t>
  </si>
  <si>
    <t>CREDIBILITY</t>
  </si>
  <si>
    <t>effortlessly find your lost items, durable and long-lasting, convenient for everyday use, sleek and stylish design,</t>
  </si>
  <si>
    <t>POSITIVE</t>
  </si>
  <si>
    <t/>
  </si>
  <si>
    <t>great battery life, perfect for keeping track of important items, effortlessly find your lost items, sleek and stylish design, convenient for everyday use,</t>
  </si>
  <si>
    <t>compatible with my iphone using iphone 14 pro very easy to connect, just removed the strips then pressed bluetooth on my phone and it automatically connected very useful planning to place it inside my luggage when i travel unsure of battery life though does anybody know how long the battery lasts?</t>
  </si>
  <si>
    <t>NEUTRAL</t>
  </si>
  <si>
    <t>compatibility: nice perfecttttt accuracy: ilovee it. i used it couple of times now. thank you so much for this iteeeemm</t>
  </si>
  <si>
    <t>perfect for keeping track of important items easy to attach and use sleek and stylish design shipped and delivered immediately.</t>
  </si>
  <si>
    <t>comes with reciept from digital walker priced at 6k! complete details such as serial number is listed for authenticity check. happy with this purchase. will definitely recommend to family and friends. got it on a flash sale at 4. 4k for a pack of 4. thanks beyond the box and laz!</t>
  </si>
  <si>
    <t>compatibility: i0 accuracy: 10 battery life: 10 all of the airtag functions are working and without any issues or defect thank you!</t>
  </si>
  <si>
    <t>great battery life, perfect for keeping track of important items, durable and long-lasting,</t>
  </si>
  <si>
    <t>i bought this for my special child kid, let see anong makakaya nito, hehehe thank youu sa discount!</t>
  </si>
  <si>
    <t>ang bilis na deliver order saturdarday ng gabi dumating ng lunes ng umaga got this on flash sale. for only 1433 pesos</t>
  </si>
  <si>
    <t>NEGATIVE</t>
  </si>
  <si>
    <t>shipped timely. double boxed. bubble wrapped. brand new. authentic. sealed. works well with apple phones. location is precise. there could be better deals from other sellers though</t>
  </si>
  <si>
    <t>product seems legit but they did not include any receipt or warranty. they previously added one to my order last december but this time they didnt.</t>
  </si>
  <si>
    <t>highly compatible with apple devices, provides peace of mind for belongings, perfect for keeping track of important items, sometimes not accurate and hard to locate</t>
  </si>
  <si>
    <t>highly compatible with apple devices, provides peace of mind for belongings, perfect for keeping track of important items, sometimes not accurate and hard to detect</t>
  </si>
  <si>
    <t>provides peace of mind for belongings,</t>
  </si>
  <si>
    <t>i ordered 5 of these; 2 white ones, 1 black, 1 blue, and 1 red. yung white at red lang tumama. the user just sent what they wanted. i know these are cheap, but that' s just bad form.</t>
  </si>
  <si>
    <t>i have already tried the airtag. theres a lag/delay in reflecting its location. i cannot pinpoint why. the delay is at least 30 mins to an hour. anyway, it might still be in break-in mode. hope it reflects real time location soon.</t>
  </si>
  <si>
    <t>they work but already after 4 weeks of using the battery needs replacing in one of the four</t>
  </si>
  <si>
    <t>item was properly packed by the seller and promptly delivered by courier. no dents on the box or on the item. so far it is working well</t>
  </si>
  <si>
    <t>compatibility: good battery life: good accuracy: good comment: small openning on the package was observed upon receiving the item. luckily the item was still inside.</t>
  </si>
  <si>
    <t>works as expected pero nakakagigil ung dami ng bubble wrap for something that is meant for traveling.</t>
  </si>
  <si>
    <t>not work</t>
  </si>
  <si>
    <t>it came without the plastic wrapper on air tag and so bluetooth wasnt working and couldnt find it. what now? ! ? !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</si>
</sst>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abSelected="1" topLeftCell="A13" workbookViewId="0">
      <selection activeCell="B27" sqref="B27"/>
    </sheetView>
  </sheetViews>
  <sheetFormatPr defaultColWidth="9" defaultRowHeight="16.8"/>
  <cols>
    <col min="1" max="1" width="80.99218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26" si="0">IF(B2="NEUTRAL","TS","OS")</f>
        <v>OS</v>
      </c>
      <c r="D2">
        <v>5</v>
      </c>
      <c r="E2" t="str">
        <f t="shared" ref="E2:E26" si="1">IF(C2="TS",IF(D2=3,"Consistent",IF(OR(D2=2,D2=4),"Partially Consistent","Inconsistent")),IF(D2=3,"Inconsistent",IF(AND(D2=5,B2="POSITIVE"),"Consistent",IF(AND(D2=1,B2="NEGATIVE"),"Consistent",IF(AND(D2=4,B2="POSITIVE"),"Partially Consistent",IF(AND(D2=2,B2="NEGATIVE"),"Partially Consistent","Inconsistent"))))))</f>
        <v>Consistent</v>
      </c>
      <c r="F2" t="str">
        <f t="shared" ref="F2:F26" si="2">IF(C2="TS","High","Low")</f>
        <v>Low</v>
      </c>
      <c r="G2" t="str">
        <f t="shared" ref="G2:G26" si="3">IF(AND(B2="NEUTRAL",F2="Low"),"LOW",IF(AND(C2="TS",F2="High",D2=3),"HIGH",IF(AND(C2="TS",F2="High",OR(D2=2,D2=4)),"HIGH",IF(AND(C2="TS",F2="High",OR(D2=1,D2=5)),"MODERATE",IF(AND(C2="OS",E2="Consistent",OR(D2=1,D2=5)),"MODERATE",IF(AND(C2="OS",E2="Partially Consistent",OR(D2=2,D2=4)),"MODERATE","LOW"))))))</f>
        <v>MODERATE</v>
      </c>
      <c r="H2">
        <v>0</v>
      </c>
      <c r="I2">
        <v>1</v>
      </c>
      <c r="J2">
        <v>0</v>
      </c>
      <c r="K2" t="s">
        <v>14</v>
      </c>
      <c r="L2" t="s">
        <v>14</v>
      </c>
    </row>
    <row r="3" ht="34" spans="1:12">
      <c r="A3" s="1" t="s">
        <v>15</v>
      </c>
      <c r="B3" t="s">
        <v>13</v>
      </c>
      <c r="C3" t="str">
        <f t="shared" si="0"/>
        <v>OS</v>
      </c>
      <c r="D3">
        <v>5</v>
      </c>
      <c r="E3" t="str">
        <f t="shared" si="1"/>
        <v>Consistent</v>
      </c>
      <c r="F3" t="str">
        <f t="shared" si="2"/>
        <v>Low</v>
      </c>
      <c r="G3" t="str">
        <f t="shared" si="3"/>
        <v>MODERATE</v>
      </c>
      <c r="H3">
        <v>0</v>
      </c>
      <c r="I3">
        <v>1</v>
      </c>
      <c r="J3">
        <v>0</v>
      </c>
      <c r="K3" t="s">
        <v>14</v>
      </c>
      <c r="L3" t="s">
        <v>14</v>
      </c>
    </row>
    <row r="4" ht="68" spans="1:12">
      <c r="A4" s="1" t="s">
        <v>16</v>
      </c>
      <c r="B4" t="s">
        <v>17</v>
      </c>
      <c r="C4" t="str">
        <f t="shared" si="0"/>
        <v>TS</v>
      </c>
      <c r="D4">
        <v>5</v>
      </c>
      <c r="E4" t="str">
        <f t="shared" si="1"/>
        <v>Inconsistent</v>
      </c>
      <c r="F4" t="str">
        <f t="shared" si="2"/>
        <v>High</v>
      </c>
      <c r="G4" t="str">
        <f t="shared" si="3"/>
        <v>MODERATE</v>
      </c>
      <c r="H4">
        <v>0</v>
      </c>
      <c r="I4">
        <v>0</v>
      </c>
      <c r="J4">
        <v>1</v>
      </c>
      <c r="K4" t="s">
        <v>14</v>
      </c>
      <c r="L4" t="s">
        <v>14</v>
      </c>
    </row>
    <row r="5" ht="34" spans="1:12">
      <c r="A5" s="1" t="s">
        <v>18</v>
      </c>
      <c r="B5" t="s">
        <v>13</v>
      </c>
      <c r="C5" t="str">
        <f t="shared" si="0"/>
        <v>OS</v>
      </c>
      <c r="D5">
        <v>5</v>
      </c>
      <c r="E5" t="str">
        <f t="shared" si="1"/>
        <v>Consistent</v>
      </c>
      <c r="F5" t="str">
        <f t="shared" si="2"/>
        <v>Low</v>
      </c>
      <c r="G5" t="str">
        <f t="shared" si="3"/>
        <v>MODERATE</v>
      </c>
      <c r="H5">
        <v>1</v>
      </c>
      <c r="I5">
        <v>0</v>
      </c>
      <c r="J5">
        <v>1</v>
      </c>
      <c r="K5" t="s">
        <v>14</v>
      </c>
      <c r="L5" t="s">
        <v>14</v>
      </c>
    </row>
    <row r="6" ht="34" spans="1:12">
      <c r="A6" s="1" t="s">
        <v>19</v>
      </c>
      <c r="B6" t="s">
        <v>13</v>
      </c>
      <c r="C6" t="str">
        <f t="shared" si="0"/>
        <v>OS</v>
      </c>
      <c r="D6">
        <v>5</v>
      </c>
      <c r="E6" t="str">
        <f t="shared" si="1"/>
        <v>Consistent</v>
      </c>
      <c r="F6" t="str">
        <f t="shared" si="2"/>
        <v>Low</v>
      </c>
      <c r="G6" t="str">
        <f t="shared" si="3"/>
        <v>MODERATE</v>
      </c>
      <c r="H6">
        <v>0</v>
      </c>
      <c r="I6">
        <v>0</v>
      </c>
      <c r="J6">
        <v>1</v>
      </c>
      <c r="K6" t="s">
        <v>14</v>
      </c>
      <c r="L6" t="s">
        <v>14</v>
      </c>
    </row>
    <row r="7" ht="51" spans="1:12">
      <c r="A7" s="1" t="s">
        <v>20</v>
      </c>
      <c r="B7" t="s">
        <v>13</v>
      </c>
      <c r="C7" t="str">
        <f t="shared" si="0"/>
        <v>OS</v>
      </c>
      <c r="D7">
        <v>5</v>
      </c>
      <c r="E7" t="str">
        <f t="shared" si="1"/>
        <v>Consistent</v>
      </c>
      <c r="F7" t="str">
        <f t="shared" si="2"/>
        <v>Low</v>
      </c>
      <c r="G7" t="str">
        <f t="shared" si="3"/>
        <v>MODERATE</v>
      </c>
      <c r="H7">
        <v>0</v>
      </c>
      <c r="I7">
        <v>0</v>
      </c>
      <c r="J7">
        <v>1</v>
      </c>
      <c r="K7" t="s">
        <v>14</v>
      </c>
      <c r="L7" t="s">
        <v>14</v>
      </c>
    </row>
    <row r="8" ht="34" spans="1:12">
      <c r="A8" s="1" t="s">
        <v>21</v>
      </c>
      <c r="B8" t="s">
        <v>13</v>
      </c>
      <c r="C8" t="str">
        <f t="shared" si="0"/>
        <v>OS</v>
      </c>
      <c r="D8">
        <v>5</v>
      </c>
      <c r="E8" t="str">
        <f t="shared" si="1"/>
        <v>Consistent</v>
      </c>
      <c r="F8" t="str">
        <f t="shared" si="2"/>
        <v>Low</v>
      </c>
      <c r="G8" t="str">
        <f t="shared" si="3"/>
        <v>MODERATE</v>
      </c>
      <c r="H8">
        <v>1</v>
      </c>
      <c r="I8">
        <v>0</v>
      </c>
      <c r="J8">
        <v>1</v>
      </c>
      <c r="K8" t="s">
        <v>14</v>
      </c>
      <c r="L8" t="s">
        <v>14</v>
      </c>
    </row>
    <row r="9" ht="17" spans="1:12">
      <c r="A9" s="1" t="s">
        <v>22</v>
      </c>
      <c r="B9" t="s">
        <v>13</v>
      </c>
      <c r="C9" t="str">
        <f t="shared" si="0"/>
        <v>OS</v>
      </c>
      <c r="D9">
        <v>5</v>
      </c>
      <c r="E9" t="str">
        <f t="shared" si="1"/>
        <v>Consistent</v>
      </c>
      <c r="F9" t="str">
        <f t="shared" si="2"/>
        <v>Low</v>
      </c>
      <c r="G9" t="str">
        <f t="shared" si="3"/>
        <v>MODERATE</v>
      </c>
      <c r="H9">
        <v>0</v>
      </c>
      <c r="I9">
        <v>1</v>
      </c>
      <c r="J9">
        <v>0</v>
      </c>
      <c r="K9" t="s">
        <v>14</v>
      </c>
      <c r="L9" t="s">
        <v>14</v>
      </c>
    </row>
    <row r="10" ht="17" spans="1:12">
      <c r="A10" s="1" t="s">
        <v>23</v>
      </c>
      <c r="B10" t="s">
        <v>13</v>
      </c>
      <c r="C10" t="str">
        <f t="shared" si="0"/>
        <v>OS</v>
      </c>
      <c r="D10">
        <v>5</v>
      </c>
      <c r="E10" t="str">
        <f t="shared" si="1"/>
        <v>Consistent</v>
      </c>
      <c r="F10" t="str">
        <f t="shared" si="2"/>
        <v>Low</v>
      </c>
      <c r="G10" t="str">
        <f t="shared" si="3"/>
        <v>MODERATE</v>
      </c>
      <c r="H10">
        <v>0</v>
      </c>
      <c r="I10">
        <v>0</v>
      </c>
      <c r="J10">
        <v>1</v>
      </c>
      <c r="K10" t="s">
        <v>14</v>
      </c>
      <c r="L10" t="s">
        <v>14</v>
      </c>
    </row>
    <row r="11" ht="34" spans="1:12">
      <c r="A11" s="1" t="s">
        <v>24</v>
      </c>
      <c r="B11" t="s">
        <v>25</v>
      </c>
      <c r="C11" t="str">
        <f t="shared" si="0"/>
        <v>OS</v>
      </c>
      <c r="D11">
        <v>5</v>
      </c>
      <c r="E11" t="str">
        <f t="shared" si="1"/>
        <v>Inconsistent</v>
      </c>
      <c r="F11" t="str">
        <f t="shared" si="2"/>
        <v>Low</v>
      </c>
      <c r="G11" t="str">
        <f t="shared" si="3"/>
        <v>LOW</v>
      </c>
      <c r="H11">
        <v>0</v>
      </c>
      <c r="I11">
        <v>0</v>
      </c>
      <c r="J11">
        <v>1</v>
      </c>
      <c r="K11" t="s">
        <v>14</v>
      </c>
      <c r="L11" t="s">
        <v>14</v>
      </c>
    </row>
    <row r="12" ht="34" spans="1:12">
      <c r="A12" s="1" t="s">
        <v>26</v>
      </c>
      <c r="B12" t="s">
        <v>17</v>
      </c>
      <c r="C12" t="str">
        <f t="shared" si="0"/>
        <v>TS</v>
      </c>
      <c r="D12">
        <v>4</v>
      </c>
      <c r="E12" t="str">
        <f t="shared" si="1"/>
        <v>Partially Consistent</v>
      </c>
      <c r="F12" t="str">
        <f t="shared" si="2"/>
        <v>High</v>
      </c>
      <c r="G12" t="str">
        <f t="shared" si="3"/>
        <v>HIGH</v>
      </c>
      <c r="H12">
        <v>0</v>
      </c>
      <c r="I12">
        <v>0</v>
      </c>
      <c r="J12">
        <v>1</v>
      </c>
      <c r="K12" t="s">
        <v>14</v>
      </c>
      <c r="L12" t="s">
        <v>14</v>
      </c>
    </row>
    <row r="13" ht="34" spans="1:12">
      <c r="A13" s="1" t="s">
        <v>27</v>
      </c>
      <c r="B13" t="s">
        <v>25</v>
      </c>
      <c r="C13" t="str">
        <f t="shared" si="0"/>
        <v>OS</v>
      </c>
      <c r="D13">
        <v>4</v>
      </c>
      <c r="E13" t="str">
        <f t="shared" si="1"/>
        <v>Inconsistent</v>
      </c>
      <c r="F13" t="str">
        <f t="shared" si="2"/>
        <v>Low</v>
      </c>
      <c r="G13" t="str">
        <f t="shared" si="3"/>
        <v>LOW</v>
      </c>
      <c r="H13">
        <v>0</v>
      </c>
      <c r="I13">
        <v>0</v>
      </c>
      <c r="J13">
        <v>1</v>
      </c>
      <c r="K13" t="s">
        <v>14</v>
      </c>
      <c r="L13" t="s">
        <v>14</v>
      </c>
    </row>
    <row r="14" ht="34" spans="1:12">
      <c r="A14" s="1" t="s">
        <v>28</v>
      </c>
      <c r="B14" t="s">
        <v>13</v>
      </c>
      <c r="C14" t="str">
        <f t="shared" si="0"/>
        <v>OS</v>
      </c>
      <c r="D14">
        <v>4</v>
      </c>
      <c r="E14" t="str">
        <f t="shared" si="1"/>
        <v>Partially Consistent</v>
      </c>
      <c r="F14" t="str">
        <f t="shared" si="2"/>
        <v>Low</v>
      </c>
      <c r="G14" t="str">
        <f t="shared" si="3"/>
        <v>MODERATE</v>
      </c>
      <c r="H14">
        <v>0</v>
      </c>
      <c r="I14">
        <v>1</v>
      </c>
      <c r="J14">
        <v>0</v>
      </c>
      <c r="K14" t="s">
        <v>14</v>
      </c>
      <c r="L14" t="s">
        <v>14</v>
      </c>
    </row>
    <row r="15" ht="34" spans="1:12">
      <c r="A15" s="1" t="s">
        <v>29</v>
      </c>
      <c r="B15" t="s">
        <v>13</v>
      </c>
      <c r="C15" t="str">
        <f t="shared" si="0"/>
        <v>OS</v>
      </c>
      <c r="D15">
        <v>4</v>
      </c>
      <c r="E15" t="str">
        <f t="shared" si="1"/>
        <v>Partially Consistent</v>
      </c>
      <c r="F15" t="str">
        <f t="shared" si="2"/>
        <v>Low</v>
      </c>
      <c r="G15" t="str">
        <f t="shared" si="3"/>
        <v>MODERATE</v>
      </c>
      <c r="H15">
        <v>0</v>
      </c>
      <c r="I15">
        <v>1</v>
      </c>
      <c r="J15">
        <v>0</v>
      </c>
      <c r="K15" t="s">
        <v>14</v>
      </c>
      <c r="L15" t="s">
        <v>14</v>
      </c>
    </row>
    <row r="16" ht="17" spans="1:12">
      <c r="A16" s="1" t="s">
        <v>30</v>
      </c>
      <c r="B16" t="s">
        <v>13</v>
      </c>
      <c r="C16" t="str">
        <f t="shared" si="0"/>
        <v>OS</v>
      </c>
      <c r="D16">
        <v>4</v>
      </c>
      <c r="E16" t="str">
        <f t="shared" si="1"/>
        <v>Partially Consistent</v>
      </c>
      <c r="F16" t="str">
        <f t="shared" si="2"/>
        <v>Low</v>
      </c>
      <c r="G16" t="str">
        <f t="shared" si="3"/>
        <v>MODERATE</v>
      </c>
      <c r="H16">
        <v>0</v>
      </c>
      <c r="I16">
        <v>1</v>
      </c>
      <c r="J16">
        <v>0</v>
      </c>
      <c r="K16" t="s">
        <v>14</v>
      </c>
      <c r="L16" t="s">
        <v>14</v>
      </c>
    </row>
    <row r="17" ht="34" spans="1:12">
      <c r="A17" s="1" t="s">
        <v>31</v>
      </c>
      <c r="B17" t="s">
        <v>25</v>
      </c>
      <c r="C17" t="str">
        <f t="shared" si="0"/>
        <v>OS</v>
      </c>
      <c r="D17">
        <v>4</v>
      </c>
      <c r="E17" t="str">
        <f t="shared" si="1"/>
        <v>Inconsistent</v>
      </c>
      <c r="F17" t="str">
        <f t="shared" si="2"/>
        <v>Low</v>
      </c>
      <c r="G17" t="str">
        <f t="shared" si="3"/>
        <v>LOW</v>
      </c>
      <c r="H17">
        <v>0</v>
      </c>
      <c r="I17">
        <v>0</v>
      </c>
      <c r="J17">
        <v>1</v>
      </c>
      <c r="K17" t="s">
        <v>14</v>
      </c>
      <c r="L17" t="s">
        <v>14</v>
      </c>
    </row>
    <row r="18" ht="51" spans="1:12">
      <c r="A18" s="1" t="s">
        <v>32</v>
      </c>
      <c r="B18" t="s">
        <v>17</v>
      </c>
      <c r="C18" t="str">
        <f t="shared" si="0"/>
        <v>TS</v>
      </c>
      <c r="D18">
        <v>4</v>
      </c>
      <c r="E18" t="str">
        <f t="shared" si="1"/>
        <v>Partially Consistent</v>
      </c>
      <c r="F18" t="str">
        <f t="shared" si="2"/>
        <v>High</v>
      </c>
      <c r="G18" t="str">
        <f t="shared" si="3"/>
        <v>HIGH</v>
      </c>
      <c r="H18">
        <v>0</v>
      </c>
      <c r="I18">
        <v>0</v>
      </c>
      <c r="J18">
        <v>1</v>
      </c>
      <c r="K18" t="s">
        <v>14</v>
      </c>
      <c r="L18" t="s">
        <v>14</v>
      </c>
    </row>
    <row r="19" ht="17" spans="1:12">
      <c r="A19" s="1" t="s">
        <v>33</v>
      </c>
      <c r="B19" t="s">
        <v>25</v>
      </c>
      <c r="C19" t="str">
        <f t="shared" si="0"/>
        <v>OS</v>
      </c>
      <c r="D19">
        <v>4</v>
      </c>
      <c r="E19" t="str">
        <f t="shared" si="1"/>
        <v>Inconsistent</v>
      </c>
      <c r="F19" t="str">
        <f t="shared" si="2"/>
        <v>Low</v>
      </c>
      <c r="G19" t="str">
        <f t="shared" si="3"/>
        <v>LOW</v>
      </c>
      <c r="H19">
        <v>0</v>
      </c>
      <c r="I19">
        <v>0</v>
      </c>
      <c r="J19">
        <v>1</v>
      </c>
      <c r="K19" t="s">
        <v>14</v>
      </c>
      <c r="L19" t="s">
        <v>14</v>
      </c>
    </row>
    <row r="20" ht="34" spans="1:12">
      <c r="A20" s="1" t="s">
        <v>34</v>
      </c>
      <c r="B20" t="s">
        <v>13</v>
      </c>
      <c r="C20" t="str">
        <f t="shared" si="0"/>
        <v>OS</v>
      </c>
      <c r="D20">
        <v>4</v>
      </c>
      <c r="E20" t="str">
        <f t="shared" si="1"/>
        <v>Partially Consistent</v>
      </c>
      <c r="F20" t="str">
        <f t="shared" si="2"/>
        <v>Low</v>
      </c>
      <c r="G20" t="str">
        <f t="shared" si="3"/>
        <v>MODERATE</v>
      </c>
      <c r="H20">
        <v>0</v>
      </c>
      <c r="I20">
        <v>0</v>
      </c>
      <c r="J20">
        <v>1</v>
      </c>
      <c r="K20" t="s">
        <v>14</v>
      </c>
      <c r="L20" t="s">
        <v>14</v>
      </c>
    </row>
    <row r="21" ht="34" spans="1:12">
      <c r="A21" s="1" t="s">
        <v>35</v>
      </c>
      <c r="B21" t="s">
        <v>17</v>
      </c>
      <c r="C21" t="str">
        <f t="shared" si="0"/>
        <v>TS</v>
      </c>
      <c r="D21">
        <v>3</v>
      </c>
      <c r="E21" t="str">
        <f t="shared" si="1"/>
        <v>Consistent</v>
      </c>
      <c r="F21" t="str">
        <f t="shared" si="2"/>
        <v>High</v>
      </c>
      <c r="G21" t="str">
        <f t="shared" si="3"/>
        <v>HIGH</v>
      </c>
      <c r="H21">
        <v>1</v>
      </c>
      <c r="I21">
        <v>0</v>
      </c>
      <c r="J21">
        <v>1</v>
      </c>
      <c r="K21" t="s">
        <v>14</v>
      </c>
      <c r="L21" t="s">
        <v>14</v>
      </c>
    </row>
    <row r="22" ht="34" spans="1:12">
      <c r="A22" s="1" t="s">
        <v>36</v>
      </c>
      <c r="B22" t="s">
        <v>17</v>
      </c>
      <c r="C22" t="str">
        <f t="shared" si="0"/>
        <v>TS</v>
      </c>
      <c r="D22">
        <v>3</v>
      </c>
      <c r="E22" t="str">
        <f t="shared" si="1"/>
        <v>Consistent</v>
      </c>
      <c r="F22" t="str">
        <f t="shared" si="2"/>
        <v>High</v>
      </c>
      <c r="G22" t="str">
        <f t="shared" si="3"/>
        <v>HIGH</v>
      </c>
      <c r="H22">
        <v>0</v>
      </c>
      <c r="I22">
        <v>0</v>
      </c>
      <c r="J22">
        <v>1</v>
      </c>
      <c r="K22" t="s">
        <v>14</v>
      </c>
      <c r="L22" t="s">
        <v>14</v>
      </c>
    </row>
    <row r="23" ht="34" spans="1:12">
      <c r="A23" s="1" t="s">
        <v>35</v>
      </c>
      <c r="B23" t="s">
        <v>17</v>
      </c>
      <c r="C23" t="str">
        <f t="shared" si="0"/>
        <v>TS</v>
      </c>
      <c r="D23">
        <v>3</v>
      </c>
      <c r="E23" t="str">
        <f t="shared" si="1"/>
        <v>Consistent</v>
      </c>
      <c r="F23" t="str">
        <f t="shared" si="2"/>
        <v>High</v>
      </c>
      <c r="G23" t="str">
        <f t="shared" si="3"/>
        <v>HIGH</v>
      </c>
      <c r="H23">
        <v>1</v>
      </c>
      <c r="I23">
        <v>0</v>
      </c>
      <c r="J23">
        <v>1</v>
      </c>
      <c r="K23" t="s">
        <v>14</v>
      </c>
      <c r="L23" t="s">
        <v>14</v>
      </c>
    </row>
    <row r="24" ht="34" spans="1:12">
      <c r="A24" s="1" t="s">
        <v>36</v>
      </c>
      <c r="B24" t="s">
        <v>17</v>
      </c>
      <c r="C24" t="str">
        <f t="shared" si="0"/>
        <v>TS</v>
      </c>
      <c r="D24">
        <v>3</v>
      </c>
      <c r="E24" t="str">
        <f t="shared" si="1"/>
        <v>Consistent</v>
      </c>
      <c r="F24" t="str">
        <f t="shared" si="2"/>
        <v>High</v>
      </c>
      <c r="G24" t="str">
        <f t="shared" si="3"/>
        <v>HIGH</v>
      </c>
      <c r="H24">
        <v>0</v>
      </c>
      <c r="I24">
        <v>0</v>
      </c>
      <c r="J24">
        <v>1</v>
      </c>
      <c r="K24" t="s">
        <v>14</v>
      </c>
      <c r="L24" t="s">
        <v>14</v>
      </c>
    </row>
    <row r="25" ht="17" spans="1:12">
      <c r="A25" s="1" t="s">
        <v>37</v>
      </c>
      <c r="B25" t="s">
        <v>25</v>
      </c>
      <c r="C25" t="str">
        <f t="shared" si="0"/>
        <v>OS</v>
      </c>
      <c r="D25">
        <v>1</v>
      </c>
      <c r="E25" t="str">
        <f t="shared" si="1"/>
        <v>Consistent</v>
      </c>
      <c r="F25" t="str">
        <f t="shared" si="2"/>
        <v>Low</v>
      </c>
      <c r="G25" t="str">
        <f t="shared" si="3"/>
        <v>MODERATE</v>
      </c>
      <c r="H25">
        <v>0</v>
      </c>
      <c r="I25">
        <v>0</v>
      </c>
      <c r="J25">
        <v>1</v>
      </c>
      <c r="K25" t="s">
        <v>14</v>
      </c>
      <c r="L25" t="s">
        <v>14</v>
      </c>
    </row>
    <row r="26" ht="34" spans="1:12">
      <c r="A26" s="1" t="s">
        <v>38</v>
      </c>
      <c r="B26" t="s">
        <v>17</v>
      </c>
      <c r="C26" t="str">
        <f t="shared" si="0"/>
        <v>TS</v>
      </c>
      <c r="D26">
        <v>1</v>
      </c>
      <c r="E26" t="str">
        <f t="shared" si="1"/>
        <v>Inconsistent</v>
      </c>
      <c r="F26" t="str">
        <f t="shared" si="2"/>
        <v>High</v>
      </c>
      <c r="G26" t="str">
        <f t="shared" si="3"/>
        <v>MODERATE</v>
      </c>
      <c r="H26">
        <v>0</v>
      </c>
      <c r="I26">
        <v>0</v>
      </c>
      <c r="J26">
        <v>1</v>
      </c>
      <c r="K26" t="s">
        <v>14</v>
      </c>
      <c r="L26"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2025-05-23T12:39:00Z</dcterms:created>
  <dcterms:modified xsi:type="dcterms:W3CDTF">2025-05-23T17:54:17Z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C01F3361DBC46508C9453068F697C137_42</vt:lpwstr>
  </property>
  <property fmtid="{D5CDD505-2E9C-101B-9397-08002B2CF9AE}" pid="4" name="KSOProductBuildVer">
    <vt:lpwstr>1033-6.13.1.8710</vt:lpwstr>
  </property>
</Properties>
</file>