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<sst xmlns="http://schemas.openxmlformats.org/spreadsheetml/2006/main" count="172" uniqueCount="56">
  <si>
    <t>Review</t>
  </si>
  <si>
    <t>Sentiment</t>
  </si>
  <si>
    <t>Sidedness</t>
  </si>
  <si>
    <t>Star Rating</t>
  </si>
  <si>
    <t>Consistency</t>
  </si>
  <si>
    <t>Info Diversity</t>
  </si>
  <si>
    <t>PERCEIVED HELPFULNESS</t>
  </si>
  <si>
    <t>PD_F</t>
  </si>
  <si>
    <t>PD_F_TMP</t>
  </si>
  <si>
    <t>MAN_UI</t>
  </si>
  <si>
    <t>SPM</t>
  </si>
  <si>
    <t>CREDIBILITY</t>
  </si>
  <si>
    <t>didn' t expect too small scale the square mirror make me feel dizzy lesson learned don' t expect much to something you didn' t know if the assurance of it is pure. size: unexpected design: goods price: decent</t>
  </si>
  <si>
    <t>NEUTRAL</t>
  </si>
  <si>
    <t/>
  </si>
  <si>
    <t>maganda ang salamin. . slamaat din seller dahil dalawa ang ibinigay sa akin. . akala ko kasi isa lng. . order ulit ako dito</t>
  </si>
  <si>
    <t>POSITIVE</t>
  </si>
  <si>
    <t>high-quality acrylic material, stunning crystal clear reflections, salamat kay seller at kay kuya rider</t>
  </si>
  <si>
    <t>convenient self-adhesive design. easy to install and remove. un lang, may portion sa acrylic mirror na nakakahilo.</t>
  </si>
  <si>
    <t>NEGATIVE</t>
  </si>
  <si>
    <t>design: cute price: right for its size size: just tight perfect size for any space, stunning crystal clear reflections, although this is too small for me, this item is perfect for small spaces and the mirror is clear without contortions of the reflection.</t>
  </si>
  <si>
    <t>wow fast delivery. . nagustuhan ko sya. sakto lang toh pang kwarto. . very convenient and safe. five star sa shop na toh. ito na po yung out come. bagay na bagay yung oval na mirror</t>
  </si>
  <si>
    <t>high-quality acrylic material, stunning crystal clear reflections, transforms your home with a modern look,</t>
  </si>
  <si>
    <t>easy to install and remove, stunning crystal clear reflections, perfect size for any space, high-quality acrylic material,</t>
  </si>
  <si>
    <t>durable construction for long-term use, creates a 3d effect on your walls, transforms your home with a modern look, convenient self-adhesive design, design: good size: good price: good</t>
  </si>
  <si>
    <t>easy to install and remove, stunning crystal clear reflections, creates a 3d effect on your walls, high-quality acrylic material, creates a 3d effect on your walls, high-quality acrylic material,</t>
  </si>
  <si>
    <t>stunning crystal clear reflections, durable construction for long-term use, thank you secured item</t>
  </si>
  <si>
    <t>singlaki ng plato. ok lng nmn. slamat sa nadeliver.</t>
  </si>
  <si>
    <t>perfect size for any space, durable construction for long-term use, convenient self-adhesive design, transforms your home with a modern look, stunning crystal clear reflections, high-quality acrylic material, creates a 3d effect on your walls, easy to install and remove.</t>
  </si>
  <si>
    <t>size: high-quality acrylic material, however, its small compared to the ones shown in the video</t>
  </si>
  <si>
    <t>maganda nmn po ang product ang bilis dumating salamat kay kuya riderperfect size for any space,</t>
  </si>
  <si>
    <t>minor issue is when you look at it your image is a little deformed</t>
  </si>
  <si>
    <t>high-quality acrylic material, convenient self-adhesive design, easy to install and remove,</t>
  </si>
  <si>
    <t>mejo maliit, pero maganda cute size, sicured talaga maganda pagkakapack, mabilis pa dumatingthankyou seller</t>
  </si>
  <si>
    <t>design: good price: good size: good</t>
  </si>
  <si>
    <t>convenient self-adhesive design, durable construction for long-term use,</t>
  </si>
  <si>
    <t>maganda and fast delivery kaso may effect na nakakahilo kapag mananalamin ka. maliit lang yung item wala din adhesive tapetransforms your home with a modern look,</t>
  </si>
  <si>
    <t>sobrang liit nman ng oval. isang dangkal lng pala</t>
  </si>
  <si>
    <t>securely wrapped, , maliit lng pala ito, sa picture lng malaki. .</t>
  </si>
  <si>
    <t>saks lang perfect size for any space, creates a 3d effect on your walls, high-quality acrylic material, durable construction for long-term use,</t>
  </si>
  <si>
    <t>price: mura lng design: ok kya lng my damage size: small</t>
  </si>
  <si>
    <t>good enough for what its supposed to do. not great quality, but that is to be expected for this price.</t>
  </si>
  <si>
    <t>price: affordable design: convenient self-adhesive design, stunning crystal clear reflections, easy to install and remove, creates a 3d effect on your walls, transforms your home with a modern look, durable construction for long-term use, high-quality acrylic material, size: perfect size for any space, but its too small</t>
  </si>
  <si>
    <t>kulamg dumating. 3 order ko 2 lang dumating.</t>
  </si>
  <si>
    <t>may gasgas ang lalim, nakakadismaya</t>
  </si>
  <si>
    <t>size: too small as compare sa picture nyu. i am disappointed.</t>
  </si>
  <si>
    <t>ok sna pakinging pero bkt basag naidleiver skn hay sayang pera kht mura yan</t>
  </si>
  <si>
    <t>the quality is poor, nakakahilo pag titingin ka sa salamin. easy to install and remove,</t>
  </si>
  <si>
    <t>basag basag nmn nung dumating. walang kwenta sayang ang pera. hndi kc naka balot ng maayos at sana linagyan man lang ng fragile. . .</t>
  </si>
  <si>
    <t>you need to secure more the item because i recieved it with buble wrapped but i think you sent a broken item and now you' re saying that you can only give me 15 pesos? i know it is not expensive is it but i trusted you guys. i hope this matter won' t happens again.</t>
  </si>
  <si>
    <t>un expected ang size maliit sya sa actual pero maganda naman po, maganda packaging maingat na ddeliver. thank you sa rider. di ko pala na include sa review yung mirror nyo may basag makikita naman sa upload ko photo upper left side ng mirror</t>
  </si>
  <si>
    <t>disappointed basag po</t>
  </si>
  <si>
    <t>basag ang salamin walang kwenta anmg seller nito itinapon ko na agad</t>
  </si>
  <si>
    <t>mga kupal wala naman aq inorder pinadalan nyo aq hayopp</t>
  </si>
  <si>
    <t>i' m very disappointed sa product na to. una napaka liit pala. halos malaki lang sa palad. pangalawa, akala ko my pandikit na sa likod, yung pala kaylangan mo pa lagyan ng double adhesive tape. meron naman silang i ibigay na ilang piraso, sana lang tumagal yung dikit. di nako uulit</t>
  </si>
  <si>
    <t>mali ang binigay na order sakin. . . dalawanpa man din order ko.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</si>
</sst>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1"/>
  <sheetViews>
    <sheetView tabSelected="1" topLeftCell="A28" workbookViewId="0">
      <selection activeCell="B42" sqref="B42"/>
    </sheetView>
  </sheetViews>
  <sheetFormatPr defaultColWidth="9" defaultRowHeight="16.8"/>
  <cols>
    <col min="1" max="1" width="81.3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51" spans="1:12">
      <c r="A2" s="1" t="s">
        <v>12</v>
      </c>
      <c r="B2" t="s">
        <v>13</v>
      </c>
      <c r="C2" t="str">
        <f t="shared" ref="C2:C51" si="0">IF(B2="NEUTRAL","TS","OS")</f>
        <v>TS</v>
      </c>
      <c r="D2">
        <v>5</v>
      </c>
      <c r="E2" t="str">
        <f t="shared" ref="E2:E51" si="1">IF(C2="TS",IF(D2=3,"Consistent",IF(OR(D2=2,D2=4),"Partially Consistent","Inconsistent")),IF(D2=3,"Inconsistent",IF(AND(D2=5,B2="POSITIVE"),"Consistent",IF(AND(D2=1,B2="NEGATIVE"),"Consistent",IF(AND(D2=4,B2="POSITIVE"),"Partially Consistent",IF(AND(D2=2,B2="NEGATIVE"),"Partially Consistent","Inconsistent"))))))</f>
        <v>Inconsistent</v>
      </c>
      <c r="F2" t="str">
        <f t="shared" ref="F2:F51" si="2">IF(C2="TS","High","Low")</f>
        <v>High</v>
      </c>
      <c r="G2" t="str">
        <f t="shared" ref="G2:G51" si="3">IF(AND(B2="NEUTRAL",F2="Low"),"LOW",IF(AND(C2="TS",F2="High",D2=3),"HIGH",IF(AND(C2="TS",F2="High",OR(D2=2,D2=4)),"HIGH",IF(AND(C2="TS",F2="High",OR(D2=1,D2=5)),"MODERATE",IF(AND(C2="OS",E2="Consistent",OR(D2=1,D2=5)),"MODERATE",IF(AND(C2="OS",E2="Partially Consistent",OR(D2=2,D2=4)),"MODERATE","LOW"))))))</f>
        <v>MODERATE</v>
      </c>
      <c r="H2">
        <v>1</v>
      </c>
      <c r="I2">
        <v>0</v>
      </c>
      <c r="J2">
        <v>1</v>
      </c>
      <c r="K2" t="s">
        <v>14</v>
      </c>
      <c r="L2" t="s">
        <v>14</v>
      </c>
    </row>
    <row r="3" ht="34" spans="1:12">
      <c r="A3" s="1" t="s">
        <v>15</v>
      </c>
      <c r="B3" t="s">
        <v>16</v>
      </c>
      <c r="C3" t="str">
        <f t="shared" si="0"/>
        <v>OS</v>
      </c>
      <c r="D3">
        <v>5</v>
      </c>
      <c r="E3" t="str">
        <f t="shared" si="1"/>
        <v>Consistent</v>
      </c>
      <c r="F3" t="str">
        <f t="shared" si="2"/>
        <v>Low</v>
      </c>
      <c r="G3" t="str">
        <f t="shared" si="3"/>
        <v>MODERATE</v>
      </c>
      <c r="H3">
        <v>0</v>
      </c>
      <c r="I3">
        <v>0</v>
      </c>
      <c r="J3">
        <v>1</v>
      </c>
      <c r="K3" t="s">
        <v>14</v>
      </c>
      <c r="L3" t="s">
        <v>14</v>
      </c>
    </row>
    <row r="4" ht="17" spans="1:12">
      <c r="A4" s="1" t="s">
        <v>17</v>
      </c>
      <c r="B4" t="s">
        <v>16</v>
      </c>
      <c r="C4" t="str">
        <f t="shared" si="0"/>
        <v>OS</v>
      </c>
      <c r="D4">
        <v>5</v>
      </c>
      <c r="E4" t="str">
        <f t="shared" si="1"/>
        <v>Consistent</v>
      </c>
      <c r="F4" t="str">
        <f t="shared" si="2"/>
        <v>Low</v>
      </c>
      <c r="G4" t="str">
        <f t="shared" si="3"/>
        <v>MODERATE</v>
      </c>
      <c r="H4">
        <v>0</v>
      </c>
      <c r="I4">
        <v>1</v>
      </c>
      <c r="J4">
        <v>1</v>
      </c>
      <c r="K4" t="s">
        <v>14</v>
      </c>
      <c r="L4" t="s">
        <v>14</v>
      </c>
    </row>
    <row r="5" ht="34" spans="1:12">
      <c r="A5" s="1" t="s">
        <v>18</v>
      </c>
      <c r="B5" t="s">
        <v>19</v>
      </c>
      <c r="C5" t="str">
        <f t="shared" si="0"/>
        <v>OS</v>
      </c>
      <c r="D5">
        <v>5</v>
      </c>
      <c r="E5" t="str">
        <f t="shared" si="1"/>
        <v>Inconsistent</v>
      </c>
      <c r="F5" t="str">
        <f t="shared" si="2"/>
        <v>Low</v>
      </c>
      <c r="G5" t="str">
        <f t="shared" si="3"/>
        <v>LOW</v>
      </c>
      <c r="H5">
        <v>0</v>
      </c>
      <c r="I5">
        <v>0</v>
      </c>
      <c r="J5">
        <v>1</v>
      </c>
      <c r="K5" t="s">
        <v>14</v>
      </c>
      <c r="L5" t="s">
        <v>14</v>
      </c>
    </row>
    <row r="6" ht="51" spans="1:12">
      <c r="A6" s="1" t="s">
        <v>20</v>
      </c>
      <c r="B6" t="s">
        <v>16</v>
      </c>
      <c r="C6" t="str">
        <f t="shared" si="0"/>
        <v>OS</v>
      </c>
      <c r="D6">
        <v>5</v>
      </c>
      <c r="E6" t="str">
        <f t="shared" si="1"/>
        <v>Consistent</v>
      </c>
      <c r="F6" t="str">
        <f t="shared" si="2"/>
        <v>Low</v>
      </c>
      <c r="G6" t="str">
        <f t="shared" si="3"/>
        <v>MODERATE</v>
      </c>
      <c r="H6">
        <v>1</v>
      </c>
      <c r="I6">
        <v>1</v>
      </c>
      <c r="J6">
        <v>1</v>
      </c>
      <c r="K6" t="s">
        <v>14</v>
      </c>
      <c r="L6" t="s">
        <v>14</v>
      </c>
    </row>
    <row r="7" ht="34" spans="1:12">
      <c r="A7" s="1" t="s">
        <v>21</v>
      </c>
      <c r="B7" t="s">
        <v>16</v>
      </c>
      <c r="C7" t="str">
        <f t="shared" si="0"/>
        <v>OS</v>
      </c>
      <c r="D7">
        <v>5</v>
      </c>
      <c r="E7" t="str">
        <f t="shared" si="1"/>
        <v>Consistent</v>
      </c>
      <c r="F7" t="str">
        <f t="shared" si="2"/>
        <v>Low</v>
      </c>
      <c r="G7" t="str">
        <f t="shared" si="3"/>
        <v>MODERATE</v>
      </c>
      <c r="H7">
        <v>0</v>
      </c>
      <c r="I7">
        <v>0</v>
      </c>
      <c r="J7">
        <v>1</v>
      </c>
      <c r="K7" t="s">
        <v>14</v>
      </c>
      <c r="L7" t="s">
        <v>14</v>
      </c>
    </row>
    <row r="8" ht="34" spans="1:12">
      <c r="A8" s="1" t="s">
        <v>22</v>
      </c>
      <c r="B8" t="s">
        <v>16</v>
      </c>
      <c r="C8" t="str">
        <f t="shared" si="0"/>
        <v>OS</v>
      </c>
      <c r="D8">
        <v>5</v>
      </c>
      <c r="E8" t="str">
        <f t="shared" si="1"/>
        <v>Consistent</v>
      </c>
      <c r="F8" t="str">
        <f t="shared" si="2"/>
        <v>Low</v>
      </c>
      <c r="G8" t="str">
        <f t="shared" si="3"/>
        <v>MODERATE</v>
      </c>
      <c r="H8">
        <v>0</v>
      </c>
      <c r="I8">
        <v>1</v>
      </c>
      <c r="J8">
        <v>0</v>
      </c>
      <c r="K8" t="s">
        <v>14</v>
      </c>
      <c r="L8" t="s">
        <v>14</v>
      </c>
    </row>
    <row r="9" ht="34" spans="1:12">
      <c r="A9" s="1" t="s">
        <v>23</v>
      </c>
      <c r="B9" t="s">
        <v>16</v>
      </c>
      <c r="C9" t="str">
        <f t="shared" si="0"/>
        <v>OS</v>
      </c>
      <c r="D9">
        <v>5</v>
      </c>
      <c r="E9" t="str">
        <f t="shared" si="1"/>
        <v>Consistent</v>
      </c>
      <c r="F9" t="str">
        <f t="shared" si="2"/>
        <v>Low</v>
      </c>
      <c r="G9" t="str">
        <f t="shared" si="3"/>
        <v>MODERATE</v>
      </c>
      <c r="H9">
        <v>0</v>
      </c>
      <c r="I9">
        <v>1</v>
      </c>
      <c r="J9">
        <v>0</v>
      </c>
      <c r="K9" t="s">
        <v>14</v>
      </c>
      <c r="L9" t="s">
        <v>14</v>
      </c>
    </row>
    <row r="10" ht="34" spans="1:12">
      <c r="A10" s="1" t="s">
        <v>24</v>
      </c>
      <c r="B10" t="s">
        <v>16</v>
      </c>
      <c r="C10" t="str">
        <f t="shared" si="0"/>
        <v>OS</v>
      </c>
      <c r="D10">
        <v>5</v>
      </c>
      <c r="E10" t="str">
        <f t="shared" si="1"/>
        <v>Consistent</v>
      </c>
      <c r="F10" t="str">
        <f t="shared" si="2"/>
        <v>Low</v>
      </c>
      <c r="G10" t="str">
        <f t="shared" si="3"/>
        <v>MODERATE</v>
      </c>
      <c r="H10">
        <v>1</v>
      </c>
      <c r="I10">
        <v>1</v>
      </c>
      <c r="J10">
        <v>0</v>
      </c>
      <c r="K10" t="s">
        <v>14</v>
      </c>
      <c r="L10" t="s">
        <v>14</v>
      </c>
    </row>
    <row r="11" ht="34" spans="1:12">
      <c r="A11" s="1" t="s">
        <v>25</v>
      </c>
      <c r="B11" t="s">
        <v>16</v>
      </c>
      <c r="C11" t="str">
        <f t="shared" si="0"/>
        <v>OS</v>
      </c>
      <c r="D11">
        <v>5</v>
      </c>
      <c r="E11" t="str">
        <f t="shared" si="1"/>
        <v>Consistent</v>
      </c>
      <c r="F11" t="str">
        <f t="shared" si="2"/>
        <v>Low</v>
      </c>
      <c r="G11" t="str">
        <f t="shared" si="3"/>
        <v>MODERATE</v>
      </c>
      <c r="H11">
        <v>0</v>
      </c>
      <c r="I11">
        <v>1</v>
      </c>
      <c r="J11">
        <v>0</v>
      </c>
      <c r="K11" t="s">
        <v>14</v>
      </c>
      <c r="L11" t="s">
        <v>14</v>
      </c>
    </row>
    <row r="12" ht="17" spans="1:12">
      <c r="A12" s="1" t="s">
        <v>26</v>
      </c>
      <c r="B12" t="s">
        <v>16</v>
      </c>
      <c r="C12" t="str">
        <f t="shared" si="0"/>
        <v>OS</v>
      </c>
      <c r="D12">
        <v>4</v>
      </c>
      <c r="E12" t="str">
        <f t="shared" si="1"/>
        <v>Partially Consistent</v>
      </c>
      <c r="F12" t="str">
        <f t="shared" si="2"/>
        <v>Low</v>
      </c>
      <c r="G12" t="str">
        <f t="shared" si="3"/>
        <v>MODERATE</v>
      </c>
      <c r="H12">
        <v>0</v>
      </c>
      <c r="I12">
        <v>1</v>
      </c>
      <c r="J12">
        <v>0</v>
      </c>
      <c r="K12" t="s">
        <v>14</v>
      </c>
      <c r="L12" t="s">
        <v>14</v>
      </c>
    </row>
    <row r="13" ht="17" spans="1:12">
      <c r="A13" s="1" t="s">
        <v>27</v>
      </c>
      <c r="B13" t="s">
        <v>13</v>
      </c>
      <c r="C13" t="str">
        <f t="shared" si="0"/>
        <v>TS</v>
      </c>
      <c r="D13">
        <v>4</v>
      </c>
      <c r="E13" t="str">
        <f t="shared" si="1"/>
        <v>Partially Consistent</v>
      </c>
      <c r="F13" t="str">
        <f t="shared" si="2"/>
        <v>High</v>
      </c>
      <c r="G13" t="str">
        <f t="shared" si="3"/>
        <v>HIGH</v>
      </c>
      <c r="H13">
        <v>0</v>
      </c>
      <c r="I13">
        <v>0</v>
      </c>
      <c r="J13">
        <v>1</v>
      </c>
      <c r="K13" t="s">
        <v>14</v>
      </c>
      <c r="L13" t="s">
        <v>14</v>
      </c>
    </row>
    <row r="14" ht="51" spans="1:12">
      <c r="A14" s="1" t="s">
        <v>28</v>
      </c>
      <c r="B14" t="s">
        <v>16</v>
      </c>
      <c r="C14" t="str">
        <f t="shared" si="0"/>
        <v>OS</v>
      </c>
      <c r="D14">
        <v>4</v>
      </c>
      <c r="E14" t="str">
        <f t="shared" si="1"/>
        <v>Partially Consistent</v>
      </c>
      <c r="F14" t="str">
        <f t="shared" si="2"/>
        <v>Low</v>
      </c>
      <c r="G14" t="str">
        <f t="shared" si="3"/>
        <v>MODERATE</v>
      </c>
      <c r="H14">
        <v>0</v>
      </c>
      <c r="I14">
        <v>1</v>
      </c>
      <c r="J14">
        <v>0</v>
      </c>
      <c r="K14" t="s">
        <v>14</v>
      </c>
      <c r="L14" t="s">
        <v>14</v>
      </c>
    </row>
    <row r="15" ht="17" spans="1:12">
      <c r="A15" s="1" t="s">
        <v>29</v>
      </c>
      <c r="B15" t="s">
        <v>13</v>
      </c>
      <c r="C15" t="str">
        <f t="shared" si="0"/>
        <v>TS</v>
      </c>
      <c r="D15">
        <v>4</v>
      </c>
      <c r="E15" t="str">
        <f t="shared" si="1"/>
        <v>Partially Consistent</v>
      </c>
      <c r="F15" t="str">
        <f t="shared" si="2"/>
        <v>High</v>
      </c>
      <c r="G15" t="str">
        <f t="shared" si="3"/>
        <v>HIGH</v>
      </c>
      <c r="H15">
        <v>1</v>
      </c>
      <c r="I15">
        <v>1</v>
      </c>
      <c r="J15">
        <v>1</v>
      </c>
      <c r="K15" t="s">
        <v>14</v>
      </c>
      <c r="L15" t="s">
        <v>14</v>
      </c>
    </row>
    <row r="16" ht="17" spans="1:12">
      <c r="A16" s="1" t="s">
        <v>30</v>
      </c>
      <c r="B16" t="s">
        <v>16</v>
      </c>
      <c r="C16" t="str">
        <f t="shared" si="0"/>
        <v>OS</v>
      </c>
      <c r="D16">
        <v>4</v>
      </c>
      <c r="E16" t="str">
        <f t="shared" si="1"/>
        <v>Partially Consistent</v>
      </c>
      <c r="F16" t="str">
        <f t="shared" si="2"/>
        <v>Low</v>
      </c>
      <c r="G16" t="str">
        <f t="shared" si="3"/>
        <v>MODERATE</v>
      </c>
      <c r="H16">
        <v>0</v>
      </c>
      <c r="I16">
        <v>1</v>
      </c>
      <c r="J16">
        <v>1</v>
      </c>
      <c r="K16" t="s">
        <v>14</v>
      </c>
      <c r="L16" t="s">
        <v>14</v>
      </c>
    </row>
    <row r="17" ht="17" spans="1:12">
      <c r="A17" s="1" t="s">
        <v>31</v>
      </c>
      <c r="B17" t="s">
        <v>13</v>
      </c>
      <c r="C17" t="str">
        <f t="shared" si="0"/>
        <v>TS</v>
      </c>
      <c r="D17">
        <v>4</v>
      </c>
      <c r="E17" t="str">
        <f t="shared" si="1"/>
        <v>Partially Consistent</v>
      </c>
      <c r="F17" t="str">
        <f t="shared" si="2"/>
        <v>High</v>
      </c>
      <c r="G17" t="str">
        <f t="shared" si="3"/>
        <v>HIGH</v>
      </c>
      <c r="H17">
        <v>0</v>
      </c>
      <c r="I17">
        <v>0</v>
      </c>
      <c r="J17">
        <v>1</v>
      </c>
      <c r="K17" t="s">
        <v>14</v>
      </c>
      <c r="L17" t="s">
        <v>14</v>
      </c>
    </row>
    <row r="18" ht="17" spans="1:12">
      <c r="A18" s="1" t="s">
        <v>32</v>
      </c>
      <c r="B18" t="s">
        <v>16</v>
      </c>
      <c r="C18" t="str">
        <f t="shared" si="0"/>
        <v>OS</v>
      </c>
      <c r="D18">
        <v>4</v>
      </c>
      <c r="E18" t="str">
        <f t="shared" si="1"/>
        <v>Partially Consistent</v>
      </c>
      <c r="F18" t="str">
        <f t="shared" si="2"/>
        <v>Low</v>
      </c>
      <c r="G18" t="str">
        <f t="shared" si="3"/>
        <v>MODERATE</v>
      </c>
      <c r="H18">
        <v>0</v>
      </c>
      <c r="I18">
        <v>1</v>
      </c>
      <c r="J18">
        <v>0</v>
      </c>
      <c r="K18" t="s">
        <v>14</v>
      </c>
      <c r="L18" t="s">
        <v>14</v>
      </c>
    </row>
    <row r="19" ht="34" spans="1:12">
      <c r="A19" s="1" t="s">
        <v>33</v>
      </c>
      <c r="B19" t="s">
        <v>16</v>
      </c>
      <c r="C19" t="str">
        <f t="shared" si="0"/>
        <v>OS</v>
      </c>
      <c r="D19">
        <v>4</v>
      </c>
      <c r="E19" t="str">
        <f t="shared" si="1"/>
        <v>Partially Consistent</v>
      </c>
      <c r="F19" t="str">
        <f t="shared" si="2"/>
        <v>Low</v>
      </c>
      <c r="G19" t="str">
        <f t="shared" si="3"/>
        <v>MODERATE</v>
      </c>
      <c r="H19">
        <v>0</v>
      </c>
      <c r="I19">
        <v>0</v>
      </c>
      <c r="J19">
        <v>1</v>
      </c>
      <c r="K19" t="s">
        <v>14</v>
      </c>
      <c r="L19" t="s">
        <v>14</v>
      </c>
    </row>
    <row r="20" ht="17" spans="1:12">
      <c r="A20" s="1" t="s">
        <v>34</v>
      </c>
      <c r="B20" t="s">
        <v>16</v>
      </c>
      <c r="C20" t="str">
        <f t="shared" si="0"/>
        <v>OS</v>
      </c>
      <c r="D20">
        <v>4</v>
      </c>
      <c r="E20" t="str">
        <f t="shared" si="1"/>
        <v>Partially Consistent</v>
      </c>
      <c r="F20" t="str">
        <f t="shared" si="2"/>
        <v>Low</v>
      </c>
      <c r="G20" t="str">
        <f t="shared" si="3"/>
        <v>MODERATE</v>
      </c>
      <c r="H20">
        <v>1</v>
      </c>
      <c r="I20">
        <v>0</v>
      </c>
      <c r="J20">
        <v>1</v>
      </c>
      <c r="K20" t="s">
        <v>14</v>
      </c>
      <c r="L20" t="s">
        <v>14</v>
      </c>
    </row>
    <row r="21" ht="17" spans="1:12">
      <c r="A21" s="1" t="s">
        <v>35</v>
      </c>
      <c r="B21" t="s">
        <v>16</v>
      </c>
      <c r="C21" t="str">
        <f t="shared" si="0"/>
        <v>OS</v>
      </c>
      <c r="D21">
        <v>4</v>
      </c>
      <c r="E21" t="str">
        <f t="shared" si="1"/>
        <v>Partially Consistent</v>
      </c>
      <c r="F21" t="str">
        <f t="shared" si="2"/>
        <v>Low</v>
      </c>
      <c r="G21" t="str">
        <f t="shared" si="3"/>
        <v>MODERATE</v>
      </c>
      <c r="H21">
        <v>0</v>
      </c>
      <c r="I21">
        <v>1</v>
      </c>
      <c r="J21">
        <v>0</v>
      </c>
      <c r="K21" t="s">
        <v>14</v>
      </c>
      <c r="L21" t="s">
        <v>14</v>
      </c>
    </row>
    <row r="22" ht="34" spans="1:12">
      <c r="A22" s="1" t="s">
        <v>36</v>
      </c>
      <c r="B22" t="s">
        <v>13</v>
      </c>
      <c r="C22" t="str">
        <f t="shared" si="0"/>
        <v>TS</v>
      </c>
      <c r="D22">
        <v>3</v>
      </c>
      <c r="E22" t="str">
        <f t="shared" si="1"/>
        <v>Consistent</v>
      </c>
      <c r="F22" t="str">
        <f t="shared" si="2"/>
        <v>High</v>
      </c>
      <c r="G22" t="str">
        <f t="shared" si="3"/>
        <v>HIGH</v>
      </c>
      <c r="H22">
        <v>0</v>
      </c>
      <c r="I22">
        <v>1</v>
      </c>
      <c r="J22">
        <v>1</v>
      </c>
      <c r="K22" t="s">
        <v>14</v>
      </c>
      <c r="L22" t="s">
        <v>14</v>
      </c>
    </row>
    <row r="23" ht="17" spans="1:12">
      <c r="A23" s="1" t="s">
        <v>37</v>
      </c>
      <c r="B23" t="s">
        <v>13</v>
      </c>
      <c r="C23" t="str">
        <f t="shared" si="0"/>
        <v>TS</v>
      </c>
      <c r="D23">
        <v>3</v>
      </c>
      <c r="E23" t="str">
        <f t="shared" si="1"/>
        <v>Consistent</v>
      </c>
      <c r="F23" t="str">
        <f t="shared" si="2"/>
        <v>High</v>
      </c>
      <c r="G23" t="str">
        <f t="shared" si="3"/>
        <v>HIGH</v>
      </c>
      <c r="H23">
        <v>0</v>
      </c>
      <c r="I23">
        <v>0</v>
      </c>
      <c r="J23">
        <v>1</v>
      </c>
      <c r="K23" t="s">
        <v>14</v>
      </c>
      <c r="L23" t="s">
        <v>14</v>
      </c>
    </row>
    <row r="24" ht="17" spans="1:12">
      <c r="A24" s="1" t="s">
        <v>38</v>
      </c>
      <c r="B24" t="s">
        <v>13</v>
      </c>
      <c r="C24" t="str">
        <f t="shared" si="0"/>
        <v>TS</v>
      </c>
      <c r="D24">
        <v>3</v>
      </c>
      <c r="E24" t="str">
        <f t="shared" si="1"/>
        <v>Consistent</v>
      </c>
      <c r="F24" t="str">
        <f t="shared" si="2"/>
        <v>High</v>
      </c>
      <c r="G24" t="str">
        <f t="shared" si="3"/>
        <v>HIGH</v>
      </c>
      <c r="H24">
        <v>0</v>
      </c>
      <c r="I24">
        <v>0</v>
      </c>
      <c r="J24">
        <v>1</v>
      </c>
      <c r="K24" t="s">
        <v>14</v>
      </c>
      <c r="L24" t="s">
        <v>14</v>
      </c>
    </row>
    <row r="25" ht="34" spans="1:12">
      <c r="A25" s="1" t="s">
        <v>39</v>
      </c>
      <c r="B25" t="s">
        <v>16</v>
      </c>
      <c r="C25" t="str">
        <f t="shared" si="0"/>
        <v>OS</v>
      </c>
      <c r="D25">
        <v>3</v>
      </c>
      <c r="E25" t="str">
        <f t="shared" si="1"/>
        <v>Inconsistent</v>
      </c>
      <c r="F25" t="str">
        <f t="shared" si="2"/>
        <v>Low</v>
      </c>
      <c r="G25" t="str">
        <f t="shared" si="3"/>
        <v>LOW</v>
      </c>
      <c r="H25">
        <v>0</v>
      </c>
      <c r="I25">
        <v>1</v>
      </c>
      <c r="J25">
        <v>1</v>
      </c>
      <c r="K25" t="s">
        <v>14</v>
      </c>
      <c r="L25" t="s">
        <v>14</v>
      </c>
    </row>
    <row r="26" ht="17" spans="1:12">
      <c r="A26" s="1" t="s">
        <v>40</v>
      </c>
      <c r="B26" t="s">
        <v>13</v>
      </c>
      <c r="C26" t="str">
        <f t="shared" si="0"/>
        <v>TS</v>
      </c>
      <c r="D26">
        <v>3</v>
      </c>
      <c r="E26" t="str">
        <f t="shared" si="1"/>
        <v>Consistent</v>
      </c>
      <c r="F26" t="str">
        <f t="shared" si="2"/>
        <v>High</v>
      </c>
      <c r="G26" t="str">
        <f t="shared" si="3"/>
        <v>HIGH</v>
      </c>
      <c r="H26">
        <v>1</v>
      </c>
      <c r="I26">
        <v>0</v>
      </c>
      <c r="J26">
        <v>1</v>
      </c>
      <c r="K26" t="s">
        <v>14</v>
      </c>
      <c r="L26" t="s">
        <v>14</v>
      </c>
    </row>
    <row r="27" ht="17" spans="1:12">
      <c r="A27" s="1" t="s">
        <v>41</v>
      </c>
      <c r="B27" t="s">
        <v>13</v>
      </c>
      <c r="C27" t="str">
        <f t="shared" si="0"/>
        <v>TS</v>
      </c>
      <c r="D27">
        <v>3</v>
      </c>
      <c r="E27" t="str">
        <f t="shared" si="1"/>
        <v>Consistent</v>
      </c>
      <c r="F27" t="str">
        <f t="shared" si="2"/>
        <v>High</v>
      </c>
      <c r="G27" t="str">
        <f t="shared" si="3"/>
        <v>HIGH</v>
      </c>
      <c r="H27">
        <v>0</v>
      </c>
      <c r="I27">
        <v>0</v>
      </c>
      <c r="J27">
        <v>1</v>
      </c>
      <c r="K27" t="s">
        <v>14</v>
      </c>
      <c r="L27" t="s">
        <v>14</v>
      </c>
    </row>
    <row r="28" ht="68" spans="1:12">
      <c r="A28" s="1" t="s">
        <v>42</v>
      </c>
      <c r="B28" t="s">
        <v>13</v>
      </c>
      <c r="C28" t="str">
        <f t="shared" si="0"/>
        <v>TS</v>
      </c>
      <c r="D28">
        <v>3</v>
      </c>
      <c r="E28" t="str">
        <f t="shared" si="1"/>
        <v>Consistent</v>
      </c>
      <c r="F28" t="str">
        <f t="shared" si="2"/>
        <v>High</v>
      </c>
      <c r="G28" t="str">
        <f t="shared" si="3"/>
        <v>HIGH</v>
      </c>
      <c r="H28">
        <v>1</v>
      </c>
      <c r="I28">
        <v>1</v>
      </c>
      <c r="J28">
        <v>1</v>
      </c>
      <c r="K28" t="s">
        <v>14</v>
      </c>
      <c r="L28" t="s">
        <v>14</v>
      </c>
    </row>
    <row r="29" ht="17" spans="1:12">
      <c r="A29" s="1" t="s">
        <v>43</v>
      </c>
      <c r="B29" t="s">
        <v>19</v>
      </c>
      <c r="C29" t="str">
        <f t="shared" si="0"/>
        <v>OS</v>
      </c>
      <c r="D29">
        <v>3</v>
      </c>
      <c r="E29" t="str">
        <f t="shared" si="1"/>
        <v>Inconsistent</v>
      </c>
      <c r="F29" t="str">
        <f t="shared" si="2"/>
        <v>Low</v>
      </c>
      <c r="G29" t="str">
        <f t="shared" si="3"/>
        <v>LOW</v>
      </c>
      <c r="H29">
        <v>0</v>
      </c>
      <c r="I29">
        <v>0</v>
      </c>
      <c r="J29">
        <v>1</v>
      </c>
      <c r="K29" t="s">
        <v>14</v>
      </c>
      <c r="L29" t="s">
        <v>14</v>
      </c>
    </row>
    <row r="30" ht="17" spans="1:12">
      <c r="A30" s="1" t="s">
        <v>44</v>
      </c>
      <c r="B30" t="s">
        <v>19</v>
      </c>
      <c r="C30" t="str">
        <f t="shared" si="0"/>
        <v>OS</v>
      </c>
      <c r="D30">
        <v>3</v>
      </c>
      <c r="E30" t="str">
        <f t="shared" si="1"/>
        <v>Inconsistent</v>
      </c>
      <c r="F30" t="str">
        <f t="shared" si="2"/>
        <v>Low</v>
      </c>
      <c r="G30" t="str">
        <f t="shared" si="3"/>
        <v>LOW</v>
      </c>
      <c r="H30">
        <v>0</v>
      </c>
      <c r="I30">
        <v>0</v>
      </c>
      <c r="J30">
        <v>1</v>
      </c>
      <c r="K30" t="s">
        <v>14</v>
      </c>
      <c r="L30" t="s">
        <v>14</v>
      </c>
    </row>
    <row r="31" ht="17" spans="1:12">
      <c r="A31" s="1" t="s">
        <v>45</v>
      </c>
      <c r="B31" t="s">
        <v>19</v>
      </c>
      <c r="C31" t="str">
        <f t="shared" si="0"/>
        <v>OS</v>
      </c>
      <c r="D31">
        <v>3</v>
      </c>
      <c r="E31" t="str">
        <f t="shared" si="1"/>
        <v>Inconsistent</v>
      </c>
      <c r="F31" t="str">
        <f t="shared" si="2"/>
        <v>Low</v>
      </c>
      <c r="G31" t="str">
        <f t="shared" si="3"/>
        <v>LOW</v>
      </c>
      <c r="H31">
        <v>1</v>
      </c>
      <c r="I31">
        <v>0</v>
      </c>
      <c r="J31">
        <v>1</v>
      </c>
      <c r="K31" t="s">
        <v>14</v>
      </c>
      <c r="L31" t="s">
        <v>14</v>
      </c>
    </row>
    <row r="32" ht="17" spans="1:12">
      <c r="A32" s="1" t="s">
        <v>46</v>
      </c>
      <c r="B32" t="s">
        <v>19</v>
      </c>
      <c r="C32" t="str">
        <f t="shared" si="0"/>
        <v>OS</v>
      </c>
      <c r="D32">
        <v>1</v>
      </c>
      <c r="E32" t="str">
        <f t="shared" si="1"/>
        <v>Consistent</v>
      </c>
      <c r="F32" t="str">
        <f t="shared" si="2"/>
        <v>Low</v>
      </c>
      <c r="G32" t="str">
        <f t="shared" si="3"/>
        <v>MODERATE</v>
      </c>
      <c r="H32">
        <v>0</v>
      </c>
      <c r="I32">
        <v>0</v>
      </c>
      <c r="J32">
        <v>1</v>
      </c>
      <c r="K32" t="s">
        <v>14</v>
      </c>
      <c r="L32" t="s">
        <v>14</v>
      </c>
    </row>
    <row r="33" ht="17" spans="1:12">
      <c r="A33" s="1" t="s">
        <v>47</v>
      </c>
      <c r="B33" t="s">
        <v>19</v>
      </c>
      <c r="C33" t="str">
        <f t="shared" si="0"/>
        <v>OS</v>
      </c>
      <c r="D33">
        <v>1</v>
      </c>
      <c r="E33" t="str">
        <f t="shared" si="1"/>
        <v>Consistent</v>
      </c>
      <c r="F33" t="str">
        <f t="shared" si="2"/>
        <v>Low</v>
      </c>
      <c r="G33" t="str">
        <f t="shared" si="3"/>
        <v>MODERATE</v>
      </c>
      <c r="H33">
        <v>0</v>
      </c>
      <c r="I33">
        <v>1</v>
      </c>
      <c r="J33">
        <v>1</v>
      </c>
      <c r="K33" t="s">
        <v>14</v>
      </c>
      <c r="L33" t="s">
        <v>14</v>
      </c>
    </row>
    <row r="34" ht="34" spans="1:12">
      <c r="A34" s="1" t="s">
        <v>48</v>
      </c>
      <c r="B34" t="s">
        <v>19</v>
      </c>
      <c r="C34" t="str">
        <f t="shared" si="0"/>
        <v>OS</v>
      </c>
      <c r="D34">
        <v>1</v>
      </c>
      <c r="E34" t="str">
        <f t="shared" si="1"/>
        <v>Consistent</v>
      </c>
      <c r="F34" t="str">
        <f t="shared" si="2"/>
        <v>Low</v>
      </c>
      <c r="G34" t="str">
        <f t="shared" si="3"/>
        <v>MODERATE</v>
      </c>
      <c r="H34">
        <v>0</v>
      </c>
      <c r="I34">
        <v>0</v>
      </c>
      <c r="J34">
        <v>1</v>
      </c>
      <c r="K34" t="s">
        <v>14</v>
      </c>
      <c r="L34" t="s">
        <v>14</v>
      </c>
    </row>
    <row r="35" ht="51" spans="1:12">
      <c r="A35" s="1" t="s">
        <v>49</v>
      </c>
      <c r="B35" t="s">
        <v>13</v>
      </c>
      <c r="C35" t="str">
        <f t="shared" si="0"/>
        <v>TS</v>
      </c>
      <c r="D35">
        <v>1</v>
      </c>
      <c r="E35" t="str">
        <f t="shared" si="1"/>
        <v>Inconsistent</v>
      </c>
      <c r="F35" t="str">
        <f t="shared" si="2"/>
        <v>High</v>
      </c>
      <c r="G35" t="str">
        <f t="shared" si="3"/>
        <v>MODERATE</v>
      </c>
      <c r="H35">
        <v>0</v>
      </c>
      <c r="I35">
        <v>0</v>
      </c>
      <c r="J35">
        <v>1</v>
      </c>
      <c r="K35" t="s">
        <v>14</v>
      </c>
      <c r="L35" t="s">
        <v>14</v>
      </c>
    </row>
    <row r="36" ht="51" spans="1:12">
      <c r="A36" s="1" t="s">
        <v>50</v>
      </c>
      <c r="B36" t="s">
        <v>13</v>
      </c>
      <c r="C36" t="str">
        <f t="shared" si="0"/>
        <v>TS</v>
      </c>
      <c r="D36">
        <v>1</v>
      </c>
      <c r="E36" t="str">
        <f t="shared" si="1"/>
        <v>Inconsistent</v>
      </c>
      <c r="F36" t="str">
        <f t="shared" si="2"/>
        <v>High</v>
      </c>
      <c r="G36" t="str">
        <f t="shared" si="3"/>
        <v>MODERATE</v>
      </c>
      <c r="H36">
        <v>0</v>
      </c>
      <c r="I36">
        <v>0</v>
      </c>
      <c r="J36">
        <v>1</v>
      </c>
      <c r="K36" t="s">
        <v>14</v>
      </c>
      <c r="L36" t="s">
        <v>14</v>
      </c>
    </row>
    <row r="37" ht="17" spans="1:12">
      <c r="A37" s="1" t="s">
        <v>51</v>
      </c>
      <c r="B37" t="s">
        <v>19</v>
      </c>
      <c r="C37" t="str">
        <f t="shared" si="0"/>
        <v>OS</v>
      </c>
      <c r="D37">
        <v>1</v>
      </c>
      <c r="E37" t="str">
        <f t="shared" si="1"/>
        <v>Consistent</v>
      </c>
      <c r="F37" t="str">
        <f t="shared" si="2"/>
        <v>Low</v>
      </c>
      <c r="G37" t="str">
        <f t="shared" si="3"/>
        <v>MODERATE</v>
      </c>
      <c r="H37">
        <v>0</v>
      </c>
      <c r="I37">
        <v>0</v>
      </c>
      <c r="J37">
        <v>1</v>
      </c>
      <c r="K37" t="s">
        <v>14</v>
      </c>
      <c r="L37" t="s">
        <v>14</v>
      </c>
    </row>
    <row r="38" ht="17" spans="1:12">
      <c r="A38" s="1" t="s">
        <v>52</v>
      </c>
      <c r="B38" t="s">
        <v>19</v>
      </c>
      <c r="C38" t="str">
        <f t="shared" si="0"/>
        <v>OS</v>
      </c>
      <c r="D38">
        <v>1</v>
      </c>
      <c r="E38" t="str">
        <f t="shared" si="1"/>
        <v>Consistent</v>
      </c>
      <c r="F38" t="str">
        <f t="shared" si="2"/>
        <v>Low</v>
      </c>
      <c r="G38" t="str">
        <f t="shared" si="3"/>
        <v>MODERATE</v>
      </c>
      <c r="H38">
        <v>0</v>
      </c>
      <c r="I38">
        <v>0</v>
      </c>
      <c r="J38">
        <v>1</v>
      </c>
      <c r="K38" t="s">
        <v>14</v>
      </c>
      <c r="L38" t="s">
        <v>14</v>
      </c>
    </row>
    <row r="39" ht="17" spans="1:12">
      <c r="A39" s="1" t="s">
        <v>53</v>
      </c>
      <c r="B39" t="s">
        <v>19</v>
      </c>
      <c r="C39" t="str">
        <f t="shared" si="0"/>
        <v>OS</v>
      </c>
      <c r="D39">
        <v>1</v>
      </c>
      <c r="E39" t="str">
        <f t="shared" si="1"/>
        <v>Consistent</v>
      </c>
      <c r="F39" t="str">
        <f t="shared" si="2"/>
        <v>Low</v>
      </c>
      <c r="G39" t="str">
        <f t="shared" si="3"/>
        <v>MODERATE</v>
      </c>
      <c r="H39">
        <v>0</v>
      </c>
      <c r="I39">
        <v>0</v>
      </c>
      <c r="J39">
        <v>1</v>
      </c>
      <c r="K39" t="s">
        <v>14</v>
      </c>
      <c r="L39" t="s">
        <v>14</v>
      </c>
    </row>
    <row r="40" ht="51" spans="1:12">
      <c r="A40" s="1" t="s">
        <v>54</v>
      </c>
      <c r="B40" t="s">
        <v>19</v>
      </c>
      <c r="C40" t="str">
        <f t="shared" si="0"/>
        <v>OS</v>
      </c>
      <c r="D40">
        <v>1</v>
      </c>
      <c r="E40" t="str">
        <f t="shared" si="1"/>
        <v>Consistent</v>
      </c>
      <c r="F40" t="str">
        <f t="shared" si="2"/>
        <v>Low</v>
      </c>
      <c r="G40" t="str">
        <f t="shared" si="3"/>
        <v>MODERATE</v>
      </c>
      <c r="H40">
        <v>0</v>
      </c>
      <c r="I40">
        <v>0</v>
      </c>
      <c r="J40">
        <v>1</v>
      </c>
      <c r="K40" t="s">
        <v>14</v>
      </c>
      <c r="L40" t="s">
        <v>14</v>
      </c>
    </row>
    <row r="41" ht="17" spans="1:12">
      <c r="A41" s="1" t="s">
        <v>55</v>
      </c>
      <c r="B41" t="s">
        <v>19</v>
      </c>
      <c r="C41" t="str">
        <f t="shared" si="0"/>
        <v>OS</v>
      </c>
      <c r="D41">
        <v>1</v>
      </c>
      <c r="E41" t="str">
        <f t="shared" si="1"/>
        <v>Consistent</v>
      </c>
      <c r="F41" t="str">
        <f t="shared" si="2"/>
        <v>Low</v>
      </c>
      <c r="G41" t="str">
        <f t="shared" si="3"/>
        <v>MODERATE</v>
      </c>
      <c r="H41">
        <v>0</v>
      </c>
      <c r="I41">
        <v>0</v>
      </c>
      <c r="J41">
        <v>1</v>
      </c>
      <c r="K41" t="s">
        <v>14</v>
      </c>
      <c r="L4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2025-05-23T11:37:00Z</dcterms:created>
  <dcterms:modified xsi:type="dcterms:W3CDTF">2025-05-23T22:56:06Z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B6263FEC10F0FC20868C30680691C969_42</vt:lpwstr>
  </property>
  <property fmtid="{D5CDD505-2E9C-101B-9397-08002B2CF9AE}" pid="4" name="KSOProductBuildVer">
    <vt:lpwstr>1033-6.13.1.8710</vt:lpwstr>
  </property>
</Properties>
</file>