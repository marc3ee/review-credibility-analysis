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<sst xmlns="http://schemas.openxmlformats.org/spreadsheetml/2006/main" count="200" uniqueCount="63">
  <si>
    <t>Review</t>
  </si>
  <si>
    <t>Sentiment</t>
  </si>
  <si>
    <t>Sidedness</t>
  </si>
  <si>
    <t>Star Rating</t>
  </si>
  <si>
    <t>Consistency</t>
  </si>
  <si>
    <t>Info Diversity</t>
  </si>
  <si>
    <t>PERCEIVED HELPFULNESS</t>
  </si>
  <si>
    <t>PD_F</t>
  </si>
  <si>
    <t>PD_F_TMP</t>
  </si>
  <si>
    <t>MAN_UI</t>
  </si>
  <si>
    <t>SPM</t>
  </si>
  <si>
    <t>CREDIBILITY</t>
  </si>
  <si>
    <t>easy to use and wind-up! , safe for kids, no worries about bacteria! , vibrant colors, perfect for kids! ,</t>
  </si>
  <si>
    <t>POSITIVE</t>
  </si>
  <si>
    <t/>
  </si>
  <si>
    <t>great for bath time fun! , fun and interactive water toy! received after two days. safe for kids, no worries about bacteria! ,</t>
  </si>
  <si>
    <t>great for bath time fun! , fun and interactive water toy! received after two days.</t>
  </si>
  <si>
    <t>cute duck, my niece favorite, so affordable hope tumagal sya. thanks seller, lazada, and courier. to yahuah be the greatest glory! ! ! yahuah - the name of the most high god</t>
  </si>
  <si>
    <t>actually nadouble ung buy ko nito, but ok lng spare na lng sya. very cheap at cute turtle. good materials used, fast shipping din. hope tumagal sya. thanks seller, lazada, and courier. to yahuah be the greatest glory! ! ! yahuah - the name of the most high god</t>
  </si>
  <si>
    <t>actually it' s blue cute dolphin, very cheap pa, fast shipping hope tumagal sya. thanks seller, lazada, and courier. to yahuah be the greatest glory! ! ! yahuah - the name of the most high god</t>
  </si>
  <si>
    <t>fun and interactive water toy! , cute turtle design, kids will love it! , great for bath time fun! ,</t>
  </si>
  <si>
    <t>great for bath time fun! , vibrant colors, perfect for kids! , durable and high-quality materials! , fun and interactive water toy! , cute turtle design, kids will love it! , easy to use and wind-up! , leakage hole ensures no water buildup! ,</t>
  </si>
  <si>
    <t>leakage hole ensures no water buildup! , easy to use and wind-up! , vibrant colors, perfect for kids! ,</t>
  </si>
  <si>
    <t>fun and interactive water toy! , vibrant colors, perfect for kids! , cute turtle design, kids will love it! ,</t>
  </si>
  <si>
    <t>cute turtle design, kids will love it! , safe for kids, no worries about bacteria! , easy to use and wind-up! ,</t>
  </si>
  <si>
    <t>cute turtle design, kids will love it! , great for bath time fun! , easy to use and wind-up! ,</t>
  </si>
  <si>
    <t>naputol yung isa kamay. pero ang ganda.</t>
  </si>
  <si>
    <t>NEUTRAL</t>
  </si>
  <si>
    <t>cute turtle design, kids will love it! ,</t>
  </si>
  <si>
    <t>good</t>
  </si>
  <si>
    <t>easy to use and wind-up! ,</t>
  </si>
  <si>
    <t>ok na sna, npakabilis ng delivery, kso nga lng sira yung 1. d gumagana, padouble check nlng po ng product before ideliver.</t>
  </si>
  <si>
    <t>quality: maganda sya thank you po</t>
  </si>
  <si>
    <t>cute sana kaso siraeasy to use and wind-up! , perfect for kids of all ages! , leakage hole ensures no water buildup! , durable and high-quality materials! ,</t>
  </si>
  <si>
    <t>maganda po nagustuhan ng baby kaya lang po ung turtle sira</t>
  </si>
  <si>
    <t>beautiful but it' s not durable. good for the price. . .</t>
  </si>
  <si>
    <t>easy to use and wind-up! , great for bath time fun! ,</t>
  </si>
  <si>
    <t>leakage hole ensures no water buildup! , leakage hole ensures no water buildup! , safe for kids, no worries about bacteria! ,</t>
  </si>
  <si>
    <t>okie naman kaso nung dumating sira ang isang kamay nung turtle</t>
  </si>
  <si>
    <t>great for bath time fun! , safe for kids, no worries about bacteria! ,</t>
  </si>
  <si>
    <t>dalawa po inorder ko na duck design kaya lang sira po un isa: (</t>
  </si>
  <si>
    <t>NEGATIVE</t>
  </si>
  <si>
    <t>hindi gusto ng baby hinahagis lang</t>
  </si>
  <si>
    <t>great for bath time fun! ,</t>
  </si>
  <si>
    <t>i ordered and paid for four items but only received 3. i ordered all 4 available design, yet dark blue dolphin is missing from the package</t>
  </si>
  <si>
    <t>ang sabi ko assorted isang klase pinadala nyo so disappointing</t>
  </si>
  <si>
    <t>sira nung dumating. panget tuloy. . di man chineck cguro ni seller</t>
  </si>
  <si>
    <t>sira agad sya, hindi naka box.</t>
  </si>
  <si>
    <t>sira po itong isa</t>
  </si>
  <si>
    <t>one wing is broken</t>
  </si>
  <si>
    <t>hays 4 order ko binigay mo 3 lng nakaka dismaya nag massage pa ko na 4 pala order ko</t>
  </si>
  <si>
    <t>hi good eve received napo nmin lhat ng items mejo old stocks po ata ung iba lukot mga boxes diko po alam kung dhil sa packaging or handling</t>
  </si>
  <si>
    <t>maganda sana kaso damaged yung sa crab. hindi napack ng maayos.</t>
  </si>
  <si>
    <t>nagchat ako 5 items na nd pare pareho ang design. . . . ano pinadala mo 5ng item na pare parehong design</t>
  </si>
  <si>
    <t>bakit 2 times nyong pinadala sakin. hindi alam na asawa ko na same package kaya tinaggap ung isa pa. doble binayad namin isang 113 lang dapat yun</t>
  </si>
  <si>
    <t>ordered 6 receoved 5 only</t>
  </si>
  <si>
    <t>hindi ko na received ito. mali yung binigay kasi. hays. abala lang kung irereturn ko naman.</t>
  </si>
  <si>
    <t>functionality: damaged. not working quality: lousy value for money: bad</t>
  </si>
  <si>
    <t>order says delivered nothing has arrive. thats why always do cash on delivery, my nephew waited all day for this.</t>
  </si>
  <si>
    <t>ordered 6 items. received 5 only.</t>
  </si>
  <si>
    <t>sabi ko iassorted 5 binili ko pare preho pinadala nyo bbalik ko to</t>
  </si>
  <si>
    <t>maganda xa ngustuhan ng anak q. . ndeliver kaagad. . fast delivery. . slamat lazada satisfied buyer here. .</t>
  </si>
  <si>
    <t>sira. kahit susian ayaw pa rin mag flap.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</si>
</sst>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
  <sheetViews>
    <sheetView tabSelected="1" topLeftCell="A28" workbookViewId="0">
      <selection activeCell="B50" sqref="B50"/>
    </sheetView>
  </sheetViews>
  <sheetFormatPr defaultColWidth="9" defaultRowHeight="16.8"/>
  <cols>
    <col min="1" max="1" width="71.8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IF(B2="NEUTRAL","TS","OS")</f>
        <v>OS</v>
      </c>
      <c r="D2">
        <v>5</v>
      </c>
      <c r="E2" t="str">
        <f>IF(C2="TS",IF(D2=3,"Consistent",IF(OR(D2=2,D2=4),"Partially Consistent","Inconsistent")),IF(D2=3,"Inconsistent",IF(AND(D2=5,B2="POSITIVE"),"Consistent",IF(AND(D2=1,B2="NEGATIVE"),"Consistent",IF(AND(D2=4,B2="POSITIVE"),"Partially Consistent",IF(AND(D2=2,B2="NEGATIVE"),"Partially Consistent","Inconsistent"))))))</f>
        <v>Consistent</v>
      </c>
      <c r="F2" t="str">
        <f>IF(C2="TS","High","Low")</f>
        <v>Low</v>
      </c>
      <c r="G2" t="str">
        <f>IF(AND(B2="NEUTRAL",F2="Low"),"LOW",IF(AND(C2="TS",F2="High",D2=3),"HIGH",IF(AND(C2="TS",F2="High",OR(D2=2,D2=4)),"HIGH",IF(AND(C2="TS",F2="High",OR(D2=1,D2=5)),"MODERATE",IF(AND(C2="OS",E2="Consistent",OR(D2=1,D2=5)),"MODERATE",IF(AND(C2="OS",E2="Partially Consistent",OR(D2=2,D2=4)),"MODERATE","LOW"))))))</f>
        <v>MODERATE</v>
      </c>
      <c r="H2">
        <v>0</v>
      </c>
      <c r="I2">
        <v>1</v>
      </c>
      <c r="J2">
        <v>0</v>
      </c>
      <c r="K2" t="s">
        <v>14</v>
      </c>
      <c r="L2" t="s">
        <v>14</v>
      </c>
    </row>
    <row r="3" ht="34" spans="1:12">
      <c r="A3" s="1" t="s">
        <v>15</v>
      </c>
      <c r="B3" t="s">
        <v>13</v>
      </c>
      <c r="C3" t="str">
        <f>IF(B3="NEUTRAL","TS","OS")</f>
        <v>OS</v>
      </c>
      <c r="D3">
        <v>5</v>
      </c>
      <c r="E3" t="str">
        <f>IF(C3="TS",IF(D3=3,"Consistent",IF(OR(D3=2,D3=4),"Partially Consistent","Inconsistent")),IF(D3=3,"Inconsistent",IF(AND(D3=5,B3="POSITIVE"),"Consistent",IF(AND(D3=1,B3="NEGATIVE"),"Consistent",IF(AND(D3=4,B3="POSITIVE"),"Partially Consistent",IF(AND(D3=2,B3="NEGATIVE"),"Partially Consistent","Inconsistent"))))))</f>
        <v>Consistent</v>
      </c>
      <c r="F3" t="str">
        <f>IF(C3="TS","High","Low")</f>
        <v>Low</v>
      </c>
      <c r="G3" t="str">
        <f>IF(AND(B3="NEUTRAL",F3="Low"),"LOW",IF(AND(C3="TS",F3="High",D3=3),"HIGH",IF(AND(C3="TS",F3="High",OR(D3=2,D3=4)),"HIGH",IF(AND(C3="TS",F3="High",OR(D3=1,D3=5)),"MODERATE",IF(AND(C3="OS",E3="Consistent",OR(D3=1,D3=5)),"MODERATE",IF(AND(C3="OS",E3="Partially Consistent",OR(D3=2,D3=4)),"MODERATE","LOW"))))))</f>
        <v>MODERATE</v>
      </c>
      <c r="H3">
        <v>0</v>
      </c>
      <c r="I3">
        <v>1</v>
      </c>
      <c r="J3">
        <v>0</v>
      </c>
      <c r="K3" t="s">
        <v>14</v>
      </c>
      <c r="L3" t="s">
        <v>14</v>
      </c>
    </row>
    <row r="4" ht="17" spans="1:12">
      <c r="A4" s="1" t="s">
        <v>16</v>
      </c>
      <c r="B4" t="s">
        <v>13</v>
      </c>
      <c r="C4" t="str">
        <f>IF(B4="NEUTRAL","TS","OS")</f>
        <v>OS</v>
      </c>
      <c r="D4">
        <v>5</v>
      </c>
      <c r="E4" t="str">
        <f>IF(C4="TS",IF(D4=3,"Consistent",IF(OR(D4=2,D4=4),"Partially Consistent","Inconsistent")),IF(D4=3,"Inconsistent",IF(AND(D4=5,B4="POSITIVE"),"Consistent",IF(AND(D4=1,B4="NEGATIVE"),"Consistent",IF(AND(D4=4,B4="POSITIVE"),"Partially Consistent",IF(AND(D4=2,B4="NEGATIVE"),"Partially Consistent","Inconsistent"))))))</f>
        <v>Consistent</v>
      </c>
      <c r="F4" t="str">
        <f>IF(C4="TS","High","Low")</f>
        <v>Low</v>
      </c>
      <c r="G4" t="str">
        <f>IF(AND(B4="NEUTRAL",F4="Low"),"LOW",IF(AND(C4="TS",F4="High",D4=3),"HIGH",IF(AND(C4="TS",F4="High",OR(D4=2,D4=4)),"HIGH",IF(AND(C4="TS",F4="High",OR(D4=1,D4=5)),"MODERATE",IF(AND(C4="OS",E4="Consistent",OR(D4=1,D4=5)),"MODERATE",IF(AND(C4="OS",E4="Partially Consistent",OR(D4=2,D4=4)),"MODERATE","LOW"))))))</f>
        <v>MODERATE</v>
      </c>
      <c r="H4">
        <v>0</v>
      </c>
      <c r="I4">
        <v>1</v>
      </c>
      <c r="J4">
        <v>0</v>
      </c>
      <c r="K4" t="s">
        <v>14</v>
      </c>
      <c r="L4" t="s">
        <v>14</v>
      </c>
    </row>
    <row r="5" ht="34" spans="1:12">
      <c r="A5" s="1" t="s">
        <v>17</v>
      </c>
      <c r="B5" t="s">
        <v>13</v>
      </c>
      <c r="C5" t="str">
        <f t="shared" ref="C5:C49" si="0">IF(B5="NEUTRAL","TS","OS")</f>
        <v>OS</v>
      </c>
      <c r="D5">
        <v>5</v>
      </c>
      <c r="E5" t="str">
        <f t="shared" ref="E5:E49" si="1">IF(C5="TS",IF(D5=3,"Consistent",IF(OR(D5=2,D5=4),"Partially Consistent","Inconsistent")),IF(D5=3,"Inconsistent",IF(AND(D5=5,B5="POSITIVE"),"Consistent",IF(AND(D5=1,B5="NEGATIVE"),"Consistent",IF(AND(D5=4,B5="POSITIVE"),"Partially Consistent",IF(AND(D5=2,B5="NEGATIVE"),"Partially Consistent","Inconsistent"))))))</f>
        <v>Consistent</v>
      </c>
      <c r="F5" t="str">
        <f t="shared" ref="F5:F49" si="2">IF(C5="TS","High","Low")</f>
        <v>Low</v>
      </c>
      <c r="G5" t="str">
        <f t="shared" ref="G5:G49" si="3">IF(AND(B5="NEUTRAL",F5="Low"),"LOW",IF(AND(C5="TS",F5="High",D5=3),"HIGH",IF(AND(C5="TS",F5="High",OR(D5=2,D5=4)),"HIGH",IF(AND(C5="TS",F5="High",OR(D5=1,D5=5)),"MODERATE",IF(AND(C5="OS",E5="Consistent",OR(D5=1,D5=5)),"MODERATE",IF(AND(C5="OS",E5="Partially Consistent",OR(D5=2,D5=4)),"MODERATE","LOW"))))))</f>
        <v>MODERATE</v>
      </c>
      <c r="H5">
        <v>0</v>
      </c>
      <c r="I5">
        <v>1</v>
      </c>
      <c r="J5">
        <v>1</v>
      </c>
      <c r="K5" t="s">
        <v>14</v>
      </c>
      <c r="L5" t="s">
        <v>14</v>
      </c>
    </row>
    <row r="6" ht="51" spans="1:12">
      <c r="A6" s="1" t="s">
        <v>18</v>
      </c>
      <c r="B6" t="s">
        <v>13</v>
      </c>
      <c r="C6" t="str">
        <f t="shared" si="0"/>
        <v>OS</v>
      </c>
      <c r="D6">
        <v>5</v>
      </c>
      <c r="E6" t="str">
        <f t="shared" si="1"/>
        <v>Consistent</v>
      </c>
      <c r="F6" t="str">
        <f t="shared" si="2"/>
        <v>Low</v>
      </c>
      <c r="G6" t="str">
        <f t="shared" si="3"/>
        <v>MODERATE</v>
      </c>
      <c r="H6">
        <v>0</v>
      </c>
      <c r="I6">
        <v>0</v>
      </c>
      <c r="J6">
        <v>1</v>
      </c>
      <c r="K6" t="s">
        <v>14</v>
      </c>
      <c r="L6" t="s">
        <v>14</v>
      </c>
    </row>
    <row r="7" ht="51" spans="1:12">
      <c r="A7" s="1" t="s">
        <v>19</v>
      </c>
      <c r="B7" t="s">
        <v>13</v>
      </c>
      <c r="C7" t="str">
        <f t="shared" si="0"/>
        <v>OS</v>
      </c>
      <c r="D7">
        <v>5</v>
      </c>
      <c r="E7" t="str">
        <f t="shared" si="1"/>
        <v>Consistent</v>
      </c>
      <c r="F7" t="str">
        <f t="shared" si="2"/>
        <v>Low</v>
      </c>
      <c r="G7" t="str">
        <f t="shared" si="3"/>
        <v>MODERATE</v>
      </c>
      <c r="H7">
        <v>0</v>
      </c>
      <c r="I7">
        <v>0</v>
      </c>
      <c r="J7">
        <v>1</v>
      </c>
      <c r="K7" t="s">
        <v>14</v>
      </c>
      <c r="L7" t="s">
        <v>14</v>
      </c>
    </row>
    <row r="8" ht="34" spans="1:12">
      <c r="A8" s="1" t="s">
        <v>20</v>
      </c>
      <c r="B8" t="s">
        <v>13</v>
      </c>
      <c r="C8" t="str">
        <f t="shared" si="0"/>
        <v>OS</v>
      </c>
      <c r="D8">
        <v>5</v>
      </c>
      <c r="E8" t="str">
        <f t="shared" si="1"/>
        <v>Consistent</v>
      </c>
      <c r="F8" t="str">
        <f t="shared" si="2"/>
        <v>Low</v>
      </c>
      <c r="G8" t="str">
        <f t="shared" si="3"/>
        <v>MODERATE</v>
      </c>
      <c r="H8">
        <v>0</v>
      </c>
      <c r="I8">
        <v>1</v>
      </c>
      <c r="J8">
        <v>0</v>
      </c>
      <c r="K8" t="s">
        <v>14</v>
      </c>
      <c r="L8" t="s">
        <v>14</v>
      </c>
    </row>
    <row r="9" ht="51" spans="1:12">
      <c r="A9" s="1" t="s">
        <v>21</v>
      </c>
      <c r="B9" t="s">
        <v>13</v>
      </c>
      <c r="C9" t="str">
        <f t="shared" si="0"/>
        <v>OS</v>
      </c>
      <c r="D9">
        <v>5</v>
      </c>
      <c r="E9" t="str">
        <f t="shared" si="1"/>
        <v>Consistent</v>
      </c>
      <c r="F9" t="str">
        <f t="shared" si="2"/>
        <v>Low</v>
      </c>
      <c r="G9" t="str">
        <f t="shared" si="3"/>
        <v>MODERATE</v>
      </c>
      <c r="H9">
        <v>0</v>
      </c>
      <c r="I9">
        <v>1</v>
      </c>
      <c r="J9">
        <v>0</v>
      </c>
      <c r="K9" t="s">
        <v>14</v>
      </c>
      <c r="L9" t="s">
        <v>14</v>
      </c>
    </row>
    <row r="10" ht="34" spans="1:12">
      <c r="A10" s="1" t="s">
        <v>22</v>
      </c>
      <c r="B10" t="s">
        <v>13</v>
      </c>
      <c r="C10" t="str">
        <f t="shared" si="0"/>
        <v>OS</v>
      </c>
      <c r="D10">
        <v>4</v>
      </c>
      <c r="E10" t="str">
        <f t="shared" si="1"/>
        <v>Partially Consistent</v>
      </c>
      <c r="F10" t="str">
        <f t="shared" si="2"/>
        <v>Low</v>
      </c>
      <c r="G10" t="str">
        <f t="shared" si="3"/>
        <v>MODERATE</v>
      </c>
      <c r="H10">
        <v>0</v>
      </c>
      <c r="I10">
        <v>1</v>
      </c>
      <c r="J10">
        <v>0</v>
      </c>
      <c r="K10" t="s">
        <v>14</v>
      </c>
      <c r="L10" t="s">
        <v>14</v>
      </c>
    </row>
    <row r="11" ht="34" spans="1:12">
      <c r="A11" s="1" t="s">
        <v>23</v>
      </c>
      <c r="B11" t="s">
        <v>13</v>
      </c>
      <c r="C11" t="str">
        <f t="shared" si="0"/>
        <v>OS</v>
      </c>
      <c r="D11">
        <v>4</v>
      </c>
      <c r="E11" t="str">
        <f t="shared" si="1"/>
        <v>Partially Consistent</v>
      </c>
      <c r="F11" t="str">
        <f t="shared" si="2"/>
        <v>Low</v>
      </c>
      <c r="G11" t="str">
        <f t="shared" si="3"/>
        <v>MODERATE</v>
      </c>
      <c r="H11">
        <v>0</v>
      </c>
      <c r="I11">
        <v>1</v>
      </c>
      <c r="J11">
        <v>0</v>
      </c>
      <c r="K11" t="s">
        <v>14</v>
      </c>
      <c r="L11" t="s">
        <v>14</v>
      </c>
    </row>
    <row r="12" ht="34" spans="1:12">
      <c r="A12" s="1" t="s">
        <v>24</v>
      </c>
      <c r="B12" t="s">
        <v>13</v>
      </c>
      <c r="C12" t="str">
        <f t="shared" si="0"/>
        <v>OS</v>
      </c>
      <c r="D12">
        <v>4</v>
      </c>
      <c r="E12" t="str">
        <f t="shared" si="1"/>
        <v>Partially Consistent</v>
      </c>
      <c r="F12" t="str">
        <f t="shared" si="2"/>
        <v>Low</v>
      </c>
      <c r="G12" t="str">
        <f t="shared" si="3"/>
        <v>MODERATE</v>
      </c>
      <c r="H12">
        <v>0</v>
      </c>
      <c r="I12">
        <v>1</v>
      </c>
      <c r="J12">
        <v>0</v>
      </c>
      <c r="K12" t="s">
        <v>14</v>
      </c>
      <c r="L12" t="s">
        <v>14</v>
      </c>
    </row>
    <row r="13" ht="17" spans="1:12">
      <c r="A13" s="1" t="s">
        <v>25</v>
      </c>
      <c r="B13" t="s">
        <v>13</v>
      </c>
      <c r="C13" t="str">
        <f t="shared" si="0"/>
        <v>OS</v>
      </c>
      <c r="D13">
        <v>4</v>
      </c>
      <c r="E13" t="str">
        <f t="shared" si="1"/>
        <v>Partially Consistent</v>
      </c>
      <c r="F13" t="str">
        <f t="shared" si="2"/>
        <v>Low</v>
      </c>
      <c r="G13" t="str">
        <f t="shared" si="3"/>
        <v>MODERATE</v>
      </c>
      <c r="H13">
        <v>0</v>
      </c>
      <c r="I13">
        <v>1</v>
      </c>
      <c r="J13">
        <v>0</v>
      </c>
      <c r="K13" t="s">
        <v>14</v>
      </c>
      <c r="L13" t="s">
        <v>14</v>
      </c>
    </row>
    <row r="14" ht="17" spans="1:12">
      <c r="A14" s="1" t="s">
        <v>26</v>
      </c>
      <c r="B14" t="s">
        <v>27</v>
      </c>
      <c r="C14" t="str">
        <f t="shared" si="0"/>
        <v>TS</v>
      </c>
      <c r="D14">
        <v>4</v>
      </c>
      <c r="E14" t="str">
        <f t="shared" si="1"/>
        <v>Partially Consistent</v>
      </c>
      <c r="F14" t="str">
        <f t="shared" si="2"/>
        <v>High</v>
      </c>
      <c r="G14" t="str">
        <f t="shared" si="3"/>
        <v>HIGH</v>
      </c>
      <c r="H14">
        <v>0</v>
      </c>
      <c r="I14">
        <v>0</v>
      </c>
      <c r="J14">
        <v>1</v>
      </c>
      <c r="K14" t="s">
        <v>14</v>
      </c>
      <c r="L14" t="s">
        <v>14</v>
      </c>
    </row>
    <row r="15" ht="17" spans="1:12">
      <c r="A15" s="1" t="s">
        <v>28</v>
      </c>
      <c r="B15" t="s">
        <v>13</v>
      </c>
      <c r="C15" t="str">
        <f t="shared" si="0"/>
        <v>OS</v>
      </c>
      <c r="D15">
        <v>4</v>
      </c>
      <c r="E15" t="str">
        <f t="shared" si="1"/>
        <v>Partially Consistent</v>
      </c>
      <c r="F15" t="str">
        <f t="shared" si="2"/>
        <v>Low</v>
      </c>
      <c r="G15" t="str">
        <f t="shared" si="3"/>
        <v>MODERATE</v>
      </c>
      <c r="H15">
        <v>0</v>
      </c>
      <c r="I15">
        <v>1</v>
      </c>
      <c r="J15">
        <v>0</v>
      </c>
      <c r="K15" t="s">
        <v>14</v>
      </c>
      <c r="L15" t="s">
        <v>14</v>
      </c>
    </row>
    <row r="16" ht="17" spans="1:12">
      <c r="A16" s="1" t="s">
        <v>29</v>
      </c>
      <c r="B16" t="s">
        <v>13</v>
      </c>
      <c r="C16" t="str">
        <f t="shared" si="0"/>
        <v>OS</v>
      </c>
      <c r="D16">
        <v>4</v>
      </c>
      <c r="E16" t="str">
        <f t="shared" si="1"/>
        <v>Partially Consistent</v>
      </c>
      <c r="F16" t="str">
        <f t="shared" si="2"/>
        <v>Low</v>
      </c>
      <c r="G16" t="str">
        <f t="shared" si="3"/>
        <v>MODERATE</v>
      </c>
      <c r="H16">
        <v>0</v>
      </c>
      <c r="I16">
        <v>0</v>
      </c>
      <c r="J16">
        <v>1</v>
      </c>
      <c r="K16" t="s">
        <v>14</v>
      </c>
      <c r="L16" t="s">
        <v>14</v>
      </c>
    </row>
    <row r="17" ht="17" spans="1:12">
      <c r="A17" s="1" t="s">
        <v>30</v>
      </c>
      <c r="B17" t="s">
        <v>13</v>
      </c>
      <c r="C17" t="str">
        <f t="shared" si="0"/>
        <v>OS</v>
      </c>
      <c r="D17">
        <v>4</v>
      </c>
      <c r="E17" t="str">
        <f t="shared" si="1"/>
        <v>Partially Consistent</v>
      </c>
      <c r="F17" t="str">
        <f t="shared" si="2"/>
        <v>Low</v>
      </c>
      <c r="G17" t="str">
        <f t="shared" si="3"/>
        <v>MODERATE</v>
      </c>
      <c r="H17">
        <v>0</v>
      </c>
      <c r="I17">
        <v>1</v>
      </c>
      <c r="J17">
        <v>0</v>
      </c>
      <c r="K17" t="s">
        <v>14</v>
      </c>
      <c r="L17" t="s">
        <v>14</v>
      </c>
    </row>
    <row r="18" ht="34" spans="1:12">
      <c r="A18" s="1" t="s">
        <v>31</v>
      </c>
      <c r="B18" t="s">
        <v>27</v>
      </c>
      <c r="C18" t="str">
        <f t="shared" si="0"/>
        <v>TS</v>
      </c>
      <c r="D18">
        <v>4</v>
      </c>
      <c r="E18" t="str">
        <f t="shared" si="1"/>
        <v>Partially Consistent</v>
      </c>
      <c r="F18" t="str">
        <f t="shared" si="2"/>
        <v>High</v>
      </c>
      <c r="G18" t="str">
        <f t="shared" si="3"/>
        <v>HIGH</v>
      </c>
      <c r="H18">
        <v>0</v>
      </c>
      <c r="I18">
        <v>0</v>
      </c>
      <c r="J18">
        <v>1</v>
      </c>
      <c r="K18" t="s">
        <v>14</v>
      </c>
      <c r="L18" t="s">
        <v>14</v>
      </c>
    </row>
    <row r="19" ht="17" spans="1:12">
      <c r="A19" s="1" t="s">
        <v>32</v>
      </c>
      <c r="B19" t="s">
        <v>13</v>
      </c>
      <c r="C19" t="str">
        <f t="shared" si="0"/>
        <v>OS</v>
      </c>
      <c r="D19">
        <v>4</v>
      </c>
      <c r="E19" t="str">
        <f t="shared" si="1"/>
        <v>Partially Consistent</v>
      </c>
      <c r="F19" t="str">
        <f t="shared" si="2"/>
        <v>Low</v>
      </c>
      <c r="G19" t="str">
        <f t="shared" si="3"/>
        <v>MODERATE</v>
      </c>
      <c r="H19">
        <v>1</v>
      </c>
      <c r="I19">
        <v>0</v>
      </c>
      <c r="J19">
        <v>1</v>
      </c>
      <c r="K19" t="s">
        <v>14</v>
      </c>
      <c r="L19" t="s">
        <v>14</v>
      </c>
    </row>
    <row r="20" ht="34" spans="1:12">
      <c r="A20" s="1" t="s">
        <v>33</v>
      </c>
      <c r="B20" t="s">
        <v>13</v>
      </c>
      <c r="C20" t="str">
        <f t="shared" si="0"/>
        <v>OS</v>
      </c>
      <c r="D20">
        <v>3</v>
      </c>
      <c r="E20" t="str">
        <f t="shared" si="1"/>
        <v>Inconsistent</v>
      </c>
      <c r="F20" t="str">
        <f t="shared" si="2"/>
        <v>Low</v>
      </c>
      <c r="G20" t="str">
        <f t="shared" si="3"/>
        <v>LOW</v>
      </c>
      <c r="H20">
        <v>0</v>
      </c>
      <c r="I20">
        <v>1</v>
      </c>
      <c r="J20">
        <v>0</v>
      </c>
      <c r="K20" t="s">
        <v>14</v>
      </c>
      <c r="L20" t="s">
        <v>14</v>
      </c>
    </row>
    <row r="21" ht="17" spans="1:12">
      <c r="A21" s="1" t="s">
        <v>34</v>
      </c>
      <c r="B21" t="s">
        <v>13</v>
      </c>
      <c r="C21" t="str">
        <f t="shared" si="0"/>
        <v>OS</v>
      </c>
      <c r="D21">
        <v>3</v>
      </c>
      <c r="E21" t="str">
        <f t="shared" si="1"/>
        <v>Inconsistent</v>
      </c>
      <c r="F21" t="str">
        <f t="shared" si="2"/>
        <v>Low</v>
      </c>
      <c r="G21" t="str">
        <f t="shared" si="3"/>
        <v>LOW</v>
      </c>
      <c r="H21">
        <v>0</v>
      </c>
      <c r="I21">
        <v>0</v>
      </c>
      <c r="J21">
        <v>1</v>
      </c>
      <c r="K21" t="s">
        <v>14</v>
      </c>
      <c r="L21" t="s">
        <v>14</v>
      </c>
    </row>
    <row r="22" ht="17" spans="1:12">
      <c r="A22" s="1" t="s">
        <v>35</v>
      </c>
      <c r="B22" t="s">
        <v>27</v>
      </c>
      <c r="C22" t="str">
        <f t="shared" si="0"/>
        <v>TS</v>
      </c>
      <c r="D22">
        <v>3</v>
      </c>
      <c r="E22" t="str">
        <f t="shared" si="1"/>
        <v>Consistent</v>
      </c>
      <c r="F22" t="str">
        <f t="shared" si="2"/>
        <v>High</v>
      </c>
      <c r="G22" t="str">
        <f t="shared" si="3"/>
        <v>HIGH</v>
      </c>
      <c r="H22">
        <v>0</v>
      </c>
      <c r="I22">
        <v>0</v>
      </c>
      <c r="J22">
        <v>1</v>
      </c>
      <c r="K22" t="s">
        <v>14</v>
      </c>
      <c r="L22" t="s">
        <v>14</v>
      </c>
    </row>
    <row r="23" ht="17" spans="1:12">
      <c r="A23" s="1" t="s">
        <v>36</v>
      </c>
      <c r="B23" t="s">
        <v>13</v>
      </c>
      <c r="C23" t="str">
        <f t="shared" si="0"/>
        <v>OS</v>
      </c>
      <c r="D23">
        <v>3</v>
      </c>
      <c r="E23" t="str">
        <f t="shared" si="1"/>
        <v>Inconsistent</v>
      </c>
      <c r="F23" t="str">
        <f t="shared" si="2"/>
        <v>Low</v>
      </c>
      <c r="G23" t="str">
        <f t="shared" si="3"/>
        <v>LOW</v>
      </c>
      <c r="H23">
        <v>0</v>
      </c>
      <c r="I23">
        <v>1</v>
      </c>
      <c r="J23">
        <v>0</v>
      </c>
      <c r="K23" t="s">
        <v>14</v>
      </c>
      <c r="L23" t="s">
        <v>14</v>
      </c>
    </row>
    <row r="24" ht="34" spans="1:12">
      <c r="A24" s="1" t="s">
        <v>37</v>
      </c>
      <c r="B24" t="s">
        <v>13</v>
      </c>
      <c r="C24" t="str">
        <f t="shared" si="0"/>
        <v>OS</v>
      </c>
      <c r="D24">
        <v>3</v>
      </c>
      <c r="E24" t="str">
        <f t="shared" si="1"/>
        <v>Inconsistent</v>
      </c>
      <c r="F24" t="str">
        <f t="shared" si="2"/>
        <v>Low</v>
      </c>
      <c r="G24" t="str">
        <f t="shared" si="3"/>
        <v>LOW</v>
      </c>
      <c r="H24">
        <v>0</v>
      </c>
      <c r="I24">
        <v>1</v>
      </c>
      <c r="J24">
        <v>0</v>
      </c>
      <c r="K24" t="s">
        <v>14</v>
      </c>
      <c r="L24" t="s">
        <v>14</v>
      </c>
    </row>
    <row r="25" ht="17" spans="1:12">
      <c r="A25" s="1" t="s">
        <v>38</v>
      </c>
      <c r="B25" t="s">
        <v>27</v>
      </c>
      <c r="C25" t="str">
        <f t="shared" si="0"/>
        <v>TS</v>
      </c>
      <c r="D25">
        <v>3</v>
      </c>
      <c r="E25" t="str">
        <f t="shared" si="1"/>
        <v>Consistent</v>
      </c>
      <c r="F25" t="str">
        <f t="shared" si="2"/>
        <v>High</v>
      </c>
      <c r="G25" t="str">
        <f t="shared" si="3"/>
        <v>HIGH</v>
      </c>
      <c r="H25">
        <v>0</v>
      </c>
      <c r="I25">
        <v>0</v>
      </c>
      <c r="J25">
        <v>1</v>
      </c>
      <c r="K25" t="s">
        <v>14</v>
      </c>
      <c r="L25" t="s">
        <v>14</v>
      </c>
    </row>
    <row r="26" ht="17" spans="1:12">
      <c r="A26" s="1" t="s">
        <v>39</v>
      </c>
      <c r="B26" t="s">
        <v>13</v>
      </c>
      <c r="C26" t="str">
        <f t="shared" si="0"/>
        <v>OS</v>
      </c>
      <c r="D26">
        <v>3</v>
      </c>
      <c r="E26" t="str">
        <f t="shared" si="1"/>
        <v>Inconsistent</v>
      </c>
      <c r="F26" t="str">
        <f t="shared" si="2"/>
        <v>Low</v>
      </c>
      <c r="G26" t="str">
        <f t="shared" si="3"/>
        <v>LOW</v>
      </c>
      <c r="H26">
        <v>0</v>
      </c>
      <c r="I26">
        <v>1</v>
      </c>
      <c r="J26">
        <v>0</v>
      </c>
      <c r="K26" t="s">
        <v>14</v>
      </c>
      <c r="L26" t="s">
        <v>14</v>
      </c>
    </row>
    <row r="27" ht="17" spans="1:12">
      <c r="A27" s="1" t="s">
        <v>40</v>
      </c>
      <c r="B27" t="s">
        <v>41</v>
      </c>
      <c r="C27" t="str">
        <f t="shared" si="0"/>
        <v>OS</v>
      </c>
      <c r="D27">
        <v>3</v>
      </c>
      <c r="E27" t="str">
        <f t="shared" si="1"/>
        <v>Inconsistent</v>
      </c>
      <c r="F27" t="str">
        <f t="shared" si="2"/>
        <v>Low</v>
      </c>
      <c r="G27" t="str">
        <f t="shared" si="3"/>
        <v>LOW</v>
      </c>
      <c r="H27">
        <v>0</v>
      </c>
      <c r="I27">
        <v>0</v>
      </c>
      <c r="J27">
        <v>1</v>
      </c>
      <c r="K27" t="s">
        <v>14</v>
      </c>
      <c r="L27" t="s">
        <v>14</v>
      </c>
    </row>
    <row r="28" ht="17" spans="1:12">
      <c r="A28" s="1" t="s">
        <v>42</v>
      </c>
      <c r="B28" t="s">
        <v>41</v>
      </c>
      <c r="C28" t="str">
        <f t="shared" si="0"/>
        <v>OS</v>
      </c>
      <c r="D28">
        <v>3</v>
      </c>
      <c r="E28" t="str">
        <f t="shared" si="1"/>
        <v>Inconsistent</v>
      </c>
      <c r="F28" t="str">
        <f t="shared" si="2"/>
        <v>Low</v>
      </c>
      <c r="G28" t="str">
        <f t="shared" si="3"/>
        <v>LOW</v>
      </c>
      <c r="H28">
        <v>0</v>
      </c>
      <c r="I28">
        <v>0</v>
      </c>
      <c r="J28">
        <v>1</v>
      </c>
      <c r="K28" t="s">
        <v>14</v>
      </c>
      <c r="L28" t="s">
        <v>14</v>
      </c>
    </row>
    <row r="29" ht="17" spans="1:12">
      <c r="A29" s="1" t="s">
        <v>43</v>
      </c>
      <c r="B29" t="s">
        <v>13</v>
      </c>
      <c r="C29" t="str">
        <f t="shared" si="0"/>
        <v>OS</v>
      </c>
      <c r="D29">
        <v>3</v>
      </c>
      <c r="E29" t="str">
        <f t="shared" si="1"/>
        <v>Inconsistent</v>
      </c>
      <c r="F29" t="str">
        <f t="shared" si="2"/>
        <v>Low</v>
      </c>
      <c r="G29" t="str">
        <f t="shared" si="3"/>
        <v>LOW</v>
      </c>
      <c r="H29">
        <v>0</v>
      </c>
      <c r="I29">
        <v>1</v>
      </c>
      <c r="J29">
        <v>0</v>
      </c>
      <c r="K29" t="s">
        <v>14</v>
      </c>
      <c r="L29" t="s">
        <v>14</v>
      </c>
    </row>
    <row r="30" ht="34" spans="1:12">
      <c r="A30" s="1" t="s">
        <v>44</v>
      </c>
      <c r="B30" t="s">
        <v>27</v>
      </c>
      <c r="C30" t="str">
        <f t="shared" si="0"/>
        <v>TS</v>
      </c>
      <c r="D30">
        <v>2</v>
      </c>
      <c r="E30" t="str">
        <f t="shared" si="1"/>
        <v>Partially Consistent</v>
      </c>
      <c r="F30" t="str">
        <f t="shared" si="2"/>
        <v>High</v>
      </c>
      <c r="G30" t="str">
        <f t="shared" si="3"/>
        <v>HIGH</v>
      </c>
      <c r="H30">
        <v>0</v>
      </c>
      <c r="I30">
        <v>0</v>
      </c>
      <c r="J30">
        <v>1</v>
      </c>
      <c r="K30" t="s">
        <v>14</v>
      </c>
      <c r="L30" t="s">
        <v>14</v>
      </c>
    </row>
    <row r="31" ht="17" spans="1:12">
      <c r="A31" s="1" t="s">
        <v>45</v>
      </c>
      <c r="B31" t="s">
        <v>41</v>
      </c>
      <c r="C31" t="str">
        <f t="shared" si="0"/>
        <v>OS</v>
      </c>
      <c r="D31">
        <v>2</v>
      </c>
      <c r="E31" t="str">
        <f t="shared" si="1"/>
        <v>Partially Consistent</v>
      </c>
      <c r="F31" t="str">
        <f t="shared" si="2"/>
        <v>Low</v>
      </c>
      <c r="G31" t="str">
        <f t="shared" si="3"/>
        <v>MODERATE</v>
      </c>
      <c r="H31">
        <v>0</v>
      </c>
      <c r="I31">
        <v>0</v>
      </c>
      <c r="J31">
        <v>1</v>
      </c>
      <c r="K31" t="s">
        <v>14</v>
      </c>
      <c r="L31" t="s">
        <v>14</v>
      </c>
    </row>
    <row r="32" ht="17" spans="1:12">
      <c r="A32" s="1" t="s">
        <v>46</v>
      </c>
      <c r="B32" t="s">
        <v>41</v>
      </c>
      <c r="C32" t="str">
        <f t="shared" si="0"/>
        <v>OS</v>
      </c>
      <c r="D32">
        <v>2</v>
      </c>
      <c r="E32" t="str">
        <f t="shared" si="1"/>
        <v>Partially Consistent</v>
      </c>
      <c r="F32" t="str">
        <f t="shared" si="2"/>
        <v>Low</v>
      </c>
      <c r="G32" t="str">
        <f t="shared" si="3"/>
        <v>MODERATE</v>
      </c>
      <c r="H32">
        <v>0</v>
      </c>
      <c r="I32">
        <v>0</v>
      </c>
      <c r="J32">
        <v>1</v>
      </c>
      <c r="K32" t="s">
        <v>14</v>
      </c>
      <c r="L32" t="s">
        <v>14</v>
      </c>
    </row>
    <row r="33" ht="17" spans="1:12">
      <c r="A33" s="1" t="s">
        <v>47</v>
      </c>
      <c r="B33" t="s">
        <v>41</v>
      </c>
      <c r="C33" t="str">
        <f t="shared" si="0"/>
        <v>OS</v>
      </c>
      <c r="D33">
        <v>2</v>
      </c>
      <c r="E33" t="str">
        <f t="shared" si="1"/>
        <v>Partially Consistent</v>
      </c>
      <c r="F33" t="str">
        <f t="shared" si="2"/>
        <v>Low</v>
      </c>
      <c r="G33" t="str">
        <f t="shared" si="3"/>
        <v>MODERATE</v>
      </c>
      <c r="H33">
        <v>0</v>
      </c>
      <c r="I33">
        <v>0</v>
      </c>
      <c r="J33">
        <v>1</v>
      </c>
      <c r="K33" t="s">
        <v>14</v>
      </c>
      <c r="L33" t="s">
        <v>14</v>
      </c>
    </row>
    <row r="34" ht="17" spans="1:12">
      <c r="A34" s="1" t="s">
        <v>48</v>
      </c>
      <c r="B34" t="s">
        <v>41</v>
      </c>
      <c r="C34" t="str">
        <f t="shared" si="0"/>
        <v>OS</v>
      </c>
      <c r="D34">
        <v>2</v>
      </c>
      <c r="E34" t="str">
        <f t="shared" si="1"/>
        <v>Partially Consistent</v>
      </c>
      <c r="F34" t="str">
        <f t="shared" si="2"/>
        <v>Low</v>
      </c>
      <c r="G34" t="str">
        <f t="shared" si="3"/>
        <v>MODERATE</v>
      </c>
      <c r="H34">
        <v>0</v>
      </c>
      <c r="I34">
        <v>0</v>
      </c>
      <c r="J34">
        <v>1</v>
      </c>
      <c r="K34" t="s">
        <v>14</v>
      </c>
      <c r="L34" t="s">
        <v>14</v>
      </c>
    </row>
    <row r="35" ht="17" spans="1:12">
      <c r="A35" s="1" t="s">
        <v>49</v>
      </c>
      <c r="B35" t="s">
        <v>27</v>
      </c>
      <c r="C35" t="str">
        <f t="shared" si="0"/>
        <v>TS</v>
      </c>
      <c r="D35">
        <v>2</v>
      </c>
      <c r="E35" t="str">
        <f t="shared" si="1"/>
        <v>Partially Consistent</v>
      </c>
      <c r="F35" t="str">
        <f t="shared" si="2"/>
        <v>High</v>
      </c>
      <c r="G35" t="str">
        <f t="shared" si="3"/>
        <v>HIGH</v>
      </c>
      <c r="H35">
        <v>0</v>
      </c>
      <c r="I35">
        <v>0</v>
      </c>
      <c r="J35">
        <v>1</v>
      </c>
      <c r="K35" t="s">
        <v>14</v>
      </c>
      <c r="L35" t="s">
        <v>14</v>
      </c>
    </row>
    <row r="36" ht="17" spans="1:12">
      <c r="A36" s="1" t="s">
        <v>50</v>
      </c>
      <c r="B36" t="s">
        <v>41</v>
      </c>
      <c r="C36" t="str">
        <f t="shared" si="0"/>
        <v>OS</v>
      </c>
      <c r="D36">
        <v>2</v>
      </c>
      <c r="E36" t="str">
        <f t="shared" si="1"/>
        <v>Partially Consistent</v>
      </c>
      <c r="F36" t="str">
        <f t="shared" si="2"/>
        <v>Low</v>
      </c>
      <c r="G36" t="str">
        <f t="shared" si="3"/>
        <v>MODERATE</v>
      </c>
      <c r="H36">
        <v>0</v>
      </c>
      <c r="I36">
        <v>0</v>
      </c>
      <c r="J36">
        <v>1</v>
      </c>
      <c r="K36" t="s">
        <v>14</v>
      </c>
      <c r="L36" t="s">
        <v>14</v>
      </c>
    </row>
    <row r="37" ht="34" spans="1:12">
      <c r="A37" s="1" t="s">
        <v>51</v>
      </c>
      <c r="B37" t="s">
        <v>27</v>
      </c>
      <c r="C37" t="str">
        <f t="shared" si="0"/>
        <v>TS</v>
      </c>
      <c r="D37">
        <v>2</v>
      </c>
      <c r="E37" t="str">
        <f t="shared" si="1"/>
        <v>Partially Consistent</v>
      </c>
      <c r="F37" t="str">
        <f t="shared" si="2"/>
        <v>High</v>
      </c>
      <c r="G37" t="str">
        <f t="shared" si="3"/>
        <v>HIGH</v>
      </c>
      <c r="H37">
        <v>0</v>
      </c>
      <c r="I37">
        <v>0</v>
      </c>
      <c r="J37">
        <v>1</v>
      </c>
      <c r="K37" t="s">
        <v>14</v>
      </c>
      <c r="L37" t="s">
        <v>14</v>
      </c>
    </row>
    <row r="38" ht="17" spans="1:12">
      <c r="A38" s="1" t="s">
        <v>52</v>
      </c>
      <c r="B38" t="s">
        <v>27</v>
      </c>
      <c r="C38" t="str">
        <f t="shared" si="0"/>
        <v>TS</v>
      </c>
      <c r="D38">
        <v>2</v>
      </c>
      <c r="E38" t="str">
        <f t="shared" si="1"/>
        <v>Partially Consistent</v>
      </c>
      <c r="F38" t="str">
        <f t="shared" si="2"/>
        <v>High</v>
      </c>
      <c r="G38" t="str">
        <f t="shared" si="3"/>
        <v>HIGH</v>
      </c>
      <c r="H38">
        <v>0</v>
      </c>
      <c r="I38">
        <v>0</v>
      </c>
      <c r="J38">
        <v>1</v>
      </c>
      <c r="K38" t="s">
        <v>14</v>
      </c>
      <c r="L38" t="s">
        <v>14</v>
      </c>
    </row>
    <row r="39" ht="34" spans="1:12">
      <c r="A39" s="1" t="s">
        <v>53</v>
      </c>
      <c r="B39" t="s">
        <v>41</v>
      </c>
      <c r="C39" t="str">
        <f t="shared" si="0"/>
        <v>OS</v>
      </c>
      <c r="D39">
        <v>1</v>
      </c>
      <c r="E39" t="str">
        <f t="shared" si="1"/>
        <v>Consistent</v>
      </c>
      <c r="F39" t="str">
        <f t="shared" si="2"/>
        <v>Low</v>
      </c>
      <c r="G39" t="str">
        <f t="shared" si="3"/>
        <v>MODERATE</v>
      </c>
      <c r="H39">
        <v>0</v>
      </c>
      <c r="I39">
        <v>0</v>
      </c>
      <c r="J39">
        <v>1</v>
      </c>
      <c r="K39" t="s">
        <v>14</v>
      </c>
      <c r="L39" t="s">
        <v>14</v>
      </c>
    </row>
    <row r="40" ht="34" spans="1:12">
      <c r="A40" s="1" t="s">
        <v>54</v>
      </c>
      <c r="B40" t="s">
        <v>41</v>
      </c>
      <c r="C40" t="str">
        <f>IF(B40="NEUTRAL","TS","OS")</f>
        <v>OS</v>
      </c>
      <c r="D40">
        <v>1</v>
      </c>
      <c r="E40" t="str">
        <f>IF(C40="TS",IF(D40=3,"Consistent",IF(OR(D40=2,D40=4),"Partially Consistent","Inconsistent")),IF(D40=3,"Inconsistent",IF(AND(D40=5,B40="POSITIVE"),"Consistent",IF(AND(D40=1,B40="NEGATIVE"),"Consistent",IF(AND(D40=4,B40="POSITIVE"),"Partially Consistent",IF(AND(D40=2,B40="NEGATIVE"),"Partially Consistent","Inconsistent"))))))</f>
        <v>Consistent</v>
      </c>
      <c r="F40" t="str">
        <f>IF(C40="TS","High","Low")</f>
        <v>Low</v>
      </c>
      <c r="G40" t="str">
        <f>IF(AND(B40="NEUTRAL",F40="Low"),"LOW",IF(AND(C40="TS",F40="High",D40=3),"HIGH",IF(AND(C40="TS",F40="High",OR(D40=2,D40=4)),"HIGH",IF(AND(C40="TS",F40="High",OR(D40=1,D40=5)),"MODERATE",IF(AND(C40="OS",E40="Consistent",OR(D40=1,D40=5)),"MODERATE",IF(AND(C40="OS",E40="Partially Consistent",OR(D40=2,D40=4)),"MODERATE","LOW"))))))</f>
        <v>MODERATE</v>
      </c>
      <c r="H40">
        <v>0</v>
      </c>
      <c r="I40">
        <v>0</v>
      </c>
      <c r="J40">
        <v>1</v>
      </c>
      <c r="K40" t="s">
        <v>14</v>
      </c>
      <c r="L40" t="s">
        <v>14</v>
      </c>
    </row>
    <row r="41" ht="17" spans="1:12">
      <c r="A41" s="1" t="s">
        <v>55</v>
      </c>
      <c r="B41" t="s">
        <v>41</v>
      </c>
      <c r="C41" t="str">
        <f>IF(B41="NEUTRAL","TS","OS")</f>
        <v>OS</v>
      </c>
      <c r="D41">
        <v>1</v>
      </c>
      <c r="E41" t="str">
        <f>IF(C41="TS",IF(D41=3,"Consistent",IF(OR(D41=2,D41=4),"Partially Consistent","Inconsistent")),IF(D41=3,"Inconsistent",IF(AND(D41=5,B41="POSITIVE"),"Consistent",IF(AND(D41=1,B41="NEGATIVE"),"Consistent",IF(AND(D41=4,B41="POSITIVE"),"Partially Consistent",IF(AND(D41=2,B41="NEGATIVE"),"Partially Consistent","Inconsistent"))))))</f>
        <v>Consistent</v>
      </c>
      <c r="F41" t="str">
        <f>IF(C41="TS","High","Low")</f>
        <v>Low</v>
      </c>
      <c r="G41" t="str">
        <f>IF(AND(B41="NEUTRAL",F41="Low"),"LOW",IF(AND(C41="TS",F41="High",D41=3),"HIGH",IF(AND(C41="TS",F41="High",OR(D41=2,D41=4)),"HIGH",IF(AND(C41="TS",F41="High",OR(D41=1,D41=5)),"MODERATE",IF(AND(C41="OS",E41="Consistent",OR(D41=1,D41=5)),"MODERATE",IF(AND(C41="OS",E41="Partially Consistent",OR(D41=2,D41=4)),"MODERATE","LOW"))))))</f>
        <v>MODERATE</v>
      </c>
      <c r="H41">
        <v>0</v>
      </c>
      <c r="I41">
        <v>0</v>
      </c>
      <c r="J41">
        <v>1</v>
      </c>
      <c r="K41" t="s">
        <v>14</v>
      </c>
      <c r="L41" t="s">
        <v>14</v>
      </c>
    </row>
    <row r="42" ht="17" spans="1:12">
      <c r="A42" s="1" t="s">
        <v>56</v>
      </c>
      <c r="B42" t="s">
        <v>41</v>
      </c>
      <c r="C42" t="str">
        <f>IF(B42="NEUTRAL","TS","OS")</f>
        <v>OS</v>
      </c>
      <c r="D42">
        <v>1</v>
      </c>
      <c r="E42" t="str">
        <f>IF(C42="TS",IF(D42=3,"Consistent",IF(OR(D42=2,D42=4),"Partially Consistent","Inconsistent")),IF(D42=3,"Inconsistent",IF(AND(D42=5,B42="POSITIVE"),"Consistent",IF(AND(D42=1,B42="NEGATIVE"),"Consistent",IF(AND(D42=4,B42="POSITIVE"),"Partially Consistent",IF(AND(D42=2,B42="NEGATIVE"),"Partially Consistent","Inconsistent"))))))</f>
        <v>Consistent</v>
      </c>
      <c r="F42" t="str">
        <f>IF(C42="TS","High","Low")</f>
        <v>Low</v>
      </c>
      <c r="G42" t="str">
        <f>IF(AND(B42="NEUTRAL",F42="Low"),"LOW",IF(AND(C42="TS",F42="High",D42=3),"HIGH",IF(AND(C42="TS",F42="High",OR(D42=2,D42=4)),"HIGH",IF(AND(C42="TS",F42="High",OR(D42=1,D42=5)),"MODERATE",IF(AND(C42="OS",E42="Consistent",OR(D42=1,D42=5)),"MODERATE",IF(AND(C42="OS",E42="Partially Consistent",OR(D42=2,D42=4)),"MODERATE","LOW"))))))</f>
        <v>MODERATE</v>
      </c>
      <c r="H42">
        <v>0</v>
      </c>
      <c r="I42">
        <v>0</v>
      </c>
      <c r="J42">
        <v>1</v>
      </c>
      <c r="K42" t="s">
        <v>14</v>
      </c>
      <c r="L42" t="s">
        <v>14</v>
      </c>
    </row>
    <row r="43" ht="17" spans="1:12">
      <c r="A43" s="1" t="s">
        <v>57</v>
      </c>
      <c r="B43" t="s">
        <v>41</v>
      </c>
      <c r="C43" t="str">
        <f>IF(B43="NEUTRAL","TS","OS")</f>
        <v>OS</v>
      </c>
      <c r="D43">
        <v>1</v>
      </c>
      <c r="E43" t="str">
        <f>IF(C43="TS",IF(D43=3,"Consistent",IF(OR(D43=2,D43=4),"Partially Consistent","Inconsistent")),IF(D43=3,"Inconsistent",IF(AND(D43=5,B43="POSITIVE"),"Consistent",IF(AND(D43=1,B43="NEGATIVE"),"Consistent",IF(AND(D43=4,B43="POSITIVE"),"Partially Consistent",IF(AND(D43=2,B43="NEGATIVE"),"Partially Consistent","Inconsistent"))))))</f>
        <v>Consistent</v>
      </c>
      <c r="F43" t="str">
        <f>IF(C43="TS","High","Low")</f>
        <v>Low</v>
      </c>
      <c r="G43" t="str">
        <f>IF(AND(B43="NEUTRAL",F43="Low"),"LOW",IF(AND(C43="TS",F43="High",D43=3),"HIGH",IF(AND(C43="TS",F43="High",OR(D43=2,D43=4)),"HIGH",IF(AND(C43="TS",F43="High",OR(D43=1,D43=5)),"MODERATE",IF(AND(C43="OS",E43="Consistent",OR(D43=1,D43=5)),"MODERATE",IF(AND(C43="OS",E43="Partially Consistent",OR(D43=2,D43=4)),"MODERATE","LOW"))))))</f>
        <v>MODERATE</v>
      </c>
      <c r="H43">
        <v>1</v>
      </c>
      <c r="I43">
        <v>0</v>
      </c>
      <c r="J43">
        <v>1</v>
      </c>
      <c r="K43" t="s">
        <v>14</v>
      </c>
      <c r="L43" t="s">
        <v>14</v>
      </c>
    </row>
    <row r="44" ht="34" spans="1:12">
      <c r="A44" s="1" t="s">
        <v>58</v>
      </c>
      <c r="B44" t="s">
        <v>41</v>
      </c>
      <c r="C44" t="str">
        <f>IF(B44="NEUTRAL","TS","OS")</f>
        <v>OS</v>
      </c>
      <c r="D44">
        <v>1</v>
      </c>
      <c r="E44" t="str">
        <f>IF(C44="TS",IF(D44=3,"Consistent",IF(OR(D44=2,D44=4),"Partially Consistent","Inconsistent")),IF(D44=3,"Inconsistent",IF(AND(D44=5,B44="POSITIVE"),"Consistent",IF(AND(D44=1,B44="NEGATIVE"),"Consistent",IF(AND(D44=4,B44="POSITIVE"),"Partially Consistent",IF(AND(D44=2,B44="NEGATIVE"),"Partially Consistent","Inconsistent"))))))</f>
        <v>Consistent</v>
      </c>
      <c r="F44" t="str">
        <f>IF(C44="TS","High","Low")</f>
        <v>Low</v>
      </c>
      <c r="G44" t="str">
        <f>IF(AND(B44="NEUTRAL",F44="Low"),"LOW",IF(AND(C44="TS",F44="High",D44=3),"HIGH",IF(AND(C44="TS",F44="High",OR(D44=2,D44=4)),"HIGH",IF(AND(C44="TS",F44="High",OR(D44=1,D44=5)),"MODERATE",IF(AND(C44="OS",E44="Consistent",OR(D44=1,D44=5)),"MODERATE",IF(AND(C44="OS",E44="Partially Consistent",OR(D44=2,D44=4)),"MODERATE","LOW"))))))</f>
        <v>MODERATE</v>
      </c>
      <c r="H44">
        <v>0</v>
      </c>
      <c r="I44">
        <v>0</v>
      </c>
      <c r="J44">
        <v>1</v>
      </c>
      <c r="K44" t="s">
        <v>14</v>
      </c>
      <c r="L44" t="s">
        <v>14</v>
      </c>
    </row>
    <row r="45" ht="17" spans="1:12">
      <c r="A45" s="1" t="s">
        <v>59</v>
      </c>
      <c r="B45" t="s">
        <v>41</v>
      </c>
      <c r="C45" t="str">
        <f>IF(B45="NEUTRAL","TS","OS")</f>
        <v>OS</v>
      </c>
      <c r="D45">
        <v>1</v>
      </c>
      <c r="E45" t="str">
        <f>IF(C45="TS",IF(D45=3,"Consistent",IF(OR(D45=2,D45=4),"Partially Consistent","Inconsistent")),IF(D45=3,"Inconsistent",IF(AND(D45=5,B45="POSITIVE"),"Consistent",IF(AND(D45=1,B45="NEGATIVE"),"Consistent",IF(AND(D45=4,B45="POSITIVE"),"Partially Consistent",IF(AND(D45=2,B45="NEGATIVE"),"Partially Consistent","Inconsistent"))))))</f>
        <v>Consistent</v>
      </c>
      <c r="F45" t="str">
        <f>IF(C45="TS","High","Low")</f>
        <v>Low</v>
      </c>
      <c r="G45" t="str">
        <f>IF(AND(B45="NEUTRAL",F45="Low"),"LOW",IF(AND(C45="TS",F45="High",D45=3),"HIGH",IF(AND(C45="TS",F45="High",OR(D45=2,D45=4)),"HIGH",IF(AND(C45="TS",F45="High",OR(D45=1,D45=5)),"MODERATE",IF(AND(C45="OS",E45="Consistent",OR(D45=1,D45=5)),"MODERATE",IF(AND(C45="OS",E45="Partially Consistent",OR(D45=2,D45=4)),"MODERATE","LOW"))))))</f>
        <v>MODERATE</v>
      </c>
      <c r="H45">
        <v>0</v>
      </c>
      <c r="I45">
        <v>0</v>
      </c>
      <c r="J45">
        <v>1</v>
      </c>
      <c r="K45" t="s">
        <v>14</v>
      </c>
      <c r="L45" t="s">
        <v>14</v>
      </c>
    </row>
    <row r="46" ht="17" spans="1:12">
      <c r="A46" s="1" t="s">
        <v>60</v>
      </c>
      <c r="B46" t="s">
        <v>41</v>
      </c>
      <c r="C46" t="str">
        <f>IF(B46="NEUTRAL","TS","OS")</f>
        <v>OS</v>
      </c>
      <c r="D46">
        <v>1</v>
      </c>
      <c r="E46" t="str">
        <f>IF(C46="TS",IF(D46=3,"Consistent",IF(OR(D46=2,D46=4),"Partially Consistent","Inconsistent")),IF(D46=3,"Inconsistent",IF(AND(D46=5,B46="POSITIVE"),"Consistent",IF(AND(D46=1,B46="NEGATIVE"),"Consistent",IF(AND(D46=4,B46="POSITIVE"),"Partially Consistent",IF(AND(D46=2,B46="NEGATIVE"),"Partially Consistent","Inconsistent"))))))</f>
        <v>Consistent</v>
      </c>
      <c r="F46" t="str">
        <f>IF(C46="TS","High","Low")</f>
        <v>Low</v>
      </c>
      <c r="G46" t="str">
        <f>IF(AND(B46="NEUTRAL",F46="Low"),"LOW",IF(AND(C46="TS",F46="High",D46=3),"HIGH",IF(AND(C46="TS",F46="High",OR(D46=2,D46=4)),"HIGH",IF(AND(C46="TS",F46="High",OR(D46=1,D46=5)),"MODERATE",IF(AND(C46="OS",E46="Consistent",OR(D46=1,D46=5)),"MODERATE",IF(AND(C46="OS",E46="Partially Consistent",OR(D46=2,D46=4)),"MODERATE","LOW"))))))</f>
        <v>MODERATE</v>
      </c>
      <c r="H46">
        <v>0</v>
      </c>
      <c r="I46">
        <v>0</v>
      </c>
      <c r="J46">
        <v>1</v>
      </c>
      <c r="K46" t="s">
        <v>14</v>
      </c>
      <c r="L46" t="s">
        <v>14</v>
      </c>
    </row>
    <row r="47" ht="34" spans="1:12">
      <c r="A47" s="1" t="s">
        <v>61</v>
      </c>
      <c r="B47" t="s">
        <v>13</v>
      </c>
      <c r="C47" t="str">
        <f>IF(B47="NEUTRAL","TS","OS")</f>
        <v>OS</v>
      </c>
      <c r="D47">
        <v>1</v>
      </c>
      <c r="E47" t="str">
        <f>IF(C47="TS",IF(D47=3,"Consistent",IF(OR(D47=2,D47=4),"Partially Consistent","Inconsistent")),IF(D47=3,"Inconsistent",IF(AND(D47=5,B47="POSITIVE"),"Consistent",IF(AND(D47=1,B47="NEGATIVE"),"Consistent",IF(AND(D47=4,B47="POSITIVE"),"Partially Consistent",IF(AND(D47=2,B47="NEGATIVE"),"Partially Consistent","Inconsistent"))))))</f>
        <v>Inconsistent</v>
      </c>
      <c r="F47" t="str">
        <f>IF(C47="TS","High","Low")</f>
        <v>Low</v>
      </c>
      <c r="G47" t="str">
        <f>IF(AND(B47="NEUTRAL",F47="Low"),"LOW",IF(AND(C47="TS",F47="High",D47=3),"HIGH",IF(AND(C47="TS",F47="High",OR(D47=2,D47=4)),"HIGH",IF(AND(C47="TS",F47="High",OR(D47=1,D47=5)),"MODERATE",IF(AND(C47="OS",E47="Consistent",OR(D47=1,D47=5)),"MODERATE",IF(AND(C47="OS",E47="Partially Consistent",OR(D47=2,D47=4)),"MODERATE","LOW"))))))</f>
        <v>LOW</v>
      </c>
      <c r="H47">
        <v>0</v>
      </c>
      <c r="I47">
        <v>0</v>
      </c>
      <c r="J47">
        <v>1</v>
      </c>
      <c r="K47" t="s">
        <v>14</v>
      </c>
      <c r="L47" t="s">
        <v>14</v>
      </c>
    </row>
    <row r="48" ht="17" spans="1:12">
      <c r="A48" s="1" t="s">
        <v>62</v>
      </c>
      <c r="B48" t="s">
        <v>41</v>
      </c>
      <c r="C48" t="str">
        <f>IF(B48="NEUTRAL","TS","OS")</f>
        <v>OS</v>
      </c>
      <c r="D48">
        <v>1</v>
      </c>
      <c r="E48" t="str">
        <f>IF(C48="TS",IF(D48=3,"Consistent",IF(OR(D48=2,D48=4),"Partially Consistent","Inconsistent")),IF(D48=3,"Inconsistent",IF(AND(D48=5,B48="POSITIVE"),"Consistent",IF(AND(D48=1,B48="NEGATIVE"),"Consistent",IF(AND(D48=4,B48="POSITIVE"),"Partially Consistent",IF(AND(D48=2,B48="NEGATIVE"),"Partially Consistent","Inconsistent"))))))</f>
        <v>Consistent</v>
      </c>
      <c r="F48" t="str">
        <f>IF(C48="TS","High","Low")</f>
        <v>Low</v>
      </c>
      <c r="G48" t="str">
        <f>IF(AND(B48="NEUTRAL",F48="Low"),"LOW",IF(AND(C48="TS",F48="High",D48=3),"HIGH",IF(AND(C48="TS",F48="High",OR(D48=2,D48=4)),"HIGH",IF(AND(C48="TS",F48="High",OR(D48=1,D48=5)),"MODERATE",IF(AND(C48="OS",E48="Consistent",OR(D48=1,D48=5)),"MODERATE",IF(AND(C48="OS",E48="Partially Consistent",OR(D48=2,D48=4)),"MODERATE","LOW"))))))</f>
        <v>MODERATE</v>
      </c>
      <c r="H48">
        <v>0</v>
      </c>
      <c r="I48">
        <v>0</v>
      </c>
      <c r="J48">
        <v>1</v>
      </c>
      <c r="K48" t="s">
        <v>14</v>
      </c>
      <c r="L48"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2025-05-23T13:38:00Z</dcterms:created>
  <dcterms:modified xsi:type="dcterms:W3CDTF">2025-05-23T16:24:52Z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EFFC538062A3597AD4303068991805FC_42</vt:lpwstr>
  </property>
  <property fmtid="{D5CDD505-2E9C-101B-9397-08002B2CF9AE}" pid="3" name="KSOProductBuildVer">
    <vt:lpwstr>1033-6.13.1.8710</vt:lpwstr>
  </property>
</Properties>
</file>