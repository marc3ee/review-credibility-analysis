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960"/>
  </bookViews>
  <sheets>
    <sheet name="Review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<sst xmlns="http://schemas.openxmlformats.org/spreadsheetml/2006/main" count="212" uniqueCount="60">
  <si>
    <t>Review</t>
  </si>
  <si>
    <t>Sentiment</t>
  </si>
  <si>
    <t>Sidedness</t>
  </si>
  <si>
    <t>Star Rating</t>
  </si>
  <si>
    <t>Consistency</t>
  </si>
  <si>
    <t>Info Diversity</t>
  </si>
  <si>
    <t>PERCEIVED HELPFULNESS</t>
  </si>
  <si>
    <t>PD_F</t>
  </si>
  <si>
    <t>PD_F_TMP</t>
  </si>
  <si>
    <t>MAN_UI</t>
  </si>
  <si>
    <t>SPM</t>
  </si>
  <si>
    <t>CREDIBILITY</t>
  </si>
  <si>
    <t>gentle on hands, tough on grease! , leaves dishes squeaky clean! , love the refreshing lemon scent! ,</t>
  </si>
  <si>
    <t>POSITIVE</t>
  </si>
  <si>
    <t/>
  </si>
  <si>
    <t>easy to use and effective! , great value for money! , highly recommend this kit! , effectiveness: ok eco-friendliness: ok naman scent: ok na ok</t>
  </si>
  <si>
    <t>effectiveness: okmakes washing dishes a breeze! , gentle on hands, tough on grease! , matagal na ako gumagamit into at maganda siya talaga.</t>
  </si>
  <si>
    <t>great value for money! , strawberry scent is smell good,</t>
  </si>
  <si>
    <t>the apple scent is so refreshing! , leaves dishes squeaky clean! , kalamansi scent reminds me of home! , love the refreshing lemon scent! ,</t>
  </si>
  <si>
    <t>lagi namn kami na order dto bakit ung item na na recieved namin ngayon malabnaw, tapos umiilalim ung pina sabon, diko alam bakit ganito same procedure lng din namn gingawa namin naka ilan order na kamo dto pero iba ung product ngayon</t>
  </si>
  <si>
    <t>NEGATIVE</t>
  </si>
  <si>
    <t>effectiveness: very effective like advertise scent: strong scent of calamansi eco-friendliness: 8 out of 10 effective on greasy dishes. but not like the very strong scent. will order again but different flavor instead</t>
  </si>
  <si>
    <t>scent: maganda nagawan ko na 6 to7 pero nilagay ko 5 liters ok naman nagamit ko na effectiveness: mabula siya eco-friendliness: not sure hahahha</t>
  </si>
  <si>
    <t>NEUTRAL</t>
  </si>
  <si>
    <t>effectiveness: mabula naman po siya pero sa una buo buo siya pero pag haluin ko ng maigi at medyo matagal natatanggal naman po scent: mabango siya eco-friendliness: pwede naman kc marami kana massave sapag gamit neto egentle on hands, tough on grease! ,</t>
  </si>
  <si>
    <t>bubblegum scent makes dishwashing fun! , the antibacterial feature is a game-changer! ,</t>
  </si>
  <si>
    <t>effectiveness: 7 scent: 8 eco-friendliness: 6makes washing dishes a breeze! , leaves dishes squeaky clean! ,</t>
  </si>
  <si>
    <t>no keaks when received. . . secured packaging. . out of 12-13 liters as they claimed i only produced 11 liters from the components. . may next i will use 1 is ti 1 ratio. . my solution seems a bit thicken scent was a bit not too fragrant. . . i haven' t use it yet. . setbit aside as spare. . thanks anyways. . i save 60 pesos from what i' ve done</t>
  </si>
  <si>
    <t>honestly naliitan ako sa packaging vs dun sa ibang brand ng ready mix nung mga narecieve ko hopefully effective siya even maliit yung laman. i will change my rating to 5 stars once proven effective.</t>
  </si>
  <si>
    <t>honestly naliitan ako sa pakaging in comparison sa other products with ready mix na brand. i will change my remarks once tested.</t>
  </si>
  <si>
    <t>the packaging is convenient and mess-free! , the refill pouch is eco-friendly! ,</t>
  </si>
  <si>
    <t>legit store, legit item, ung shiping fee lang nagdadagdag pag nag dagdag ka ng item, dapat hnd ganun kc same store naman</t>
  </si>
  <si>
    <t>nagawa ko pala ok naman nakagawa na ako ng 6 liters na dishwashing liquid na ito atleast di na ako bumubili ng dishwashing sa grocery naktipid na ako.</t>
  </si>
  <si>
    <t>quality: verry good value for money: yes yes po super packaging: secure na secure nka karton at balot n balot ng bubble wrap sa 6/7 liter sakto na po ang tubig na 6. 5 ng sm bonus malapot na malapot at mabango nagamit q n din po kagad nakka tangal sebo sa hugasin un lg po perfect din po for personal use and pang benta dahil maganda po ang quality ng product n toh honest review!</t>
  </si>
  <si>
    <t>hndi nko maulit s2 umorder sobrang pakabalot per pgdating sa lagayan ng mized dishwashing eh delikado n pdeng mabutas at nakainis vuksan ang hirap. . at hnd masyadong malapot s 10-13 yields mgagawa bukod dunwalang free na stickee di kgaya sa naunang inorderan ko. kun sabagay nagtry lng aq nag order d2. . balik nlng ulit aq s store by the thank u pa din</t>
  </si>
  <si>
    <t>value for money: great value for money! , great value for money! ,</t>
  </si>
  <si>
    <t>masyadong matapang yung chemical na ginamit sobrang kati sa kamay, better if you have options for additional degreaser and moisturizer. matapang ung amoy. pero ok sya nakakatanggal talaga ng sebo at mabula nakakagawa ako ng 20 liters pero malapot padin cya scent: strong effectiveness: really serves it' s purpose eco-friendliness: chemicals are harsh for the skin</t>
  </si>
  <si>
    <t>never na ko order super labnaw nya 12 liters lng tubig nilagay ko partida at 1week ko na binabad ilan beses hinalo mukhang di lalabnan talaga hays sayang ginamit di rin mabula</t>
  </si>
  <si>
    <t>the packaging is convenient and mess-free! , the refill pouch is eco-friendly! , love the refreshing lemon scent! ,</t>
  </si>
  <si>
    <t>value for money: hypoallergenic formula is great for sensitive skin! , quality: easy to use and effective! , packaging: ok</t>
  </si>
  <si>
    <t>quality: it' s okay value for money: not worthy it' s okay</t>
  </si>
  <si>
    <t>i can' t believe how much i saved! , melon scent is a delight! , love the refreshing lemon scent! ,</t>
  </si>
  <si>
    <t>okay naman sana. kaso yung diswashing naka paloob lang sa karton ng sezto tapos may manipis na bubble wrap ni hindi nga nasakop yung buong box buti hindi nabutas yung nasa plastic. wala ding guide kung paano gagawin para sa mga bago. yung sticker ng waybill (ba yun) ni hindi nga naka dikit ng maayos. ganun ba talaga pag discounted price (voucher) ? or baka maraming irder kaya di na magkanda ugaga sa pag pa pack. . hindi ko pa na titimpla. sana good quality yung dishwashing liquid. thankyou parin seller.</t>
  </si>
  <si>
    <t>12-13 liters nakalagay sa package pero 7. 5liters lng nilagay kong tubig, malabnaw at ndi ganun kalapot. sana maimprove nyo p ung mixture nyo. .</t>
  </si>
  <si>
    <t>i highly recommend this kit! , maganda, na gustuhan pang-negosyo. already mixed, just add water and mix it very well.</t>
  </si>
  <si>
    <t>ordered feb. 2 arrived feb. 12. akala ko powdered tapos ako yung maglalagay ng tubig. yun pla liquid n. . kaya siguro maraming comment n malabnaw.</t>
  </si>
  <si>
    <t>ang panget sobra. . . . minixed mo paggisng mo litang ang tubig sa diswashing. . nkakadisaapoint ang mahal mahal tas ganun fake pa</t>
  </si>
  <si>
    <t>pangit hindi din ok ang amoy kahit na ba unscented siya e d ko na lng mareturn kc natimpla na ok lang namn if wala kulay kaso iba amoy nkalagay lang din sa plastic na bnuhol</t>
  </si>
  <si>
    <t>madami akong nagawa, mga 5l, maganda din naman ang quality accdg sa binigyan ko ng free testing. kaya bumili akonng mas marami pa. sana mabilis din ideliver kasi gagawin kong negosyo. sana ganun pa din ang quality. kasi kung magiging maganda ang serbisyo dito na ako laging kukuha. highly recommend this kit! , sulfate-free and safe for the environment! , kalamansi scent reminds me of home! , hypoallergenic formula is great for sensitive skin! , melon scent is a delight! , easy to use and effective! , the packaging is convenient and mess-free! , perfect for diy enthusiasts! ,</t>
  </si>
  <si>
    <t>hindi siya ganon ka thick once mixed kahit dissolved na yung salt. the scent is not as strong, faint lang. which is alright para hindi kumakapit sa dishes. see video for your reference. edit: i gave it a chance to set para makita ko yung full potential nung viscosity. sobrang labnaw! i ordered 2 packs of the 6-7 liters yield. i noticed right away na hindi siya mabilis mag thicken unlike from other diy kits kaya i only opted to put 5 liters muna kahit na 2 packs na yung nasa tub. hindi lumapot kahit hinalo namin para madissolve lahat. hindi rin lumapot kahit na hinayaan lang para mag set. to be fair, madali lang siya gawin compared to other diy kits pero hindi worth it yung yield.</t>
  </si>
  <si>
    <t>walang bula malabnaw kulay at bango lang meron sinunod ko instruction nyo ano ba naman yan wala pa reply na ayos</t>
  </si>
  <si>
    <t>di sumasahot si seller laging bot, online naman sayang na disappoint ako nakailang order pa naman ako. yung iba okay pero tong huli sablay. bumababa yung color kahit nakailang halo na halos oras na 10liters naman nalagay since 12-13 yield parehas sa isa nag okay pero ito ewan ano nangyari</t>
  </si>
  <si>
    <t>pakiayos naman po pag service nyo. ung pinadala nyong dishwashing mix may butas at kakaunti.</t>
  </si>
  <si>
    <t>no manual for detailed instructions. the sticker only says mix with 5 liter of water. then what' s next? no more answer from the seller himself. lack of information for the buyer. the item is a diy so instructions should be detailed to achieved the best in your product. for positive outcome. but unfortunately the seller did not answer my questions. the item inside the box where the item is wrapped in bubble wrap. . . it is already open. unsealed.</t>
  </si>
  <si>
    <t>order ko is 12-13liters. pero ang dumating 6-7 liters. so disappointed</t>
  </si>
  <si>
    <t>malabnaw ang timpla nio sa order ko dati malapot lapot. kung kaylan dumadami order ko saka nmn lumabnaw sabi tuloy ng customer bat lumabnan na.</t>
  </si>
  <si>
    <t>walang kwenta 1st time kung order n ganito ang guality niya hindi lumalo ung mixture s tubig so poor packaging and quantity sabi 6ltrs eh 5 ltrs nga lng nilagay kuna tubig ang labnaw na</t>
  </si>
  <si>
    <t>packaging: nakaka disappointed halos kalahati din ang tumagas sa packing laki ng butas sayang ung binayad ko huhuhuhu</t>
  </si>
  <si>
    <t>4 pcs ang order na binayaran ko pero 3 pcs lang ang naship nila, nagmessage ako sa seller pero wlang response, deadma lang sila</t>
  </si>
  <si>
    <t>ang pangit nang quality nang sabon dati okie naman return ko dami ko pa naman nakuha lagi naman ako kumukuha habang tumatagal pumapangit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</si>
</sst>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1"/>
  <sheetViews>
    <sheetView tabSelected="1" topLeftCell="A43" workbookViewId="0">
      <selection activeCell="B52" sqref="B52"/>
    </sheetView>
  </sheetViews>
  <sheetFormatPr defaultColWidth="9" defaultRowHeight="16.8"/>
  <cols>
    <col min="1" max="1" width="80.7265625" style="1" customWidth="1"/>
  </cols>
  <sheetData>
    <row r="1" ht="17" spans="1:12">
      <c r="A1" s="2" t="s">
        <v>0</v>
      </c>
      <c r="B1" s="3" t="s">
        <v>1</v>
      </c>
      <c r="C1" s="3" t="s">
        <v>2</v>
      </c>
      <c r="D1" s="3" t="s">
        <v>3</v>
      </c>
      <c r="E1" s="3" t="s">
        <v>4</v>
      </c>
      <c r="F1" s="3" t="s">
        <v>5</v>
      </c>
      <c r="G1" s="3" t="s">
        <v>6</v>
      </c>
      <c r="H1" s="3" t="s">
        <v>7</v>
      </c>
      <c r="I1" s="3" t="s">
        <v>8</v>
      </c>
      <c r="J1" s="3" t="s">
        <v>9</v>
      </c>
      <c r="K1" s="3" t="s">
        <v>10</v>
      </c>
      <c r="L1" s="3" t="s">
        <v>11</v>
      </c>
    </row>
    <row r="2" ht="17" spans="1:12">
      <c r="A2" s="1" t="s">
        <v>12</v>
      </c>
      <c r="B2" t="s">
        <v>13</v>
      </c>
      <c r="C2" t="str">
        <f t="shared" ref="C2:C51" si="0">IF(B2="NEUTRAL","TS","OS")</f>
        <v>OS</v>
      </c>
      <c r="D2">
        <v>5</v>
      </c>
      <c r="E2" t="str">
        <f t="shared" ref="E2:E51" si="1">IF(C2="TS",IF(D2=3,"Consistent",IF(OR(D2=2,D2=4),"Partially Consistent","Inconsistent")),IF(D2=3,"Inconsistent",IF(AND(D2=5,B2="POSITIVE"),"Consistent",IF(AND(D2=1,B2="NEGATIVE"),"Consistent",IF(AND(D2=4,B2="POSITIVE"),"Partially Consistent",IF(AND(D2=2,B2="NEGATIVE"),"Partially Consistent","Inconsistent"))))))</f>
        <v>Consistent</v>
      </c>
      <c r="F2" t="str">
        <f t="shared" ref="F2:F51" si="2">IF(C2="TS","High","Low")</f>
        <v>Low</v>
      </c>
      <c r="G2" t="str">
        <f t="shared" ref="G2:G51" si="3">IF(AND(B2="NEUTRAL",F2="Low"),"LOW",IF(AND(C2="TS",F2="High",D2=3),"HIGH",IF(AND(C2="TS",F2="High",OR(D2=2,D2=4)),"HIGH",IF(AND(C2="TS",F2="High",OR(D2=1,D2=5)),"MODERATE",IF(AND(C2="OS",E2="Consistent",OR(D2=1,D2=5)),"MODERATE",IF(AND(C2="OS",E2="Partially Consistent",OR(D2=2,D2=4)),"MODERATE","LOW"))))))</f>
        <v>MODERATE</v>
      </c>
      <c r="H2">
        <v>0</v>
      </c>
      <c r="I2">
        <v>1</v>
      </c>
      <c r="J2">
        <v>0</v>
      </c>
      <c r="K2" t="s">
        <v>14</v>
      </c>
      <c r="L2" t="s">
        <v>14</v>
      </c>
    </row>
    <row r="3" ht="34" spans="1:12">
      <c r="A3" s="1" t="s">
        <v>15</v>
      </c>
      <c r="B3" t="s">
        <v>13</v>
      </c>
      <c r="C3" t="str">
        <f t="shared" si="0"/>
        <v>OS</v>
      </c>
      <c r="D3">
        <v>5</v>
      </c>
      <c r="E3" t="str">
        <f t="shared" si="1"/>
        <v>Consistent</v>
      </c>
      <c r="F3" t="str">
        <f t="shared" si="2"/>
        <v>Low</v>
      </c>
      <c r="G3" t="str">
        <f t="shared" si="3"/>
        <v>MODERATE</v>
      </c>
      <c r="H3">
        <v>1</v>
      </c>
      <c r="I3">
        <v>1</v>
      </c>
      <c r="J3">
        <v>1</v>
      </c>
      <c r="K3" t="s">
        <v>14</v>
      </c>
      <c r="L3" t="s">
        <v>14</v>
      </c>
    </row>
    <row r="4" ht="34" spans="1:12">
      <c r="A4" s="1" t="s">
        <v>16</v>
      </c>
      <c r="B4" t="s">
        <v>13</v>
      </c>
      <c r="C4" t="str">
        <f t="shared" si="0"/>
        <v>OS</v>
      </c>
      <c r="D4">
        <v>5</v>
      </c>
      <c r="E4" t="str">
        <f t="shared" si="1"/>
        <v>Consistent</v>
      </c>
      <c r="F4" t="str">
        <f t="shared" si="2"/>
        <v>Low</v>
      </c>
      <c r="G4" t="str">
        <f t="shared" si="3"/>
        <v>MODERATE</v>
      </c>
      <c r="H4">
        <v>1</v>
      </c>
      <c r="I4">
        <v>1</v>
      </c>
      <c r="J4">
        <v>1</v>
      </c>
      <c r="K4" t="s">
        <v>14</v>
      </c>
      <c r="L4" t="s">
        <v>14</v>
      </c>
    </row>
    <row r="5" ht="17" spans="1:12">
      <c r="A5" s="1" t="s">
        <v>17</v>
      </c>
      <c r="B5" t="s">
        <v>13</v>
      </c>
      <c r="C5" t="str">
        <f t="shared" si="0"/>
        <v>OS</v>
      </c>
      <c r="D5">
        <v>5</v>
      </c>
      <c r="E5" t="str">
        <f t="shared" si="1"/>
        <v>Consistent</v>
      </c>
      <c r="F5" t="str">
        <f t="shared" si="2"/>
        <v>Low</v>
      </c>
      <c r="G5" t="str">
        <f t="shared" si="3"/>
        <v>MODERATE</v>
      </c>
      <c r="H5">
        <v>0</v>
      </c>
      <c r="I5">
        <v>1</v>
      </c>
      <c r="J5">
        <v>0</v>
      </c>
      <c r="K5" t="s">
        <v>14</v>
      </c>
      <c r="L5" t="s">
        <v>14</v>
      </c>
    </row>
    <row r="6" ht="34" spans="1:12">
      <c r="A6" s="1" t="s">
        <v>18</v>
      </c>
      <c r="B6" t="s">
        <v>13</v>
      </c>
      <c r="C6" t="str">
        <f t="shared" si="0"/>
        <v>OS</v>
      </c>
      <c r="D6">
        <v>5</v>
      </c>
      <c r="E6" t="str">
        <f t="shared" si="1"/>
        <v>Consistent</v>
      </c>
      <c r="F6" t="str">
        <f t="shared" si="2"/>
        <v>Low</v>
      </c>
      <c r="G6" t="str">
        <f t="shared" si="3"/>
        <v>MODERATE</v>
      </c>
      <c r="H6">
        <v>0</v>
      </c>
      <c r="I6">
        <v>1</v>
      </c>
      <c r="J6">
        <v>0</v>
      </c>
      <c r="K6" t="s">
        <v>14</v>
      </c>
      <c r="L6" t="s">
        <v>14</v>
      </c>
    </row>
    <row r="7" ht="51" spans="1:12">
      <c r="A7" s="1" t="s">
        <v>19</v>
      </c>
      <c r="B7" t="s">
        <v>20</v>
      </c>
      <c r="C7" t="str">
        <f t="shared" si="0"/>
        <v>OS</v>
      </c>
      <c r="D7">
        <v>5</v>
      </c>
      <c r="E7" t="str">
        <f t="shared" si="1"/>
        <v>Inconsistent</v>
      </c>
      <c r="F7" t="str">
        <f t="shared" si="2"/>
        <v>Low</v>
      </c>
      <c r="G7" t="str">
        <f t="shared" si="3"/>
        <v>LOW</v>
      </c>
      <c r="H7">
        <v>0</v>
      </c>
      <c r="I7">
        <v>0</v>
      </c>
      <c r="J7">
        <v>1</v>
      </c>
      <c r="K7" t="s">
        <v>14</v>
      </c>
      <c r="L7" t="s">
        <v>14</v>
      </c>
    </row>
    <row r="8" ht="51" spans="1:12">
      <c r="A8" s="1" t="s">
        <v>21</v>
      </c>
      <c r="B8" t="s">
        <v>20</v>
      </c>
      <c r="C8" t="str">
        <f t="shared" si="0"/>
        <v>OS</v>
      </c>
      <c r="D8">
        <v>5</v>
      </c>
      <c r="E8" t="str">
        <f t="shared" si="1"/>
        <v>Inconsistent</v>
      </c>
      <c r="F8" t="str">
        <f t="shared" si="2"/>
        <v>Low</v>
      </c>
      <c r="G8" t="str">
        <f t="shared" si="3"/>
        <v>LOW</v>
      </c>
      <c r="H8">
        <v>1</v>
      </c>
      <c r="I8">
        <v>0</v>
      </c>
      <c r="J8">
        <v>1</v>
      </c>
      <c r="K8" t="s">
        <v>14</v>
      </c>
      <c r="L8" t="s">
        <v>14</v>
      </c>
    </row>
    <row r="9" ht="34" spans="1:12">
      <c r="A9" s="1" t="s">
        <v>22</v>
      </c>
      <c r="B9" t="s">
        <v>23</v>
      </c>
      <c r="C9" t="str">
        <f t="shared" si="0"/>
        <v>TS</v>
      </c>
      <c r="D9">
        <v>5</v>
      </c>
      <c r="E9" t="str">
        <f t="shared" si="1"/>
        <v>Inconsistent</v>
      </c>
      <c r="F9" t="str">
        <f t="shared" si="2"/>
        <v>High</v>
      </c>
      <c r="G9" t="str">
        <f t="shared" si="3"/>
        <v>MODERATE</v>
      </c>
      <c r="H9">
        <v>1</v>
      </c>
      <c r="I9">
        <v>0</v>
      </c>
      <c r="J9">
        <v>1</v>
      </c>
      <c r="K9" t="s">
        <v>14</v>
      </c>
      <c r="L9" t="s">
        <v>14</v>
      </c>
    </row>
    <row r="10" ht="51" spans="1:12">
      <c r="A10" s="1" t="s">
        <v>24</v>
      </c>
      <c r="B10" t="s">
        <v>23</v>
      </c>
      <c r="C10" t="str">
        <f t="shared" si="0"/>
        <v>TS</v>
      </c>
      <c r="D10">
        <v>5</v>
      </c>
      <c r="E10" t="str">
        <f t="shared" si="1"/>
        <v>Inconsistent</v>
      </c>
      <c r="F10" t="str">
        <f t="shared" si="2"/>
        <v>High</v>
      </c>
      <c r="G10" t="str">
        <f t="shared" si="3"/>
        <v>MODERATE</v>
      </c>
      <c r="H10">
        <v>1</v>
      </c>
      <c r="I10">
        <v>1</v>
      </c>
      <c r="J10">
        <v>1</v>
      </c>
      <c r="K10" t="s">
        <v>14</v>
      </c>
      <c r="L10" t="s">
        <v>14</v>
      </c>
    </row>
    <row r="11" ht="17" spans="1:12">
      <c r="A11" s="1" t="s">
        <v>25</v>
      </c>
      <c r="B11" t="s">
        <v>13</v>
      </c>
      <c r="C11" t="str">
        <f t="shared" si="0"/>
        <v>OS</v>
      </c>
      <c r="D11">
        <v>5</v>
      </c>
      <c r="E11" t="str">
        <f t="shared" si="1"/>
        <v>Consistent</v>
      </c>
      <c r="F11" t="str">
        <f t="shared" si="2"/>
        <v>Low</v>
      </c>
      <c r="G11" t="str">
        <f t="shared" si="3"/>
        <v>MODERATE</v>
      </c>
      <c r="H11">
        <v>0</v>
      </c>
      <c r="I11">
        <v>1</v>
      </c>
      <c r="J11">
        <v>0</v>
      </c>
      <c r="K11" t="s">
        <v>14</v>
      </c>
      <c r="L11" t="s">
        <v>14</v>
      </c>
    </row>
    <row r="12" ht="34" spans="1:12">
      <c r="A12" s="1" t="s">
        <v>26</v>
      </c>
      <c r="B12" t="s">
        <v>13</v>
      </c>
      <c r="C12" t="str">
        <f t="shared" si="0"/>
        <v>OS</v>
      </c>
      <c r="D12">
        <v>4</v>
      </c>
      <c r="E12" t="str">
        <f t="shared" si="1"/>
        <v>Partially Consistent</v>
      </c>
      <c r="F12" t="str">
        <f t="shared" si="2"/>
        <v>Low</v>
      </c>
      <c r="G12" t="str">
        <f t="shared" si="3"/>
        <v>MODERATE</v>
      </c>
      <c r="H12">
        <v>1</v>
      </c>
      <c r="I12">
        <v>1</v>
      </c>
      <c r="J12">
        <v>1</v>
      </c>
      <c r="K12" t="s">
        <v>14</v>
      </c>
      <c r="L12" t="s">
        <v>14</v>
      </c>
    </row>
    <row r="13" ht="68" spans="1:12">
      <c r="A13" s="1" t="s">
        <v>27</v>
      </c>
      <c r="B13" t="s">
        <v>23</v>
      </c>
      <c r="C13" t="str">
        <f t="shared" si="0"/>
        <v>TS</v>
      </c>
      <c r="D13">
        <v>4</v>
      </c>
      <c r="E13" t="str">
        <f t="shared" si="1"/>
        <v>Partially Consistent</v>
      </c>
      <c r="F13" t="str">
        <f t="shared" si="2"/>
        <v>High</v>
      </c>
      <c r="G13" t="str">
        <f t="shared" si="3"/>
        <v>HIGH</v>
      </c>
      <c r="H13">
        <v>0</v>
      </c>
      <c r="I13">
        <v>0</v>
      </c>
      <c r="J13">
        <v>1</v>
      </c>
      <c r="K13" t="s">
        <v>14</v>
      </c>
      <c r="L13" t="s">
        <v>14</v>
      </c>
    </row>
    <row r="14" ht="51" spans="1:12">
      <c r="A14" s="1" t="s">
        <v>28</v>
      </c>
      <c r="B14" t="s">
        <v>23</v>
      </c>
      <c r="C14" t="str">
        <f t="shared" si="0"/>
        <v>TS</v>
      </c>
      <c r="D14">
        <v>4</v>
      </c>
      <c r="E14" t="str">
        <f t="shared" si="1"/>
        <v>Partially Consistent</v>
      </c>
      <c r="F14" t="str">
        <f t="shared" si="2"/>
        <v>High</v>
      </c>
      <c r="G14" t="str">
        <f t="shared" si="3"/>
        <v>HIGH</v>
      </c>
      <c r="H14">
        <v>0</v>
      </c>
      <c r="I14">
        <v>0</v>
      </c>
      <c r="J14">
        <v>1</v>
      </c>
      <c r="K14" t="s">
        <v>14</v>
      </c>
      <c r="L14" t="s">
        <v>14</v>
      </c>
    </row>
    <row r="15" ht="34" spans="1:12">
      <c r="A15" s="1" t="s">
        <v>29</v>
      </c>
      <c r="B15" t="s">
        <v>20</v>
      </c>
      <c r="C15" t="str">
        <f t="shared" si="0"/>
        <v>OS</v>
      </c>
      <c r="D15">
        <v>4</v>
      </c>
      <c r="E15" t="str">
        <f t="shared" si="1"/>
        <v>Inconsistent</v>
      </c>
      <c r="F15" t="str">
        <f t="shared" si="2"/>
        <v>Low</v>
      </c>
      <c r="G15" t="str">
        <f t="shared" si="3"/>
        <v>LOW</v>
      </c>
      <c r="H15">
        <v>0</v>
      </c>
      <c r="I15">
        <v>0</v>
      </c>
      <c r="J15">
        <v>1</v>
      </c>
      <c r="K15" t="s">
        <v>14</v>
      </c>
      <c r="L15" t="s">
        <v>14</v>
      </c>
    </row>
    <row r="16" ht="17" spans="1:12">
      <c r="A16" s="1" t="s">
        <v>30</v>
      </c>
      <c r="B16" t="s">
        <v>13</v>
      </c>
      <c r="C16" t="str">
        <f t="shared" si="0"/>
        <v>OS</v>
      </c>
      <c r="D16">
        <v>4</v>
      </c>
      <c r="E16" t="str">
        <f t="shared" si="1"/>
        <v>Partially Consistent</v>
      </c>
      <c r="F16" t="str">
        <f t="shared" si="2"/>
        <v>Low</v>
      </c>
      <c r="G16" t="str">
        <f t="shared" si="3"/>
        <v>MODERATE</v>
      </c>
      <c r="H16">
        <v>0</v>
      </c>
      <c r="I16">
        <v>1</v>
      </c>
      <c r="J16">
        <v>0</v>
      </c>
      <c r="K16" t="s">
        <v>14</v>
      </c>
      <c r="L16" t="s">
        <v>14</v>
      </c>
    </row>
    <row r="17" ht="34" spans="1:12">
      <c r="A17" s="1" t="s">
        <v>31</v>
      </c>
      <c r="B17" t="s">
        <v>20</v>
      </c>
      <c r="C17" t="str">
        <f t="shared" si="0"/>
        <v>OS</v>
      </c>
      <c r="D17">
        <v>4</v>
      </c>
      <c r="E17" t="str">
        <f t="shared" si="1"/>
        <v>Inconsistent</v>
      </c>
      <c r="F17" t="str">
        <f t="shared" si="2"/>
        <v>Low</v>
      </c>
      <c r="G17" t="str">
        <f t="shared" si="3"/>
        <v>LOW</v>
      </c>
      <c r="H17">
        <v>0</v>
      </c>
      <c r="I17">
        <v>0</v>
      </c>
      <c r="J17">
        <v>1</v>
      </c>
      <c r="K17" t="s">
        <v>14</v>
      </c>
      <c r="L17" t="s">
        <v>14</v>
      </c>
    </row>
    <row r="18" ht="34" spans="1:12">
      <c r="A18" s="1" t="s">
        <v>32</v>
      </c>
      <c r="B18" t="s">
        <v>20</v>
      </c>
      <c r="C18" t="str">
        <f t="shared" si="0"/>
        <v>OS</v>
      </c>
      <c r="D18">
        <v>4</v>
      </c>
      <c r="E18" t="str">
        <f t="shared" si="1"/>
        <v>Inconsistent</v>
      </c>
      <c r="F18" t="str">
        <f t="shared" si="2"/>
        <v>Low</v>
      </c>
      <c r="G18" t="str">
        <f t="shared" si="3"/>
        <v>LOW</v>
      </c>
      <c r="H18">
        <v>0</v>
      </c>
      <c r="I18">
        <v>0</v>
      </c>
      <c r="J18">
        <v>1</v>
      </c>
      <c r="K18" t="s">
        <v>14</v>
      </c>
      <c r="L18" t="s">
        <v>14</v>
      </c>
    </row>
    <row r="19" ht="68" spans="1:12">
      <c r="A19" s="1" t="s">
        <v>33</v>
      </c>
      <c r="B19" t="s">
        <v>13</v>
      </c>
      <c r="C19" t="str">
        <f t="shared" si="0"/>
        <v>OS</v>
      </c>
      <c r="D19">
        <v>4</v>
      </c>
      <c r="E19" t="str">
        <f t="shared" si="1"/>
        <v>Partially Consistent</v>
      </c>
      <c r="F19" t="str">
        <f t="shared" si="2"/>
        <v>Low</v>
      </c>
      <c r="G19" t="str">
        <f t="shared" si="3"/>
        <v>MODERATE</v>
      </c>
      <c r="H19">
        <v>1</v>
      </c>
      <c r="I19">
        <v>0</v>
      </c>
      <c r="J19">
        <v>1</v>
      </c>
      <c r="K19" t="s">
        <v>14</v>
      </c>
      <c r="L19" t="s">
        <v>14</v>
      </c>
    </row>
    <row r="20" ht="68" spans="1:12">
      <c r="A20" s="1" t="s">
        <v>34</v>
      </c>
      <c r="B20" t="s">
        <v>20</v>
      </c>
      <c r="C20" t="str">
        <f t="shared" si="0"/>
        <v>OS</v>
      </c>
      <c r="D20">
        <v>4</v>
      </c>
      <c r="E20" t="str">
        <f t="shared" si="1"/>
        <v>Inconsistent</v>
      </c>
      <c r="F20" t="str">
        <f t="shared" si="2"/>
        <v>Low</v>
      </c>
      <c r="G20" t="str">
        <f t="shared" si="3"/>
        <v>LOW</v>
      </c>
      <c r="H20">
        <v>0</v>
      </c>
      <c r="I20">
        <v>0</v>
      </c>
      <c r="J20">
        <v>1</v>
      </c>
      <c r="K20" t="s">
        <v>14</v>
      </c>
      <c r="L20" t="s">
        <v>14</v>
      </c>
    </row>
    <row r="21" ht="17" spans="1:12">
      <c r="A21" s="1" t="s">
        <v>35</v>
      </c>
      <c r="B21" t="s">
        <v>13</v>
      </c>
      <c r="C21" t="str">
        <f t="shared" si="0"/>
        <v>OS</v>
      </c>
      <c r="D21">
        <v>4</v>
      </c>
      <c r="E21" t="str">
        <f t="shared" si="1"/>
        <v>Partially Consistent</v>
      </c>
      <c r="F21" t="str">
        <f t="shared" si="2"/>
        <v>Low</v>
      </c>
      <c r="G21" t="str">
        <f t="shared" si="3"/>
        <v>MODERATE</v>
      </c>
      <c r="H21">
        <v>1</v>
      </c>
      <c r="I21">
        <v>1</v>
      </c>
      <c r="J21">
        <v>0</v>
      </c>
      <c r="K21" t="s">
        <v>14</v>
      </c>
      <c r="L21" t="s">
        <v>14</v>
      </c>
    </row>
    <row r="22" ht="68" spans="1:12">
      <c r="A22" s="1" t="s">
        <v>36</v>
      </c>
      <c r="B22" t="s">
        <v>23</v>
      </c>
      <c r="C22" t="str">
        <f t="shared" si="0"/>
        <v>TS</v>
      </c>
      <c r="D22">
        <v>3</v>
      </c>
      <c r="E22" t="str">
        <f t="shared" si="1"/>
        <v>Consistent</v>
      </c>
      <c r="F22" t="str">
        <f t="shared" si="2"/>
        <v>High</v>
      </c>
      <c r="G22" t="str">
        <f t="shared" si="3"/>
        <v>HIGH</v>
      </c>
      <c r="H22">
        <v>1</v>
      </c>
      <c r="I22">
        <v>0</v>
      </c>
      <c r="J22">
        <v>1</v>
      </c>
      <c r="K22" t="s">
        <v>14</v>
      </c>
      <c r="L22" t="s">
        <v>14</v>
      </c>
    </row>
    <row r="23" ht="34" spans="1:12">
      <c r="A23" s="1" t="s">
        <v>37</v>
      </c>
      <c r="B23" t="s">
        <v>20</v>
      </c>
      <c r="C23" t="str">
        <f t="shared" si="0"/>
        <v>OS</v>
      </c>
      <c r="D23">
        <v>3</v>
      </c>
      <c r="E23" t="str">
        <f t="shared" si="1"/>
        <v>Inconsistent</v>
      </c>
      <c r="F23" t="str">
        <f t="shared" si="2"/>
        <v>Low</v>
      </c>
      <c r="G23" t="str">
        <f t="shared" si="3"/>
        <v>LOW</v>
      </c>
      <c r="H23">
        <v>0</v>
      </c>
      <c r="I23">
        <v>0</v>
      </c>
      <c r="J23">
        <v>1</v>
      </c>
      <c r="K23" t="s">
        <v>14</v>
      </c>
      <c r="L23" t="s">
        <v>14</v>
      </c>
    </row>
    <row r="24" ht="34" spans="1:12">
      <c r="A24" s="1" t="s">
        <v>38</v>
      </c>
      <c r="B24" t="s">
        <v>13</v>
      </c>
      <c r="C24" t="str">
        <f t="shared" si="0"/>
        <v>OS</v>
      </c>
      <c r="D24">
        <v>3</v>
      </c>
      <c r="E24" t="str">
        <f t="shared" si="1"/>
        <v>Inconsistent</v>
      </c>
      <c r="F24" t="str">
        <f t="shared" si="2"/>
        <v>Low</v>
      </c>
      <c r="G24" t="str">
        <f t="shared" si="3"/>
        <v>LOW</v>
      </c>
      <c r="H24">
        <v>0</v>
      </c>
      <c r="I24">
        <v>1</v>
      </c>
      <c r="J24">
        <v>0</v>
      </c>
      <c r="K24" t="s">
        <v>14</v>
      </c>
      <c r="L24" t="s">
        <v>14</v>
      </c>
    </row>
    <row r="25" ht="34" spans="1:12">
      <c r="A25" s="1" t="s">
        <v>39</v>
      </c>
      <c r="B25" t="s">
        <v>13</v>
      </c>
      <c r="C25" t="str">
        <f t="shared" si="0"/>
        <v>OS</v>
      </c>
      <c r="D25">
        <v>3</v>
      </c>
      <c r="E25" t="str">
        <f t="shared" si="1"/>
        <v>Inconsistent</v>
      </c>
      <c r="F25" t="str">
        <f t="shared" si="2"/>
        <v>Low</v>
      </c>
      <c r="G25" t="str">
        <f t="shared" si="3"/>
        <v>LOW</v>
      </c>
      <c r="H25">
        <v>1</v>
      </c>
      <c r="I25">
        <v>1</v>
      </c>
      <c r="J25">
        <v>1</v>
      </c>
      <c r="K25" t="s">
        <v>14</v>
      </c>
      <c r="L25" t="s">
        <v>14</v>
      </c>
    </row>
    <row r="26" ht="17" spans="1:12">
      <c r="A26" s="1" t="s">
        <v>40</v>
      </c>
      <c r="B26" t="s">
        <v>23</v>
      </c>
      <c r="C26" t="str">
        <f t="shared" si="0"/>
        <v>TS</v>
      </c>
      <c r="D26">
        <v>3</v>
      </c>
      <c r="E26" t="str">
        <f t="shared" si="1"/>
        <v>Consistent</v>
      </c>
      <c r="F26" t="str">
        <f t="shared" si="2"/>
        <v>High</v>
      </c>
      <c r="G26" t="str">
        <f t="shared" si="3"/>
        <v>HIGH</v>
      </c>
      <c r="H26">
        <v>1</v>
      </c>
      <c r="I26">
        <v>0</v>
      </c>
      <c r="J26">
        <v>1</v>
      </c>
      <c r="K26" t="s">
        <v>14</v>
      </c>
      <c r="L26" t="s">
        <v>14</v>
      </c>
    </row>
    <row r="27" ht="17" spans="1:12">
      <c r="A27" s="1" t="s">
        <v>41</v>
      </c>
      <c r="B27" t="s">
        <v>13</v>
      </c>
      <c r="C27" t="str">
        <f t="shared" si="0"/>
        <v>OS</v>
      </c>
      <c r="D27">
        <v>3</v>
      </c>
      <c r="E27" t="str">
        <f t="shared" si="1"/>
        <v>Inconsistent</v>
      </c>
      <c r="F27" t="str">
        <f t="shared" si="2"/>
        <v>Low</v>
      </c>
      <c r="G27" t="str">
        <f t="shared" si="3"/>
        <v>LOW</v>
      </c>
      <c r="H27">
        <v>0</v>
      </c>
      <c r="I27">
        <v>1</v>
      </c>
      <c r="J27">
        <v>0</v>
      </c>
      <c r="K27" t="s">
        <v>14</v>
      </c>
      <c r="L27" t="s">
        <v>14</v>
      </c>
    </row>
    <row r="28" ht="101" spans="1:12">
      <c r="A28" s="1" t="s">
        <v>42</v>
      </c>
      <c r="B28" t="s">
        <v>23</v>
      </c>
      <c r="C28" t="str">
        <f t="shared" si="0"/>
        <v>TS</v>
      </c>
      <c r="D28">
        <v>3</v>
      </c>
      <c r="E28" t="str">
        <f t="shared" si="1"/>
        <v>Consistent</v>
      </c>
      <c r="F28" t="str">
        <f t="shared" si="2"/>
        <v>High</v>
      </c>
      <c r="G28" t="str">
        <f t="shared" si="3"/>
        <v>HIGH</v>
      </c>
      <c r="H28">
        <v>0</v>
      </c>
      <c r="I28">
        <v>0</v>
      </c>
      <c r="J28">
        <v>1</v>
      </c>
      <c r="K28" t="s">
        <v>14</v>
      </c>
      <c r="L28" t="s">
        <v>14</v>
      </c>
    </row>
    <row r="29" ht="34" spans="1:12">
      <c r="A29" s="1" t="s">
        <v>43</v>
      </c>
      <c r="B29" t="s">
        <v>20</v>
      </c>
      <c r="C29" t="str">
        <f t="shared" si="0"/>
        <v>OS</v>
      </c>
      <c r="D29">
        <v>3</v>
      </c>
      <c r="E29" t="str">
        <f t="shared" si="1"/>
        <v>Inconsistent</v>
      </c>
      <c r="F29" t="str">
        <f t="shared" si="2"/>
        <v>Low</v>
      </c>
      <c r="G29" t="str">
        <f t="shared" si="3"/>
        <v>LOW</v>
      </c>
      <c r="H29">
        <v>0</v>
      </c>
      <c r="I29">
        <v>0</v>
      </c>
      <c r="J29">
        <v>1</v>
      </c>
      <c r="K29" t="s">
        <v>14</v>
      </c>
      <c r="L29" t="s">
        <v>14</v>
      </c>
    </row>
    <row r="30" ht="34" spans="1:12">
      <c r="A30" s="1" t="s">
        <v>44</v>
      </c>
      <c r="B30" t="s">
        <v>13</v>
      </c>
      <c r="C30" t="str">
        <f t="shared" si="0"/>
        <v>OS</v>
      </c>
      <c r="D30">
        <v>3</v>
      </c>
      <c r="E30" t="str">
        <f t="shared" si="1"/>
        <v>Inconsistent</v>
      </c>
      <c r="F30" t="str">
        <f t="shared" si="2"/>
        <v>Low</v>
      </c>
      <c r="G30" t="str">
        <f t="shared" si="3"/>
        <v>LOW</v>
      </c>
      <c r="H30">
        <v>0</v>
      </c>
      <c r="I30">
        <v>0</v>
      </c>
      <c r="J30">
        <v>1</v>
      </c>
      <c r="K30" t="s">
        <v>14</v>
      </c>
      <c r="L30" t="s">
        <v>14</v>
      </c>
    </row>
    <row r="31" ht="34" spans="1:12">
      <c r="A31" s="1" t="s">
        <v>45</v>
      </c>
      <c r="B31" t="s">
        <v>20</v>
      </c>
      <c r="C31" t="str">
        <f t="shared" si="0"/>
        <v>OS</v>
      </c>
      <c r="D31">
        <v>3</v>
      </c>
      <c r="E31" t="str">
        <f t="shared" si="1"/>
        <v>Inconsistent</v>
      </c>
      <c r="F31" t="str">
        <f t="shared" si="2"/>
        <v>Low</v>
      </c>
      <c r="G31" t="str">
        <f t="shared" si="3"/>
        <v>LOW</v>
      </c>
      <c r="H31">
        <v>0</v>
      </c>
      <c r="I31">
        <v>0</v>
      </c>
      <c r="J31">
        <v>1</v>
      </c>
      <c r="K31" t="s">
        <v>14</v>
      </c>
      <c r="L31" t="s">
        <v>14</v>
      </c>
    </row>
    <row r="32" ht="34" spans="1:12">
      <c r="A32" s="1" t="s">
        <v>46</v>
      </c>
      <c r="B32" t="s">
        <v>20</v>
      </c>
      <c r="C32" t="str">
        <f t="shared" si="0"/>
        <v>OS</v>
      </c>
      <c r="D32">
        <v>1</v>
      </c>
      <c r="E32" t="str">
        <f t="shared" si="1"/>
        <v>Consistent</v>
      </c>
      <c r="F32" t="str">
        <f t="shared" si="2"/>
        <v>Low</v>
      </c>
      <c r="G32" t="str">
        <f t="shared" si="3"/>
        <v>MODERATE</v>
      </c>
      <c r="H32">
        <v>0</v>
      </c>
      <c r="I32">
        <v>0</v>
      </c>
      <c r="J32">
        <v>1</v>
      </c>
      <c r="K32" t="s">
        <v>14</v>
      </c>
      <c r="L32" t="s">
        <v>14</v>
      </c>
    </row>
    <row r="33" ht="34" spans="1:12">
      <c r="A33" s="1" t="s">
        <v>47</v>
      </c>
      <c r="B33" t="s">
        <v>23</v>
      </c>
      <c r="C33" t="str">
        <f t="shared" si="0"/>
        <v>TS</v>
      </c>
      <c r="D33">
        <v>2</v>
      </c>
      <c r="E33" t="str">
        <f t="shared" si="1"/>
        <v>Partially Consistent</v>
      </c>
      <c r="F33" t="str">
        <f t="shared" si="2"/>
        <v>High</v>
      </c>
      <c r="G33" t="str">
        <f t="shared" si="3"/>
        <v>HIGH</v>
      </c>
      <c r="H33">
        <v>0</v>
      </c>
      <c r="I33">
        <v>0</v>
      </c>
      <c r="J33">
        <v>1</v>
      </c>
      <c r="K33" t="s">
        <v>14</v>
      </c>
      <c r="L33" t="s">
        <v>14</v>
      </c>
    </row>
    <row r="34" ht="101" spans="1:12">
      <c r="A34" s="1" t="s">
        <v>48</v>
      </c>
      <c r="B34" t="s">
        <v>13</v>
      </c>
      <c r="C34" t="str">
        <f t="shared" si="0"/>
        <v>OS</v>
      </c>
      <c r="D34">
        <v>1</v>
      </c>
      <c r="E34" t="str">
        <f t="shared" si="1"/>
        <v>Inconsistent</v>
      </c>
      <c r="F34" t="str">
        <f t="shared" si="2"/>
        <v>Low</v>
      </c>
      <c r="G34" t="str">
        <f t="shared" si="3"/>
        <v>LOW</v>
      </c>
      <c r="H34">
        <v>0</v>
      </c>
      <c r="I34">
        <v>1</v>
      </c>
      <c r="J34">
        <v>1</v>
      </c>
      <c r="K34" t="s">
        <v>14</v>
      </c>
      <c r="L34" t="s">
        <v>14</v>
      </c>
    </row>
    <row r="35" ht="118" spans="1:12">
      <c r="A35" s="1" t="s">
        <v>49</v>
      </c>
      <c r="B35" t="s">
        <v>23</v>
      </c>
      <c r="C35" t="str">
        <f t="shared" si="0"/>
        <v>TS</v>
      </c>
      <c r="D35">
        <v>2</v>
      </c>
      <c r="E35" t="str">
        <f t="shared" si="1"/>
        <v>Partially Consistent</v>
      </c>
      <c r="F35" t="str">
        <f t="shared" si="2"/>
        <v>High</v>
      </c>
      <c r="G35" t="str">
        <f t="shared" si="3"/>
        <v>HIGH</v>
      </c>
      <c r="H35">
        <v>0</v>
      </c>
      <c r="I35">
        <v>0</v>
      </c>
      <c r="J35">
        <v>1</v>
      </c>
      <c r="K35" t="s">
        <v>14</v>
      </c>
      <c r="L35" t="s">
        <v>14</v>
      </c>
    </row>
    <row r="36" ht="34" spans="1:12">
      <c r="A36" s="1" t="s">
        <v>50</v>
      </c>
      <c r="B36" t="s">
        <v>20</v>
      </c>
      <c r="C36" t="str">
        <f t="shared" si="0"/>
        <v>OS</v>
      </c>
      <c r="D36">
        <v>1</v>
      </c>
      <c r="E36" t="str">
        <f t="shared" si="1"/>
        <v>Consistent</v>
      </c>
      <c r="F36" t="str">
        <f t="shared" si="2"/>
        <v>Low</v>
      </c>
      <c r="G36" t="str">
        <f t="shared" si="3"/>
        <v>MODERATE</v>
      </c>
      <c r="H36">
        <v>0</v>
      </c>
      <c r="I36">
        <v>0</v>
      </c>
      <c r="J36">
        <v>1</v>
      </c>
      <c r="K36" t="s">
        <v>14</v>
      </c>
      <c r="L36" t="s">
        <v>14</v>
      </c>
    </row>
    <row r="37" ht="51" spans="1:12">
      <c r="A37" s="1" t="s">
        <v>51</v>
      </c>
      <c r="B37" t="s">
        <v>20</v>
      </c>
      <c r="C37" t="str">
        <f t="shared" si="0"/>
        <v>OS</v>
      </c>
      <c r="D37">
        <v>1</v>
      </c>
      <c r="E37" t="str">
        <f t="shared" si="1"/>
        <v>Consistent</v>
      </c>
      <c r="F37" t="str">
        <f t="shared" si="2"/>
        <v>Low</v>
      </c>
      <c r="G37" t="str">
        <f t="shared" si="3"/>
        <v>MODERATE</v>
      </c>
      <c r="H37">
        <v>0</v>
      </c>
      <c r="I37">
        <v>0</v>
      </c>
      <c r="J37">
        <v>1</v>
      </c>
      <c r="K37" t="s">
        <v>14</v>
      </c>
      <c r="L37" t="s">
        <v>14</v>
      </c>
    </row>
    <row r="38" ht="17" spans="1:12">
      <c r="A38" s="1" t="s">
        <v>52</v>
      </c>
      <c r="B38" t="s">
        <v>20</v>
      </c>
      <c r="C38" t="str">
        <f t="shared" si="0"/>
        <v>OS</v>
      </c>
      <c r="D38">
        <v>2</v>
      </c>
      <c r="E38" t="str">
        <f t="shared" si="1"/>
        <v>Partially Consistent</v>
      </c>
      <c r="F38" t="str">
        <f t="shared" si="2"/>
        <v>Low</v>
      </c>
      <c r="G38" t="str">
        <f t="shared" si="3"/>
        <v>MODERATE</v>
      </c>
      <c r="H38">
        <v>0</v>
      </c>
      <c r="I38">
        <v>0</v>
      </c>
      <c r="J38">
        <v>1</v>
      </c>
      <c r="K38" t="s">
        <v>14</v>
      </c>
      <c r="L38" t="s">
        <v>14</v>
      </c>
    </row>
    <row r="39" ht="84" spans="1:12">
      <c r="A39" s="1" t="s">
        <v>53</v>
      </c>
      <c r="B39" t="s">
        <v>23</v>
      </c>
      <c r="C39" t="str">
        <f t="shared" si="0"/>
        <v>TS</v>
      </c>
      <c r="D39">
        <v>1</v>
      </c>
      <c r="E39" t="str">
        <f t="shared" si="1"/>
        <v>Inconsistent</v>
      </c>
      <c r="F39" t="str">
        <f t="shared" si="2"/>
        <v>High</v>
      </c>
      <c r="G39" t="str">
        <f t="shared" si="3"/>
        <v>MODERATE</v>
      </c>
      <c r="H39">
        <v>0</v>
      </c>
      <c r="I39">
        <v>0</v>
      </c>
      <c r="J39">
        <v>1</v>
      </c>
      <c r="K39" t="s">
        <v>14</v>
      </c>
      <c r="L39" t="s">
        <v>14</v>
      </c>
    </row>
    <row r="40" ht="17" spans="1:12">
      <c r="A40" s="1" t="s">
        <v>54</v>
      </c>
      <c r="B40" t="s">
        <v>20</v>
      </c>
      <c r="C40" t="str">
        <f t="shared" si="0"/>
        <v>OS</v>
      </c>
      <c r="D40">
        <v>1</v>
      </c>
      <c r="E40" t="str">
        <f t="shared" si="1"/>
        <v>Consistent</v>
      </c>
      <c r="F40" t="str">
        <f t="shared" si="2"/>
        <v>Low</v>
      </c>
      <c r="G40" t="str">
        <f t="shared" si="3"/>
        <v>MODERATE</v>
      </c>
      <c r="H40">
        <v>0</v>
      </c>
      <c r="I40">
        <v>0</v>
      </c>
      <c r="J40">
        <v>1</v>
      </c>
      <c r="K40" t="s">
        <v>14</v>
      </c>
      <c r="L40" t="s">
        <v>14</v>
      </c>
    </row>
    <row r="41" ht="34" spans="1:12">
      <c r="A41" s="1" t="s">
        <v>55</v>
      </c>
      <c r="B41" t="s">
        <v>20</v>
      </c>
      <c r="C41" t="str">
        <f t="shared" si="0"/>
        <v>OS</v>
      </c>
      <c r="D41">
        <v>2</v>
      </c>
      <c r="E41" t="str">
        <f t="shared" si="1"/>
        <v>Partially Consistent</v>
      </c>
      <c r="F41" t="str">
        <f t="shared" si="2"/>
        <v>Low</v>
      </c>
      <c r="G41" t="str">
        <f t="shared" si="3"/>
        <v>MODERATE</v>
      </c>
      <c r="H41">
        <v>0</v>
      </c>
      <c r="I41">
        <v>0</v>
      </c>
      <c r="J41">
        <v>1</v>
      </c>
      <c r="K41" t="s">
        <v>14</v>
      </c>
      <c r="L41" t="s">
        <v>14</v>
      </c>
    </row>
    <row r="42" ht="34" spans="1:12">
      <c r="A42" s="1" t="s">
        <v>46</v>
      </c>
      <c r="B42" t="s">
        <v>20</v>
      </c>
      <c r="C42" t="str">
        <f t="shared" si="0"/>
        <v>OS</v>
      </c>
      <c r="D42">
        <v>1</v>
      </c>
      <c r="E42" t="str">
        <f t="shared" si="1"/>
        <v>Consistent</v>
      </c>
      <c r="F42" t="str">
        <f t="shared" si="2"/>
        <v>Low</v>
      </c>
      <c r="G42" t="str">
        <f t="shared" si="3"/>
        <v>MODERATE</v>
      </c>
      <c r="H42">
        <v>0</v>
      </c>
      <c r="I42">
        <v>0</v>
      </c>
      <c r="J42">
        <v>1</v>
      </c>
      <c r="K42" t="s">
        <v>14</v>
      </c>
      <c r="L42" t="s">
        <v>14</v>
      </c>
    </row>
    <row r="43" ht="101" spans="1:12">
      <c r="A43" s="1" t="s">
        <v>48</v>
      </c>
      <c r="B43" t="s">
        <v>13</v>
      </c>
      <c r="C43" t="str">
        <f t="shared" si="0"/>
        <v>OS</v>
      </c>
      <c r="D43">
        <v>1</v>
      </c>
      <c r="E43" t="str">
        <f t="shared" si="1"/>
        <v>Inconsistent</v>
      </c>
      <c r="F43" t="str">
        <f t="shared" si="2"/>
        <v>Low</v>
      </c>
      <c r="G43" t="str">
        <f t="shared" si="3"/>
        <v>LOW</v>
      </c>
      <c r="H43">
        <v>0</v>
      </c>
      <c r="I43">
        <v>1</v>
      </c>
      <c r="J43">
        <v>1</v>
      </c>
      <c r="K43" t="s">
        <v>14</v>
      </c>
      <c r="L43" t="s">
        <v>14</v>
      </c>
    </row>
    <row r="44" ht="34" spans="1:12">
      <c r="A44" s="1" t="s">
        <v>50</v>
      </c>
      <c r="B44" t="s">
        <v>20</v>
      </c>
      <c r="C44" t="str">
        <f t="shared" si="0"/>
        <v>OS</v>
      </c>
      <c r="D44">
        <v>1</v>
      </c>
      <c r="E44" t="str">
        <f t="shared" si="1"/>
        <v>Consistent</v>
      </c>
      <c r="F44" t="str">
        <f t="shared" si="2"/>
        <v>Low</v>
      </c>
      <c r="G44" t="str">
        <f t="shared" si="3"/>
        <v>MODERATE</v>
      </c>
      <c r="H44">
        <v>0</v>
      </c>
      <c r="I44">
        <v>0</v>
      </c>
      <c r="J44">
        <v>1</v>
      </c>
      <c r="K44" t="s">
        <v>14</v>
      </c>
      <c r="L44" t="s">
        <v>14</v>
      </c>
    </row>
    <row r="45" ht="51" spans="1:12">
      <c r="A45" s="1" t="s">
        <v>51</v>
      </c>
      <c r="B45" t="s">
        <v>20</v>
      </c>
      <c r="C45" t="str">
        <f t="shared" si="0"/>
        <v>OS</v>
      </c>
      <c r="D45">
        <v>1</v>
      </c>
      <c r="E45" t="str">
        <f t="shared" si="1"/>
        <v>Consistent</v>
      </c>
      <c r="F45" t="str">
        <f t="shared" si="2"/>
        <v>Low</v>
      </c>
      <c r="G45" t="str">
        <f t="shared" si="3"/>
        <v>MODERATE</v>
      </c>
      <c r="H45">
        <v>0</v>
      </c>
      <c r="I45">
        <v>0</v>
      </c>
      <c r="J45">
        <v>1</v>
      </c>
      <c r="K45" t="s">
        <v>14</v>
      </c>
      <c r="L45" t="s">
        <v>14</v>
      </c>
    </row>
    <row r="46" ht="84" spans="1:12">
      <c r="A46" s="1" t="s">
        <v>53</v>
      </c>
      <c r="B46" t="s">
        <v>23</v>
      </c>
      <c r="C46" t="str">
        <f t="shared" si="0"/>
        <v>TS</v>
      </c>
      <c r="D46">
        <v>1</v>
      </c>
      <c r="E46" t="str">
        <f t="shared" si="1"/>
        <v>Inconsistent</v>
      </c>
      <c r="F46" t="str">
        <f t="shared" si="2"/>
        <v>High</v>
      </c>
      <c r="G46" t="str">
        <f t="shared" si="3"/>
        <v>MODERATE</v>
      </c>
      <c r="H46">
        <v>0</v>
      </c>
      <c r="I46">
        <v>0</v>
      </c>
      <c r="J46">
        <v>1</v>
      </c>
      <c r="K46" t="s">
        <v>14</v>
      </c>
      <c r="L46" t="s">
        <v>14</v>
      </c>
    </row>
    <row r="47" ht="17" spans="1:12">
      <c r="A47" s="1" t="s">
        <v>54</v>
      </c>
      <c r="B47" t="s">
        <v>20</v>
      </c>
      <c r="C47" t="str">
        <f t="shared" si="0"/>
        <v>OS</v>
      </c>
      <c r="D47">
        <v>1</v>
      </c>
      <c r="E47" t="str">
        <f t="shared" si="1"/>
        <v>Consistent</v>
      </c>
      <c r="F47" t="str">
        <f t="shared" si="2"/>
        <v>Low</v>
      </c>
      <c r="G47" t="str">
        <f t="shared" si="3"/>
        <v>MODERATE</v>
      </c>
      <c r="H47">
        <v>0</v>
      </c>
      <c r="I47">
        <v>0</v>
      </c>
      <c r="J47">
        <v>1</v>
      </c>
      <c r="K47" t="s">
        <v>14</v>
      </c>
      <c r="L47" t="s">
        <v>14</v>
      </c>
    </row>
    <row r="48" ht="34" spans="1:12">
      <c r="A48" s="1" t="s">
        <v>56</v>
      </c>
      <c r="B48" t="s">
        <v>20</v>
      </c>
      <c r="C48" t="str">
        <f t="shared" si="0"/>
        <v>OS</v>
      </c>
      <c r="D48">
        <v>1</v>
      </c>
      <c r="E48" t="str">
        <f t="shared" si="1"/>
        <v>Consistent</v>
      </c>
      <c r="F48" t="str">
        <f t="shared" si="2"/>
        <v>Low</v>
      </c>
      <c r="G48" t="str">
        <f t="shared" si="3"/>
        <v>MODERATE</v>
      </c>
      <c r="H48">
        <v>0</v>
      </c>
      <c r="I48">
        <v>0</v>
      </c>
      <c r="J48">
        <v>1</v>
      </c>
      <c r="K48" t="s">
        <v>14</v>
      </c>
      <c r="L48" t="s">
        <v>14</v>
      </c>
    </row>
    <row r="49" ht="34" spans="1:12">
      <c r="A49" s="1" t="s">
        <v>57</v>
      </c>
      <c r="B49" t="s">
        <v>20</v>
      </c>
      <c r="C49" t="str">
        <f t="shared" si="0"/>
        <v>OS</v>
      </c>
      <c r="D49">
        <v>1</v>
      </c>
      <c r="E49" t="str">
        <f t="shared" si="1"/>
        <v>Consistent</v>
      </c>
      <c r="F49" t="str">
        <f t="shared" si="2"/>
        <v>Low</v>
      </c>
      <c r="G49" t="str">
        <f t="shared" si="3"/>
        <v>MODERATE</v>
      </c>
      <c r="H49">
        <v>1</v>
      </c>
      <c r="I49">
        <v>0</v>
      </c>
      <c r="J49">
        <v>1</v>
      </c>
      <c r="K49" t="s">
        <v>14</v>
      </c>
      <c r="L49" t="s">
        <v>14</v>
      </c>
    </row>
    <row r="50" ht="34" spans="1:12">
      <c r="A50" s="1" t="s">
        <v>58</v>
      </c>
      <c r="B50" t="s">
        <v>20</v>
      </c>
      <c r="C50" t="str">
        <f t="shared" si="0"/>
        <v>OS</v>
      </c>
      <c r="D50">
        <v>1</v>
      </c>
      <c r="E50" t="str">
        <f t="shared" si="1"/>
        <v>Consistent</v>
      </c>
      <c r="F50" t="str">
        <f t="shared" si="2"/>
        <v>Low</v>
      </c>
      <c r="G50" t="str">
        <f t="shared" si="3"/>
        <v>MODERATE</v>
      </c>
      <c r="H50">
        <v>0</v>
      </c>
      <c r="I50">
        <v>0</v>
      </c>
      <c r="J50">
        <v>1</v>
      </c>
      <c r="K50" t="s">
        <v>14</v>
      </c>
      <c r="L50" t="s">
        <v>14</v>
      </c>
    </row>
    <row r="51" ht="34" spans="1:12">
      <c r="A51" s="1" t="s">
        <v>59</v>
      </c>
      <c r="B51" t="s">
        <v>20</v>
      </c>
      <c r="C51" t="str">
        <f t="shared" si="0"/>
        <v>OS</v>
      </c>
      <c r="D51">
        <v>1</v>
      </c>
      <c r="E51" t="str">
        <f t="shared" si="1"/>
        <v>Consistent</v>
      </c>
      <c r="F51" t="str">
        <f t="shared" si="2"/>
        <v>Low</v>
      </c>
      <c r="G51" t="str">
        <f t="shared" si="3"/>
        <v>MODERATE</v>
      </c>
      <c r="H51">
        <v>0</v>
      </c>
      <c r="I51">
        <v>0</v>
      </c>
      <c r="J51">
        <v>1</v>
      </c>
      <c r="K51" t="s">
        <v>14</v>
      </c>
      <c r="L51"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jarveyilano</cp:lastModifiedBy>
  <dcterms:created xsi:type="dcterms:W3CDTF">2025-05-23T12:19:00Z</dcterms:created>
  <dcterms:modified xsi:type="dcterms:W3CDTF">2025-05-23T19:07:12Z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55970E2CC3CACBDA61563068563BA48C_42</vt:lpwstr>
  </property>
  <property fmtid="{D5CDD505-2E9C-101B-9397-08002B2CF9AE}" pid="4" name="KSOProductBuildVer">
    <vt:lpwstr>1033-6.13.1.8710</vt:lpwstr>
  </property>
</Properties>
</file>