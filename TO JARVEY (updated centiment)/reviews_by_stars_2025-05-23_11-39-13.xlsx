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<sst xmlns="http://schemas.openxmlformats.org/spreadsheetml/2006/main" count="181" uniqueCount="58">
  <si>
    <t>Review</t>
  </si>
  <si>
    <t>Sentiment</t>
  </si>
  <si>
    <t>Sidedness</t>
  </si>
  <si>
    <t>Star Rating</t>
  </si>
  <si>
    <t>Consistency</t>
  </si>
  <si>
    <t>Info Diversity</t>
  </si>
  <si>
    <t>PERCEIVED HELPFULNESS</t>
  </si>
  <si>
    <t>PD_F</t>
  </si>
  <si>
    <t>PD_F_TMP</t>
  </si>
  <si>
    <t>MAN_UI</t>
  </si>
  <si>
    <t>SPM</t>
  </si>
  <si>
    <t>CREDIBILITY</t>
  </si>
  <si>
    <t>design: perfect for hands-free use, flexible and convenient holder, durability: durable enough compatibility: compatible with most mobile phones</t>
  </si>
  <si>
    <t>POSITIVE</t>
  </si>
  <si>
    <t/>
  </si>
  <si>
    <t>easy to adjust and position, sturdy and durable design, worth the price. recommended. it serves its purpose.</t>
  </si>
  <si>
    <t>sturdy and durable design, fits various phone sizes, flexible and convenient holder, gong xi fa cai! you earned p500 cashback from your last transaction. click below to claim! stop! maya will never send links. scammers lang gumagawa nun. using a text hijacking device, nagpapanggap sila na maya at ibang brands para magtext ng link at manakaw ang pera mo. never share otps, passwords, or open links.</t>
  </si>
  <si>
    <t>NEGATIVE</t>
  </si>
  <si>
    <t>maganda. sulit. . . . . . . . . . . . . . . . . . . . . . . . . . . . . . . . . . . . . . . . . . . . . . . . . . . . . . . . . . . . . . .</t>
  </si>
  <si>
    <t>great for watching videos, fits various phone sizes, sturdy and durable design, perfect for hands-free use,</t>
  </si>
  <si>
    <t>portable and lightweight, flexible and convenient holder, design: ok durability: ok compatibility: ok</t>
  </si>
  <si>
    <t>flexible and convenient holder. . sana tumagal</t>
  </si>
  <si>
    <t>easy to adjust and position, design: ok durability: ok compatibility: ok flexible and convenient holder, nagustuhan ko. . . . . . . .</t>
  </si>
  <si>
    <t>flexible and convenient holder, great for watching videos, ideal for multitasking, design: ok durability: ok compatibility: not so</t>
  </si>
  <si>
    <t>NEUTRAL</t>
  </si>
  <si>
    <t>okay naman po ang item, gamit ng baby ko pag nanonood sya mukhang matibay naman. . thank you seller and rider</t>
  </si>
  <si>
    <t>ideal for multitasking, fits various phone sizes, securely holds my phone, portable and lightweight, perfect for hands-free use, sturdy and durable design, great for watching videos, saves desk space,</t>
  </si>
  <si>
    <t>securely holds my phone, saves desk space, securely holds my phone, saves desk space, securely holds my phone, saves desk space</t>
  </si>
  <si>
    <t>easy to adjust and position, perfect for hands-free use, however, it is not sturdy and not so good quality</t>
  </si>
  <si>
    <t>design: ok durability: not durable low quality compatibility: not compatible to big phones it doesn' t holds up right unstable</t>
  </si>
  <si>
    <t>, durability: not good good but useless compatibility: never been use cant hold phone it' s not strong but it' s fine on holding small object like lipstick hehe</t>
  </si>
  <si>
    <t>it does not pinch or whatever you call it, well. specially on metal objects. oly caters small width</t>
  </si>
  <si>
    <t>nalalagay na namin kahit saan ayos sya durability: good compatibility: good design: good</t>
  </si>
  <si>
    <t>hinde xa matibay, pag nilagay ang phone nalalaglag.</t>
  </si>
  <si>
    <t>manipis kaya siguro putol na nung dumating dina magagamit</t>
  </si>
  <si>
    <t>flexible and convenient holder, great for watching videos,</t>
  </si>
  <si>
    <t>di ganon kaganda. yung clip plastic, kaya di sobrang bigat. yumuyuko yung phone</t>
  </si>
  <si>
    <t>design: not good durability: not good compatibility: not good i do not buy agin, i scare for my phone not safe i use and try,</t>
  </si>
  <si>
    <t>design: 8 malambot. . . di kaya itayo ang cellphone ko na 6. 2 inch. mahina kapit ng clip sa mesa. durability: 5 flexible and convenient holder, ideal for multitasking,</t>
  </si>
  <si>
    <t>the base clip is not tight enough to hold a phone up as it wobbles and sometimes falls randomly.</t>
  </si>
  <si>
    <t>easy to adjust and position, portable and lightweight,</t>
  </si>
  <si>
    <t>design: satisfied durability: satisfied compatibility: satisfied very affordable. salamat seller.</t>
  </si>
  <si>
    <t>portable and lightweight, ang hirap iadjust</t>
  </si>
  <si>
    <t>design: ok durability: hmm, mid maybe compatibility: ok its okay, quality is normal its okay, quality is normal its okay, quality is normal</t>
  </si>
  <si>
    <t>tabingi po ang dumating tpos may pingas p yung turnilyo definitely hndi to magtatagal. . . nxt tym pls make sure yung mga item n ipapadala ay ok at wlang sira</t>
  </si>
  <si>
    <t>item is damaged. unable to use it because it' s quality is poor. although the price is not expensive but buying this is wasting money. the item is just put in trash. i made an honest review only. thank you</t>
  </si>
  <si>
    <t>durability: 5/10 it' s broken took me so long to get it and i received disappointment! sturdy and durable design=5/10</t>
  </si>
  <si>
    <t>itsssssssss broooooooookkkkkkeeeen! ! ! the camera holder is broken not durable</t>
  </si>
  <si>
    <t>wrong item delivered. i ordered desktop phone holder, but i received a bike phone holder. wow. do better next time at packing the correct order and making sure the item is secured. it isn' t even wrapped properly, it was like it was just randomly picked from one of those old stocks then just tossed into the lazada plastic. i found its screw outside the box when i opened the plastic. is that the way you handle parcels from lazada choice?</t>
  </si>
  <si>
    <t>durability: poor malamang masisira talaga tong product nyu dahil plastic lng ang pinambalot. ni bubble wrap or carton wala. very sayang sa pera.</t>
  </si>
  <si>
    <t>received it broken</t>
  </si>
  <si>
    <t>wrong item. . . wtong item. . wrong itemm. scammer. . do not buy in this seller. . . . dapat i binabannned to e. .</t>
  </si>
  <si>
    <t>walang clip para sa cp tanga ata nag package d tuloy magagamit. sigh. . . . . . . . . . . . . . . . . . .</t>
  </si>
  <si>
    <t>so disappointed waited 6 days to received the item only to find out it is damaged and totally useless. i am a frequent lazada customer and this is the first time i received defective/damaged item. seller should have been more careful about the packaging of their products to avoid this kind of issues. would like to return the item and get a refund but the processing will be taking more time and costly.</t>
  </si>
  <si>
    <t>wrong item received! ! !</t>
  </si>
  <si>
    <t>mahina. di kaya ang cp. tumatalsik ang cp guys. saka nalolong press ang volume at audio. not recommended.</t>
  </si>
  <si>
    <t>mlutong un product madaling masira. sbgy sa presyo nga nmn. not good. cra n sya nun dumating. mas nasira nun binuka nang unti un clip.</t>
  </si>
  <si>
    <t>bakit naman ganun hindi sya dumating pero kasma parin sa bayad dapat hindi nalang kayo naglagay ng item nyo sa choice kung hndi rin lang naman nyo ipapadala sa nag oorder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</si>
</sst>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
  <sheetViews>
    <sheetView tabSelected="1" topLeftCell="A39" workbookViewId="0">
      <selection activeCell="B44" sqref="B44"/>
    </sheetView>
  </sheetViews>
  <sheetFormatPr defaultColWidth="9" defaultRowHeight="16.8"/>
  <cols>
    <col min="1" max="1" width="80.8593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34" spans="1:12">
      <c r="A2" s="1" t="s">
        <v>12</v>
      </c>
      <c r="B2" t="s">
        <v>13</v>
      </c>
      <c r="C2" t="str">
        <f t="shared" ref="C2:C51" si="0">IF(B2="NEUTRAL","TS","OS")</f>
        <v>OS</v>
      </c>
      <c r="D2">
        <v>5</v>
      </c>
      <c r="E2" t="str">
        <f t="shared" ref="E2:E51" si="1">IF(C2="TS",IF(D2=3,"Consistent",IF(OR(D2=2,D2=4),"Partially Consistent","Inconsistent")),IF(D2=3,"Inconsistent",IF(AND(D2=5,B2="POSITIVE"),"Consistent",IF(AND(D2=1,B2="NEGATIVE"),"Consistent",IF(AND(D2=4,B2="POSITIVE"),"Partially Consistent",IF(AND(D2=2,B2="NEGATIVE"),"Partially Consistent","Inconsistent"))))))</f>
        <v>Consistent</v>
      </c>
      <c r="F2" t="str">
        <f t="shared" ref="F2:F51" si="2">IF(C2="TS","High","Low")</f>
        <v>Low</v>
      </c>
      <c r="G2" t="str">
        <f t="shared" ref="G2:G51" si="3">IF(AND(B2="NEUTRAL",F2="Low"),"LOW",IF(AND(C2="TS",F2="High",D2=3),"HIGH",IF(AND(C2="TS",F2="High",OR(D2=2,D2=4)),"HIGH",IF(AND(C2="TS",F2="High",OR(D2=1,D2=5)),"MODERATE",IF(AND(C2="OS",E2="Consistent",OR(D2=1,D2=5)),"MODERATE",IF(AND(C2="OS",E2="Partially Consistent",OR(D2=2,D2=4)),"MODERATE","LOW"))))))</f>
        <v>MODERATE</v>
      </c>
      <c r="H2">
        <v>1</v>
      </c>
      <c r="I2">
        <v>1</v>
      </c>
      <c r="J2">
        <v>0</v>
      </c>
      <c r="K2" t="s">
        <v>14</v>
      </c>
      <c r="L2" t="s">
        <v>14</v>
      </c>
    </row>
    <row r="3" ht="34" spans="1:12">
      <c r="A3" s="1" t="s">
        <v>15</v>
      </c>
      <c r="B3" t="s">
        <v>13</v>
      </c>
      <c r="C3" t="str">
        <f t="shared" si="0"/>
        <v>OS</v>
      </c>
      <c r="D3">
        <v>5</v>
      </c>
      <c r="E3" t="str">
        <f t="shared" si="1"/>
        <v>Consistent</v>
      </c>
      <c r="F3" t="str">
        <f t="shared" si="2"/>
        <v>Low</v>
      </c>
      <c r="G3" t="str">
        <f t="shared" si="3"/>
        <v>MODERATE</v>
      </c>
      <c r="H3">
        <v>0</v>
      </c>
      <c r="I3">
        <v>1</v>
      </c>
      <c r="J3">
        <v>0</v>
      </c>
      <c r="K3" t="s">
        <v>14</v>
      </c>
      <c r="L3" t="s">
        <v>14</v>
      </c>
    </row>
    <row r="4" ht="84" spans="1:12">
      <c r="A4" s="1" t="s">
        <v>16</v>
      </c>
      <c r="B4" t="s">
        <v>17</v>
      </c>
      <c r="C4" t="str">
        <f t="shared" si="0"/>
        <v>OS</v>
      </c>
      <c r="D4">
        <v>5</v>
      </c>
      <c r="E4" t="str">
        <f t="shared" si="1"/>
        <v>Inconsistent</v>
      </c>
      <c r="F4" t="str">
        <f t="shared" si="2"/>
        <v>Low</v>
      </c>
      <c r="G4" t="str">
        <f t="shared" si="3"/>
        <v>LOW</v>
      </c>
      <c r="H4">
        <v>0</v>
      </c>
      <c r="I4">
        <v>1</v>
      </c>
      <c r="J4">
        <v>1</v>
      </c>
      <c r="K4" t="s">
        <v>14</v>
      </c>
      <c r="L4" t="s">
        <v>14</v>
      </c>
    </row>
    <row r="5" ht="17" spans="1:12">
      <c r="A5" s="1" t="s">
        <v>18</v>
      </c>
      <c r="B5" t="s">
        <v>13</v>
      </c>
      <c r="C5" t="str">
        <f t="shared" si="0"/>
        <v>OS</v>
      </c>
      <c r="D5">
        <v>5</v>
      </c>
      <c r="E5" t="str">
        <f t="shared" si="1"/>
        <v>Consistent</v>
      </c>
      <c r="F5" t="str">
        <f t="shared" si="2"/>
        <v>Low</v>
      </c>
      <c r="G5" t="str">
        <f t="shared" si="3"/>
        <v>MODERATE</v>
      </c>
      <c r="H5">
        <v>0</v>
      </c>
      <c r="I5" t="s">
        <v>14</v>
      </c>
      <c r="J5" t="s">
        <v>14</v>
      </c>
      <c r="K5" t="s">
        <v>14</v>
      </c>
      <c r="L5" t="s">
        <v>14</v>
      </c>
    </row>
    <row r="6" ht="34" spans="1:12">
      <c r="A6" s="1" t="s">
        <v>19</v>
      </c>
      <c r="B6" t="s">
        <v>13</v>
      </c>
      <c r="C6" t="str">
        <f t="shared" si="0"/>
        <v>OS</v>
      </c>
      <c r="D6">
        <v>5</v>
      </c>
      <c r="E6" t="str">
        <f t="shared" si="1"/>
        <v>Consistent</v>
      </c>
      <c r="F6" t="str">
        <f t="shared" si="2"/>
        <v>Low</v>
      </c>
      <c r="G6" t="str">
        <f t="shared" si="3"/>
        <v>MODERATE</v>
      </c>
      <c r="H6">
        <v>0</v>
      </c>
      <c r="I6">
        <v>1</v>
      </c>
      <c r="J6">
        <v>0</v>
      </c>
      <c r="K6" t="s">
        <v>14</v>
      </c>
      <c r="L6" t="s">
        <v>14</v>
      </c>
    </row>
    <row r="7" ht="17" spans="1:12">
      <c r="A7" s="1" t="s">
        <v>20</v>
      </c>
      <c r="B7" t="s">
        <v>13</v>
      </c>
      <c r="C7" t="str">
        <f t="shared" si="0"/>
        <v>OS</v>
      </c>
      <c r="D7">
        <v>5</v>
      </c>
      <c r="E7" t="str">
        <f t="shared" si="1"/>
        <v>Consistent</v>
      </c>
      <c r="F7" t="str">
        <f t="shared" si="2"/>
        <v>Low</v>
      </c>
      <c r="G7" t="str">
        <f t="shared" si="3"/>
        <v>MODERATE</v>
      </c>
      <c r="H7">
        <v>1</v>
      </c>
      <c r="I7">
        <v>1</v>
      </c>
      <c r="J7">
        <v>1</v>
      </c>
      <c r="K7" t="s">
        <v>14</v>
      </c>
      <c r="L7" t="s">
        <v>14</v>
      </c>
    </row>
    <row r="8" ht="17" spans="1:12">
      <c r="A8" s="1" t="s">
        <v>21</v>
      </c>
      <c r="B8" t="s">
        <v>17</v>
      </c>
      <c r="C8" t="str">
        <f t="shared" si="0"/>
        <v>OS</v>
      </c>
      <c r="D8">
        <v>5</v>
      </c>
      <c r="E8" t="str">
        <f t="shared" si="1"/>
        <v>Inconsistent</v>
      </c>
      <c r="F8" t="str">
        <f t="shared" si="2"/>
        <v>Low</v>
      </c>
      <c r="G8" t="str">
        <f t="shared" si="3"/>
        <v>LOW</v>
      </c>
      <c r="H8">
        <v>0</v>
      </c>
      <c r="I8">
        <v>0</v>
      </c>
      <c r="J8">
        <v>1</v>
      </c>
      <c r="K8" t="s">
        <v>14</v>
      </c>
      <c r="L8" t="s">
        <v>14</v>
      </c>
    </row>
    <row r="9" ht="34" spans="1:12">
      <c r="A9" s="1" t="s">
        <v>22</v>
      </c>
      <c r="B9" t="s">
        <v>13</v>
      </c>
      <c r="C9" t="str">
        <f t="shared" si="0"/>
        <v>OS</v>
      </c>
      <c r="D9">
        <v>5</v>
      </c>
      <c r="E9" t="str">
        <f t="shared" si="1"/>
        <v>Consistent</v>
      </c>
      <c r="F9" t="str">
        <f t="shared" si="2"/>
        <v>Low</v>
      </c>
      <c r="G9" t="str">
        <f t="shared" si="3"/>
        <v>MODERATE</v>
      </c>
      <c r="H9">
        <v>1</v>
      </c>
      <c r="I9">
        <v>1</v>
      </c>
      <c r="J9">
        <v>1</v>
      </c>
      <c r="K9" t="s">
        <v>14</v>
      </c>
      <c r="L9" t="s">
        <v>14</v>
      </c>
    </row>
    <row r="10" ht="34" spans="1:12">
      <c r="A10" s="1" t="s">
        <v>23</v>
      </c>
      <c r="B10" t="s">
        <v>24</v>
      </c>
      <c r="C10" t="str">
        <f t="shared" si="0"/>
        <v>TS</v>
      </c>
      <c r="D10">
        <v>5</v>
      </c>
      <c r="E10" t="str">
        <f t="shared" si="1"/>
        <v>Inconsistent</v>
      </c>
      <c r="F10" t="str">
        <f t="shared" si="2"/>
        <v>High</v>
      </c>
      <c r="G10" t="str">
        <f t="shared" si="3"/>
        <v>MODERATE</v>
      </c>
      <c r="H10">
        <v>1</v>
      </c>
      <c r="I10">
        <v>1</v>
      </c>
      <c r="J10">
        <v>1</v>
      </c>
      <c r="K10" t="s">
        <v>14</v>
      </c>
      <c r="L10" t="s">
        <v>14</v>
      </c>
    </row>
    <row r="11" ht="34" spans="1:12">
      <c r="A11" s="1" t="s">
        <v>25</v>
      </c>
      <c r="B11" t="s">
        <v>13</v>
      </c>
      <c r="C11" t="str">
        <f t="shared" si="0"/>
        <v>OS</v>
      </c>
      <c r="D11">
        <v>5</v>
      </c>
      <c r="E11" t="str">
        <f t="shared" si="1"/>
        <v>Consistent</v>
      </c>
      <c r="F11" t="str">
        <f t="shared" si="2"/>
        <v>Low</v>
      </c>
      <c r="G11" t="str">
        <f t="shared" si="3"/>
        <v>MODERATE</v>
      </c>
      <c r="H11">
        <v>0</v>
      </c>
      <c r="I11">
        <v>0</v>
      </c>
      <c r="J11">
        <v>1</v>
      </c>
      <c r="K11" t="s">
        <v>14</v>
      </c>
      <c r="L11" t="s">
        <v>14</v>
      </c>
    </row>
    <row r="12" ht="34" spans="1:12">
      <c r="A12" s="1" t="s">
        <v>26</v>
      </c>
      <c r="B12" t="s">
        <v>13</v>
      </c>
      <c r="C12" t="str">
        <f t="shared" si="0"/>
        <v>OS</v>
      </c>
      <c r="D12">
        <v>4</v>
      </c>
      <c r="E12" t="str">
        <f t="shared" si="1"/>
        <v>Partially Consistent</v>
      </c>
      <c r="F12" t="str">
        <f t="shared" si="2"/>
        <v>Low</v>
      </c>
      <c r="G12" t="str">
        <f t="shared" si="3"/>
        <v>MODERATE</v>
      </c>
      <c r="H12">
        <v>0</v>
      </c>
      <c r="I12">
        <v>1</v>
      </c>
      <c r="J12">
        <v>0</v>
      </c>
      <c r="K12" t="s">
        <v>14</v>
      </c>
      <c r="L12" t="s">
        <v>14</v>
      </c>
    </row>
    <row r="13" ht="34" spans="1:12">
      <c r="A13" s="1" t="s">
        <v>27</v>
      </c>
      <c r="B13" t="s">
        <v>13</v>
      </c>
      <c r="C13" t="str">
        <f t="shared" si="0"/>
        <v>OS</v>
      </c>
      <c r="D13">
        <v>4</v>
      </c>
      <c r="E13" t="str">
        <f t="shared" si="1"/>
        <v>Partially Consistent</v>
      </c>
      <c r="F13" t="str">
        <f t="shared" si="2"/>
        <v>Low</v>
      </c>
      <c r="G13" t="str">
        <f t="shared" si="3"/>
        <v>MODERATE</v>
      </c>
      <c r="H13">
        <v>0</v>
      </c>
      <c r="I13">
        <v>1</v>
      </c>
      <c r="J13">
        <v>1</v>
      </c>
      <c r="K13" t="s">
        <v>14</v>
      </c>
      <c r="L13" t="s">
        <v>14</v>
      </c>
    </row>
    <row r="14" ht="34" spans="1:12">
      <c r="A14" s="1" t="s">
        <v>28</v>
      </c>
      <c r="B14" t="s">
        <v>24</v>
      </c>
      <c r="C14" t="str">
        <f t="shared" si="0"/>
        <v>TS</v>
      </c>
      <c r="D14">
        <v>4</v>
      </c>
      <c r="E14" t="str">
        <f t="shared" si="1"/>
        <v>Partially Consistent</v>
      </c>
      <c r="F14" t="str">
        <f t="shared" si="2"/>
        <v>High</v>
      </c>
      <c r="G14" t="str">
        <f t="shared" si="3"/>
        <v>HIGH</v>
      </c>
      <c r="H14">
        <v>0</v>
      </c>
      <c r="I14">
        <v>1</v>
      </c>
      <c r="J14">
        <v>1</v>
      </c>
      <c r="K14" t="s">
        <v>14</v>
      </c>
      <c r="L14" t="s">
        <v>14</v>
      </c>
    </row>
    <row r="15" ht="34" spans="1:12">
      <c r="A15" s="1" t="s">
        <v>29</v>
      </c>
      <c r="B15" t="s">
        <v>17</v>
      </c>
      <c r="C15" t="str">
        <f t="shared" si="0"/>
        <v>OS</v>
      </c>
      <c r="D15">
        <v>4</v>
      </c>
      <c r="E15" t="str">
        <f t="shared" si="1"/>
        <v>Inconsistent</v>
      </c>
      <c r="F15" t="str">
        <f t="shared" si="2"/>
        <v>Low</v>
      </c>
      <c r="G15" t="str">
        <f t="shared" si="3"/>
        <v>LOW</v>
      </c>
      <c r="H15">
        <v>1</v>
      </c>
      <c r="I15">
        <v>0</v>
      </c>
      <c r="J15">
        <v>1</v>
      </c>
      <c r="K15" t="s">
        <v>14</v>
      </c>
      <c r="L15" t="s">
        <v>14</v>
      </c>
    </row>
    <row r="16" ht="34" spans="1:12">
      <c r="A16" s="1" t="s">
        <v>30</v>
      </c>
      <c r="B16" t="s">
        <v>24</v>
      </c>
      <c r="C16" t="str">
        <f t="shared" si="0"/>
        <v>TS</v>
      </c>
      <c r="D16">
        <v>4</v>
      </c>
      <c r="E16" t="str">
        <f t="shared" si="1"/>
        <v>Partially Consistent</v>
      </c>
      <c r="F16" t="str">
        <f t="shared" si="2"/>
        <v>High</v>
      </c>
      <c r="G16" t="str">
        <f t="shared" si="3"/>
        <v>HIGH</v>
      </c>
      <c r="H16">
        <v>1</v>
      </c>
      <c r="I16">
        <v>0</v>
      </c>
      <c r="J16">
        <v>1</v>
      </c>
      <c r="K16" t="s">
        <v>14</v>
      </c>
      <c r="L16" t="s">
        <v>14</v>
      </c>
    </row>
    <row r="17" ht="17" spans="1:12">
      <c r="A17" s="1" t="s">
        <v>31</v>
      </c>
      <c r="B17" t="s">
        <v>24</v>
      </c>
      <c r="C17" t="str">
        <f t="shared" si="0"/>
        <v>TS</v>
      </c>
      <c r="D17">
        <v>4</v>
      </c>
      <c r="E17" t="str">
        <f t="shared" si="1"/>
        <v>Partially Consistent</v>
      </c>
      <c r="F17" t="str">
        <f t="shared" si="2"/>
        <v>High</v>
      </c>
      <c r="G17" t="str">
        <f t="shared" si="3"/>
        <v>HIGH</v>
      </c>
      <c r="H17">
        <v>0</v>
      </c>
      <c r="I17">
        <v>0</v>
      </c>
      <c r="J17">
        <v>1</v>
      </c>
      <c r="K17" t="s">
        <v>14</v>
      </c>
      <c r="L17" t="s">
        <v>14</v>
      </c>
    </row>
    <row r="18" ht="17" spans="1:12">
      <c r="A18" s="1" t="s">
        <v>32</v>
      </c>
      <c r="B18" t="s">
        <v>13</v>
      </c>
      <c r="C18" t="str">
        <f t="shared" si="0"/>
        <v>OS</v>
      </c>
      <c r="D18">
        <v>4</v>
      </c>
      <c r="E18" t="str">
        <f t="shared" si="1"/>
        <v>Partially Consistent</v>
      </c>
      <c r="F18" t="str">
        <f t="shared" si="2"/>
        <v>Low</v>
      </c>
      <c r="G18" t="str">
        <f t="shared" si="3"/>
        <v>MODERATE</v>
      </c>
      <c r="H18">
        <v>1</v>
      </c>
      <c r="I18">
        <v>0</v>
      </c>
      <c r="J18">
        <v>1</v>
      </c>
      <c r="K18" t="s">
        <v>14</v>
      </c>
      <c r="L18" t="s">
        <v>14</v>
      </c>
    </row>
    <row r="19" ht="17" spans="1:12">
      <c r="A19" s="1" t="s">
        <v>33</v>
      </c>
      <c r="B19" t="s">
        <v>17</v>
      </c>
      <c r="C19" t="str">
        <f t="shared" si="0"/>
        <v>OS</v>
      </c>
      <c r="D19">
        <v>4</v>
      </c>
      <c r="E19" t="str">
        <f t="shared" si="1"/>
        <v>Inconsistent</v>
      </c>
      <c r="F19" t="str">
        <f t="shared" si="2"/>
        <v>Low</v>
      </c>
      <c r="G19" t="str">
        <f t="shared" si="3"/>
        <v>LOW</v>
      </c>
      <c r="H19">
        <v>0</v>
      </c>
      <c r="I19">
        <v>0</v>
      </c>
      <c r="J19">
        <v>1</v>
      </c>
      <c r="K19" t="s">
        <v>14</v>
      </c>
      <c r="L19" t="s">
        <v>14</v>
      </c>
    </row>
    <row r="20" ht="17" spans="1:12">
      <c r="A20" s="1" t="s">
        <v>34</v>
      </c>
      <c r="B20" t="s">
        <v>17</v>
      </c>
      <c r="C20" t="str">
        <f t="shared" si="0"/>
        <v>OS</v>
      </c>
      <c r="D20">
        <v>4</v>
      </c>
      <c r="E20" t="str">
        <f t="shared" si="1"/>
        <v>Inconsistent</v>
      </c>
      <c r="F20" t="str">
        <f t="shared" si="2"/>
        <v>Low</v>
      </c>
      <c r="G20" t="str">
        <f t="shared" si="3"/>
        <v>LOW</v>
      </c>
      <c r="H20">
        <v>0</v>
      </c>
      <c r="I20">
        <v>0</v>
      </c>
      <c r="J20">
        <v>1</v>
      </c>
      <c r="K20" t="s">
        <v>14</v>
      </c>
      <c r="L20" t="s">
        <v>14</v>
      </c>
    </row>
    <row r="21" ht="17" spans="1:12">
      <c r="A21" s="1" t="s">
        <v>35</v>
      </c>
      <c r="B21" t="s">
        <v>13</v>
      </c>
      <c r="C21" t="str">
        <f t="shared" si="0"/>
        <v>OS</v>
      </c>
      <c r="D21">
        <v>4</v>
      </c>
      <c r="E21" t="str">
        <f t="shared" si="1"/>
        <v>Partially Consistent</v>
      </c>
      <c r="F21" t="str">
        <f t="shared" si="2"/>
        <v>Low</v>
      </c>
      <c r="G21" t="str">
        <f t="shared" si="3"/>
        <v>MODERATE</v>
      </c>
      <c r="H21">
        <v>0</v>
      </c>
      <c r="I21">
        <v>1</v>
      </c>
      <c r="J21">
        <v>1</v>
      </c>
      <c r="K21" t="s">
        <v>14</v>
      </c>
      <c r="L21" t="s">
        <v>14</v>
      </c>
    </row>
    <row r="22" ht="17" spans="1:12">
      <c r="A22" s="1" t="s">
        <v>36</v>
      </c>
      <c r="B22" t="s">
        <v>17</v>
      </c>
      <c r="C22" t="str">
        <f t="shared" si="0"/>
        <v>OS</v>
      </c>
      <c r="D22">
        <v>3</v>
      </c>
      <c r="E22" t="str">
        <f t="shared" si="1"/>
        <v>Inconsistent</v>
      </c>
      <c r="F22" t="str">
        <f t="shared" si="2"/>
        <v>Low</v>
      </c>
      <c r="G22" t="str">
        <f t="shared" si="3"/>
        <v>LOW</v>
      </c>
      <c r="H22">
        <v>0</v>
      </c>
      <c r="I22">
        <v>0</v>
      </c>
      <c r="J22">
        <v>1</v>
      </c>
      <c r="K22" t="s">
        <v>14</v>
      </c>
      <c r="L22" t="s">
        <v>14</v>
      </c>
    </row>
    <row r="23" ht="34" spans="1:12">
      <c r="A23" s="1" t="s">
        <v>37</v>
      </c>
      <c r="B23" t="s">
        <v>17</v>
      </c>
      <c r="C23" t="str">
        <f t="shared" si="0"/>
        <v>OS</v>
      </c>
      <c r="D23">
        <v>3</v>
      </c>
      <c r="E23" t="str">
        <f t="shared" si="1"/>
        <v>Inconsistent</v>
      </c>
      <c r="F23" t="str">
        <f t="shared" si="2"/>
        <v>Low</v>
      </c>
      <c r="G23" t="str">
        <f t="shared" si="3"/>
        <v>LOW</v>
      </c>
      <c r="H23">
        <v>1</v>
      </c>
      <c r="I23">
        <v>1</v>
      </c>
      <c r="J23">
        <v>1</v>
      </c>
      <c r="K23" t="s">
        <v>14</v>
      </c>
      <c r="L23" t="s">
        <v>14</v>
      </c>
    </row>
    <row r="24" ht="34" spans="1:12">
      <c r="A24" s="1" t="s">
        <v>38</v>
      </c>
      <c r="B24" t="s">
        <v>24</v>
      </c>
      <c r="C24" t="str">
        <f t="shared" si="0"/>
        <v>TS</v>
      </c>
      <c r="D24">
        <v>3</v>
      </c>
      <c r="E24" t="str">
        <f t="shared" si="1"/>
        <v>Consistent</v>
      </c>
      <c r="F24" t="str">
        <f t="shared" si="2"/>
        <v>High</v>
      </c>
      <c r="G24" t="str">
        <f t="shared" si="3"/>
        <v>HIGH</v>
      </c>
      <c r="H24">
        <v>1</v>
      </c>
      <c r="I24">
        <v>1</v>
      </c>
      <c r="J24">
        <v>1</v>
      </c>
      <c r="K24" t="s">
        <v>14</v>
      </c>
      <c r="L24" t="s">
        <v>14</v>
      </c>
    </row>
    <row r="25" ht="17" spans="1:12">
      <c r="A25" s="1" t="s">
        <v>39</v>
      </c>
      <c r="B25" t="s">
        <v>24</v>
      </c>
      <c r="C25" t="str">
        <f t="shared" si="0"/>
        <v>TS</v>
      </c>
      <c r="D25">
        <v>3</v>
      </c>
      <c r="E25" t="str">
        <f t="shared" si="1"/>
        <v>Consistent</v>
      </c>
      <c r="F25" t="str">
        <f t="shared" si="2"/>
        <v>High</v>
      </c>
      <c r="G25" t="str">
        <f t="shared" si="3"/>
        <v>HIGH</v>
      </c>
      <c r="H25">
        <v>0</v>
      </c>
      <c r="I25">
        <v>0</v>
      </c>
      <c r="J25">
        <v>1</v>
      </c>
      <c r="K25" t="s">
        <v>14</v>
      </c>
      <c r="L25" t="s">
        <v>14</v>
      </c>
    </row>
    <row r="26" ht="17" spans="1:12">
      <c r="A26" s="1" t="s">
        <v>40</v>
      </c>
      <c r="B26" t="s">
        <v>13</v>
      </c>
      <c r="C26" t="str">
        <f t="shared" si="0"/>
        <v>OS</v>
      </c>
      <c r="D26">
        <v>3</v>
      </c>
      <c r="E26" t="str">
        <f t="shared" si="1"/>
        <v>Inconsistent</v>
      </c>
      <c r="F26" t="str">
        <f t="shared" si="2"/>
        <v>Low</v>
      </c>
      <c r="G26" t="str">
        <f t="shared" si="3"/>
        <v>LOW</v>
      </c>
      <c r="H26">
        <v>0</v>
      </c>
      <c r="I26">
        <v>1</v>
      </c>
      <c r="J26">
        <v>0</v>
      </c>
      <c r="K26" t="s">
        <v>14</v>
      </c>
      <c r="L26" t="s">
        <v>14</v>
      </c>
    </row>
    <row r="27" ht="17" spans="1:12">
      <c r="A27" s="1" t="s">
        <v>41</v>
      </c>
      <c r="B27" t="s">
        <v>13</v>
      </c>
      <c r="C27" t="str">
        <f t="shared" si="0"/>
        <v>OS</v>
      </c>
      <c r="D27">
        <v>3</v>
      </c>
      <c r="E27" t="str">
        <f t="shared" si="1"/>
        <v>Inconsistent</v>
      </c>
      <c r="F27" t="str">
        <f t="shared" si="2"/>
        <v>Low</v>
      </c>
      <c r="G27" t="str">
        <f t="shared" si="3"/>
        <v>LOW</v>
      </c>
      <c r="H27">
        <v>1</v>
      </c>
      <c r="I27">
        <v>0</v>
      </c>
      <c r="J27">
        <v>1</v>
      </c>
      <c r="K27" t="s">
        <v>14</v>
      </c>
      <c r="L27" t="s">
        <v>14</v>
      </c>
    </row>
    <row r="28" ht="17" spans="1:12">
      <c r="A28" s="1" t="s">
        <v>42</v>
      </c>
      <c r="B28" t="s">
        <v>17</v>
      </c>
      <c r="C28" t="str">
        <f t="shared" si="0"/>
        <v>OS</v>
      </c>
      <c r="D28">
        <v>3</v>
      </c>
      <c r="E28" t="str">
        <f t="shared" si="1"/>
        <v>Inconsistent</v>
      </c>
      <c r="F28" t="str">
        <f t="shared" si="2"/>
        <v>Low</v>
      </c>
      <c r="G28" t="str">
        <f t="shared" si="3"/>
        <v>LOW</v>
      </c>
      <c r="H28">
        <v>0</v>
      </c>
      <c r="I28">
        <v>1</v>
      </c>
      <c r="J28">
        <v>1</v>
      </c>
      <c r="K28" t="s">
        <v>14</v>
      </c>
      <c r="L28" t="s">
        <v>14</v>
      </c>
    </row>
    <row r="29" ht="34" spans="1:12">
      <c r="A29" s="1" t="s">
        <v>43</v>
      </c>
      <c r="B29" t="s">
        <v>24</v>
      </c>
      <c r="C29" t="str">
        <f t="shared" si="0"/>
        <v>TS</v>
      </c>
      <c r="D29">
        <v>3</v>
      </c>
      <c r="E29" t="str">
        <f t="shared" si="1"/>
        <v>Consistent</v>
      </c>
      <c r="F29" t="str">
        <f t="shared" si="2"/>
        <v>High</v>
      </c>
      <c r="G29" t="str">
        <f t="shared" si="3"/>
        <v>HIGH</v>
      </c>
      <c r="H29">
        <v>1</v>
      </c>
      <c r="I29">
        <v>0</v>
      </c>
      <c r="J29">
        <v>1</v>
      </c>
      <c r="K29" t="s">
        <v>14</v>
      </c>
      <c r="L29" t="s">
        <v>14</v>
      </c>
    </row>
    <row r="30" ht="34" spans="1:12">
      <c r="A30" s="1" t="s">
        <v>44</v>
      </c>
      <c r="B30" t="s">
        <v>17</v>
      </c>
      <c r="C30" t="str">
        <f t="shared" si="0"/>
        <v>OS</v>
      </c>
      <c r="D30">
        <v>3</v>
      </c>
      <c r="E30" t="str">
        <f t="shared" si="1"/>
        <v>Inconsistent</v>
      </c>
      <c r="F30" t="str">
        <f t="shared" si="2"/>
        <v>Low</v>
      </c>
      <c r="G30" t="str">
        <f t="shared" si="3"/>
        <v>LOW</v>
      </c>
      <c r="H30">
        <v>0</v>
      </c>
      <c r="I30">
        <v>0</v>
      </c>
      <c r="J30">
        <v>1</v>
      </c>
      <c r="K30" t="s">
        <v>14</v>
      </c>
      <c r="L30" t="s">
        <v>14</v>
      </c>
    </row>
    <row r="31" ht="34" spans="1:12">
      <c r="A31" s="1" t="s">
        <v>45</v>
      </c>
      <c r="B31" t="s">
        <v>24</v>
      </c>
      <c r="C31" t="str">
        <f t="shared" si="0"/>
        <v>TS</v>
      </c>
      <c r="D31">
        <v>3</v>
      </c>
      <c r="E31" t="str">
        <f t="shared" si="1"/>
        <v>Consistent</v>
      </c>
      <c r="F31" t="str">
        <f t="shared" si="2"/>
        <v>High</v>
      </c>
      <c r="G31" t="str">
        <f t="shared" si="3"/>
        <v>HIGH</v>
      </c>
      <c r="H31">
        <v>0</v>
      </c>
      <c r="I31">
        <v>0</v>
      </c>
      <c r="J31">
        <v>1</v>
      </c>
      <c r="K31" t="s">
        <v>14</v>
      </c>
      <c r="L31" t="s">
        <v>14</v>
      </c>
    </row>
    <row r="32" ht="34" spans="1:12">
      <c r="A32" s="1" t="s">
        <v>46</v>
      </c>
      <c r="B32" t="s">
        <v>13</v>
      </c>
      <c r="C32" t="str">
        <f t="shared" si="0"/>
        <v>OS</v>
      </c>
      <c r="D32">
        <v>2</v>
      </c>
      <c r="E32" t="str">
        <f t="shared" si="1"/>
        <v>Inconsistent</v>
      </c>
      <c r="F32" t="str">
        <f t="shared" si="2"/>
        <v>Low</v>
      </c>
      <c r="G32" t="str">
        <f t="shared" si="3"/>
        <v>LOW</v>
      </c>
      <c r="H32">
        <v>1</v>
      </c>
      <c r="I32">
        <v>0</v>
      </c>
      <c r="J32">
        <v>1</v>
      </c>
      <c r="K32" t="s">
        <v>14</v>
      </c>
      <c r="L32" t="s">
        <v>14</v>
      </c>
    </row>
    <row r="33" ht="17" spans="1:12">
      <c r="A33" s="1" t="s">
        <v>47</v>
      </c>
      <c r="B33" t="s">
        <v>17</v>
      </c>
      <c r="C33" t="str">
        <f t="shared" si="0"/>
        <v>OS</v>
      </c>
      <c r="D33">
        <v>1</v>
      </c>
      <c r="E33" t="str">
        <f t="shared" si="1"/>
        <v>Consistent</v>
      </c>
      <c r="F33" t="str">
        <f t="shared" si="2"/>
        <v>Low</v>
      </c>
      <c r="G33" t="str">
        <f t="shared" si="3"/>
        <v>MODERATE</v>
      </c>
      <c r="H33">
        <v>0</v>
      </c>
      <c r="I33">
        <v>0</v>
      </c>
      <c r="J33">
        <v>1</v>
      </c>
      <c r="K33">
        <v>1</v>
      </c>
      <c r="L33" t="s">
        <v>14</v>
      </c>
    </row>
    <row r="34" ht="84" spans="1:12">
      <c r="A34" s="1" t="s">
        <v>48</v>
      </c>
      <c r="B34" t="s">
        <v>24</v>
      </c>
      <c r="C34" t="str">
        <f t="shared" si="0"/>
        <v>TS</v>
      </c>
      <c r="D34">
        <v>1</v>
      </c>
      <c r="E34" t="str">
        <f t="shared" si="1"/>
        <v>Inconsistent</v>
      </c>
      <c r="F34" t="str">
        <f t="shared" si="2"/>
        <v>High</v>
      </c>
      <c r="G34" t="str">
        <f t="shared" si="3"/>
        <v>MODERATE</v>
      </c>
      <c r="H34">
        <v>0</v>
      </c>
      <c r="I34">
        <v>0</v>
      </c>
      <c r="J34">
        <v>1</v>
      </c>
      <c r="K34" t="s">
        <v>14</v>
      </c>
      <c r="L34" t="s">
        <v>14</v>
      </c>
    </row>
    <row r="35" ht="34" spans="1:12">
      <c r="A35" s="1" t="s">
        <v>49</v>
      </c>
      <c r="B35" t="s">
        <v>17</v>
      </c>
      <c r="C35" t="str">
        <f t="shared" si="0"/>
        <v>OS</v>
      </c>
      <c r="D35">
        <v>1</v>
      </c>
      <c r="E35" t="str">
        <f t="shared" si="1"/>
        <v>Consistent</v>
      </c>
      <c r="F35" t="str">
        <f t="shared" si="2"/>
        <v>Low</v>
      </c>
      <c r="G35" t="str">
        <f t="shared" si="3"/>
        <v>MODERATE</v>
      </c>
      <c r="H35">
        <v>1</v>
      </c>
      <c r="I35">
        <v>0</v>
      </c>
      <c r="J35">
        <v>1</v>
      </c>
      <c r="K35" t="s">
        <v>14</v>
      </c>
      <c r="L35" t="s">
        <v>14</v>
      </c>
    </row>
    <row r="36" ht="17" spans="1:12">
      <c r="A36" s="1" t="s">
        <v>50</v>
      </c>
      <c r="B36" t="s">
        <v>24</v>
      </c>
      <c r="C36" t="str">
        <f t="shared" si="0"/>
        <v>TS</v>
      </c>
      <c r="D36">
        <v>1</v>
      </c>
      <c r="E36" t="str">
        <f t="shared" si="1"/>
        <v>Inconsistent</v>
      </c>
      <c r="F36" t="str">
        <f t="shared" si="2"/>
        <v>High</v>
      </c>
      <c r="G36" t="str">
        <f t="shared" si="3"/>
        <v>MODERATE</v>
      </c>
      <c r="H36">
        <v>0</v>
      </c>
      <c r="I36">
        <v>0</v>
      </c>
      <c r="J36">
        <v>1</v>
      </c>
      <c r="K36" t="s">
        <v>14</v>
      </c>
      <c r="L36" t="s">
        <v>14</v>
      </c>
    </row>
    <row r="37" ht="34" spans="1:12">
      <c r="A37" s="1" t="s">
        <v>51</v>
      </c>
      <c r="B37" t="s">
        <v>17</v>
      </c>
      <c r="C37" t="str">
        <f t="shared" si="0"/>
        <v>OS</v>
      </c>
      <c r="D37">
        <v>1</v>
      </c>
      <c r="E37" t="str">
        <f t="shared" si="1"/>
        <v>Consistent</v>
      </c>
      <c r="F37" t="str">
        <f t="shared" si="2"/>
        <v>Low</v>
      </c>
      <c r="G37" t="str">
        <f t="shared" si="3"/>
        <v>MODERATE</v>
      </c>
      <c r="H37">
        <v>0</v>
      </c>
      <c r="I37">
        <v>0</v>
      </c>
      <c r="J37">
        <v>1</v>
      </c>
      <c r="K37" t="s">
        <v>14</v>
      </c>
      <c r="L37" t="s">
        <v>14</v>
      </c>
    </row>
    <row r="38" ht="17" spans="1:12">
      <c r="A38" s="1" t="s">
        <v>52</v>
      </c>
      <c r="B38" t="s">
        <v>17</v>
      </c>
      <c r="C38" t="str">
        <f t="shared" si="0"/>
        <v>OS</v>
      </c>
      <c r="D38">
        <v>1</v>
      </c>
      <c r="E38" t="str">
        <f t="shared" si="1"/>
        <v>Consistent</v>
      </c>
      <c r="F38" t="str">
        <f t="shared" si="2"/>
        <v>Low</v>
      </c>
      <c r="G38" t="str">
        <f t="shared" si="3"/>
        <v>MODERATE</v>
      </c>
      <c r="H38">
        <v>0</v>
      </c>
      <c r="I38">
        <v>0</v>
      </c>
      <c r="J38">
        <v>1</v>
      </c>
      <c r="K38" t="s">
        <v>14</v>
      </c>
      <c r="L38" t="s">
        <v>14</v>
      </c>
    </row>
    <row r="39" ht="68" spans="1:12">
      <c r="A39" s="1" t="s">
        <v>53</v>
      </c>
      <c r="B39" t="s">
        <v>17</v>
      </c>
      <c r="C39" t="str">
        <f t="shared" si="0"/>
        <v>OS</v>
      </c>
      <c r="D39">
        <v>1</v>
      </c>
      <c r="E39" t="str">
        <f t="shared" si="1"/>
        <v>Consistent</v>
      </c>
      <c r="F39" t="str">
        <f t="shared" si="2"/>
        <v>Low</v>
      </c>
      <c r="G39" t="str">
        <f t="shared" si="3"/>
        <v>MODERATE</v>
      </c>
      <c r="H39">
        <v>0</v>
      </c>
      <c r="I39">
        <v>0</v>
      </c>
      <c r="J39">
        <v>1</v>
      </c>
      <c r="K39" t="s">
        <v>14</v>
      </c>
      <c r="L39" t="s">
        <v>14</v>
      </c>
    </row>
    <row r="40" ht="17" spans="1:12">
      <c r="A40" s="1" t="s">
        <v>54</v>
      </c>
      <c r="B40" t="s">
        <v>17</v>
      </c>
      <c r="C40" t="str">
        <f t="shared" si="0"/>
        <v>OS</v>
      </c>
      <c r="D40">
        <v>1</v>
      </c>
      <c r="E40" t="str">
        <f t="shared" si="1"/>
        <v>Consistent</v>
      </c>
      <c r="F40" t="str">
        <f t="shared" si="2"/>
        <v>Low</v>
      </c>
      <c r="G40" t="str">
        <f t="shared" si="3"/>
        <v>MODERATE</v>
      </c>
      <c r="H40">
        <v>0</v>
      </c>
      <c r="I40">
        <v>0</v>
      </c>
      <c r="J40">
        <v>1</v>
      </c>
      <c r="K40" t="s">
        <v>14</v>
      </c>
      <c r="L40" t="s">
        <v>14</v>
      </c>
    </row>
    <row r="41" ht="34" spans="1:12">
      <c r="A41" s="1" t="s">
        <v>55</v>
      </c>
      <c r="B41" t="s">
        <v>24</v>
      </c>
      <c r="C41" t="str">
        <f t="shared" si="0"/>
        <v>TS</v>
      </c>
      <c r="D41">
        <v>2</v>
      </c>
      <c r="E41" t="str">
        <f t="shared" si="1"/>
        <v>Partially Consistent</v>
      </c>
      <c r="F41" t="str">
        <f t="shared" si="2"/>
        <v>High</v>
      </c>
      <c r="G41" t="str">
        <f t="shared" si="3"/>
        <v>HIGH</v>
      </c>
      <c r="H41">
        <v>0</v>
      </c>
      <c r="I41">
        <v>0</v>
      </c>
      <c r="J41">
        <v>1</v>
      </c>
      <c r="K41" t="s">
        <v>14</v>
      </c>
      <c r="L41" t="s">
        <v>14</v>
      </c>
    </row>
    <row r="42" ht="34" spans="1:12">
      <c r="A42" s="1" t="s">
        <v>56</v>
      </c>
      <c r="B42" t="s">
        <v>24</v>
      </c>
      <c r="C42" t="str">
        <f>IF(B42="NEUTRAL","TS","OS")</f>
        <v>TS</v>
      </c>
      <c r="D42">
        <v>1</v>
      </c>
      <c r="E42" t="str">
        <f>IF(C42="TS",IF(D42=3,"Consistent",IF(OR(D42=2,D42=4),"Partially Consistent","Inconsistent")),IF(D42=3,"Inconsistent",IF(AND(D42=5,B42="POSITIVE"),"Consistent",IF(AND(D42=1,B42="NEGATIVE"),"Consistent",IF(AND(D42=4,B42="POSITIVE"),"Partially Consistent",IF(AND(D42=2,B42="NEGATIVE"),"Partially Consistent","Inconsistent"))))))</f>
        <v>Inconsistent</v>
      </c>
      <c r="F42" t="str">
        <f>IF(C42="TS","High","Low")</f>
        <v>High</v>
      </c>
      <c r="G42" t="str">
        <f>IF(AND(B42="NEUTRAL",F42="Low"),"LOW",IF(AND(C42="TS",F42="High",D42=3),"HIGH",IF(AND(C42="TS",F42="High",OR(D42=2,D42=4)),"HIGH",IF(AND(C42="TS",F42="High",OR(D42=1,D42=5)),"MODERATE",IF(AND(C42="OS",E42="Consistent",OR(D42=1,D42=5)),"MODERATE",IF(AND(C42="OS",E42="Partially Consistent",OR(D42=2,D42=4)),"MODERATE","LOW"))))))</f>
        <v>MODERATE</v>
      </c>
      <c r="H42">
        <v>0</v>
      </c>
      <c r="I42">
        <v>0</v>
      </c>
      <c r="J42">
        <v>1</v>
      </c>
      <c r="K42" t="s">
        <v>14</v>
      </c>
      <c r="L42" t="s">
        <v>14</v>
      </c>
    </row>
    <row r="43" ht="34" spans="1:12">
      <c r="A43" s="1" t="s">
        <v>57</v>
      </c>
      <c r="B43" t="s">
        <v>17</v>
      </c>
      <c r="C43" t="str">
        <f>IF(B43="NEUTRAL","TS","OS")</f>
        <v>OS</v>
      </c>
      <c r="D43">
        <v>1</v>
      </c>
      <c r="E43" t="str">
        <f>IF(C43="TS",IF(D43=3,"Consistent",IF(OR(D43=2,D43=4),"Partially Consistent","Inconsistent")),IF(D43=3,"Inconsistent",IF(AND(D43=5,B43="POSITIVE"),"Consistent",IF(AND(D43=1,B43="NEGATIVE"),"Consistent",IF(AND(D43=4,B43="POSITIVE"),"Partially Consistent",IF(AND(D43=2,B43="NEGATIVE"),"Partially Consistent","Inconsistent"))))))</f>
        <v>Consistent</v>
      </c>
      <c r="F43" t="str">
        <f>IF(C43="TS","High","Low")</f>
        <v>Low</v>
      </c>
      <c r="G43" t="str">
        <f>IF(AND(B43="NEUTRAL",F43="Low"),"LOW",IF(AND(C43="TS",F43="High",D43=3),"HIGH",IF(AND(C43="TS",F43="High",OR(D43=2,D43=4)),"HIGH",IF(AND(C43="TS",F43="High",OR(D43=1,D43=5)),"MODERATE",IF(AND(C43="OS",E43="Consistent",OR(D43=1,D43=5)),"MODERATE",IF(AND(C43="OS",E43="Partially Consistent",OR(D43=2,D43=4)),"MODERATE","LOW"))))))</f>
        <v>MODERATE</v>
      </c>
      <c r="H43">
        <v>0</v>
      </c>
      <c r="I43">
        <v>0</v>
      </c>
      <c r="J43">
        <v>1</v>
      </c>
      <c r="K43" t="s">
        <v>14</v>
      </c>
      <c r="L43"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2025-05-23T11:41:00Z</dcterms:created>
  <dcterms:modified xsi:type="dcterms:W3CDTF">2025-05-23T19:31:32Z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11E28D0165CFEFB0945C30689735C817_42</vt:lpwstr>
  </property>
  <property fmtid="{D5CDD505-2E9C-101B-9397-08002B2CF9AE}" pid="4" name="KSOProductBuildVer">
    <vt:lpwstr>1033-6.13.1.8710</vt:lpwstr>
  </property>
</Properties>
</file>