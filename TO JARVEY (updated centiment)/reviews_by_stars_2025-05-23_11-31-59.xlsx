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<sst xmlns="http://schemas.openxmlformats.org/spreadsheetml/2006/main" count="208" uniqueCount="58">
  <si>
    <t>Review</t>
  </si>
  <si>
    <t>Sentiment</t>
  </si>
  <si>
    <t>Sidedness</t>
  </si>
  <si>
    <t>Star Rating</t>
  </si>
  <si>
    <t>Consistency</t>
  </si>
  <si>
    <t>Info Diversity</t>
  </si>
  <si>
    <t>PERCEIVED HELPFULNESS</t>
  </si>
  <si>
    <t>PD_F</t>
  </si>
  <si>
    <t>PD_F_TMP</t>
  </si>
  <si>
    <t>MAN_UI</t>
  </si>
  <si>
    <t>SPM</t>
  </si>
  <si>
    <t>CREDIBILITY</t>
  </si>
  <si>
    <t>the usb connection is convenient and reliable. , the laser technology enhances accuracy. , the design is sleek and stylish. , the upgraded version is amazing! ,</t>
  </si>
  <si>
    <t>POSITIVE</t>
  </si>
  <si>
    <t/>
  </si>
  <si>
    <t>the design is sleek and stylish. , the 7-day warranty gives peace of mind. , love the rgb backlight! , the upgraded version is amazing! , the laser technology enhances accuracy. , the usb connection is convenient and reliable. ,</t>
  </si>
  <si>
    <t>precision: fits user' s preference ergonomics: comfortable customization: can turn off rgb when wanted, love the rgb backlight! surprisingly smooth, dpi is legit, and the wire doesn' t get in the way. unless you want a silent mouse, i' d recommend you buying this one.</t>
  </si>
  <si>
    <t>the 7-day warranty gives peace of mind. , the 7-day warranty gives peace of mind. , the beez-hive shape provides a comfortable grip. , the design is sleek and stylish. , the laser technology enhances accuracy. , the upgraded version is amazing! , the usb connection is convenient and reliable. , love the rgb backlight! ,</t>
  </si>
  <si>
    <t>no bubble wrap, poor item safety that' s why it got broke during delivery</t>
  </si>
  <si>
    <t>NEGATIVE</t>
  </si>
  <si>
    <t>love the rgb backlight! , the upgraded version is amazing! , the design is sleek and stylish. , the beez-hive shape provides a comfortable grip. ,</t>
  </si>
  <si>
    <t>love the rgb backlight! , the laser technology enhances accuracy. , the design is sleek and stylish. , the upgraded version is amazing! ,</t>
  </si>
  <si>
    <t>love the rgb backlight! , the beez-hive shape provides a comfortable grip. , precision: 10/10 ergonomics: 10/10 customization: 10/10</t>
  </si>
  <si>
    <t>the upgraded version is amazing! , the beez-hive shape provides a comfortable grip. , the design is sleek and stylish. ,</t>
  </si>
  <si>
    <t>magaan yung mouse maganda din yung wired cover kahit siguro maiipit di basta maddamage yung cord</t>
  </si>
  <si>
    <t>mabait driver, sulit pero nasira agad in 2 days. siguro malakas lng tlga ko mag butterfly click pero di na nagreregjster left click tas right click madalas double click. overall maganda mouse pero dapat ingatan pag click.</t>
  </si>
  <si>
    <t>NEUTRAL</t>
  </si>
  <si>
    <t>its good ngl, but i' ll give it a 4 star rating just because my order wasn' t wrapped with bubble wrap so the packaging is all dented and crumpled, that said the product still works.</t>
  </si>
  <si>
    <t>functionality: meowiejowiwjsjjsjwiqiueudhhajajheqoqouwhehwjwiiwueuehwhmissumyk/ quality: goods material: fine ahh</t>
  </si>
  <si>
    <t>Low</t>
  </si>
  <si>
    <t>maganda naman. may color changer din at dpi good for gaming. sakto lang din sa kamay at may butas design maganda iwas finger print. matagal ngalang delivery so 4. what you see what you get.</t>
  </si>
  <si>
    <t>the overall product is good but the scroll wheel button doesn' t function quite well functionality: doesn' t scroll properly quality: good material: good</t>
  </si>
  <si>
    <t>quality: good quality, lightweight mouse. good for gaming with high dps alongside it</t>
  </si>
  <si>
    <t>goods good</t>
  </si>
  <si>
    <t>product working fine. wrong item received but used it anyways, we need mouse anyway. thank you</t>
  </si>
  <si>
    <t>legit. no scam. okay naman yung mouse, maganda, tama lang din yung rgb niya di ganun kabright. tapos konti lang yung color choice. malaki yung mouse, okay para sa malalaki yung kamay. (tho maliit lang kamay ko pero okay pa din naman)</t>
  </si>
  <si>
    <t>bat wlang bubble wrap? kahit one layer i mean oo sale pero well anyways it does its purpose tyaka ung sale kuno is not totally sale ganon tlaga price nya and its not the zeus one its a complete ripped off brand so if you' re trying to find a mouse na pang gaming tlga i suggest na taasan mona lng rin budget mo kung mga pang valo and such lalaruin mo ok na to pamalit malit sa mouse kong mamahalin it does it' s purpose pero wlang bubble wrap mabilis lng nadeliver</t>
  </si>
  <si>
    <t>the mouse quality was good but the packaging was bad, it arrived to me with the box partially destroyed and not even covered in bubble wrap. i even paid the 13 pesos item protection. . .</t>
  </si>
  <si>
    <t>open na yung nox nung pag bukas ko ng plastic. 1 week lang nakalipas sira na di maayos pag kaka kabit ng wire kaya mali mali sensitivity settings nya di magamit ng maayos kasi di naman sumusunod yung cursor kung saan sya dapat pumunta</t>
  </si>
  <si>
    <t>order received but gave me the wrong mouse but its better i guess</t>
  </si>
  <si>
    <t>material: bad material mesh gaspang masyado tapos sensitive kapag ang material kapag wet.</t>
  </si>
  <si>
    <t>nag dodouble click or pumapalya after 2 weeks of using</t>
  </si>
  <si>
    <t>received it immediately, bilis ng shipping. no bubble wrap, nilagay lang sa plastic yung box. pero gumagana naman nung tinest.</t>
  </si>
  <si>
    <t>mouse order ko hindi marakas! found a loose part inside. made sure the device is working before making this review.</t>
  </si>
  <si>
    <t>all goods naman yung item pero ang inorder ko yung beez hive. solid mouse yung na receceive ko bat kaya? ? ? pls response naman bat ganun</t>
  </si>
  <si>
    <t>received na naka-open at yupi ang box. may umaalog din sa loob, yun pala yung zeus cover ng led light sa loob. gumagana pa rin naman.</t>
  </si>
  <si>
    <t>sakto lang para sa price. yung mouse wheel di pala talaga umiiilaw kaya 3 stars lang kasi misleading yung pics nung products</t>
  </si>
  <si>
    <t>nakakawang ung left click nya kailangan pang diinan para maclick</t>
  </si>
  <si>
    <t>4 binili ko lahat may issue, double click / matigas e scroll. .</t>
  </si>
  <si>
    <t>qualityokay naman sya kaso kailangan ko pa sayang pindotin ng maraming beses para gumana. functionality</t>
  </si>
  <si>
    <t>iba yung isang binigay. ok lng sana pero di gumagana</t>
  </si>
  <si>
    <t>bilis mag miss click. lingo lng miss click na.</t>
  </si>
  <si>
    <t>wala pang 1week nag fefail na yung right click hahahaha</t>
  </si>
  <si>
    <t>pag inangat ung mouse nag wawala ung mouse.</t>
  </si>
  <si>
    <t>need for seller to deliver right item i ordered.</t>
  </si>
  <si>
    <t>functionality: bad</t>
  </si>
  <si>
    <t>nung una 5 star eh kaso ngayon ko lang na pansin ewan ko kung saken lang ha pero kase yung pang 4th mode nung light effect nya may naiiwang part tulad dyan sa pic galing red mag fafade papuntang purple pero yung isang part red parin ganun din sa ibang kulay. update: nag malfuntion yung right button nya ewan ko kung dahil sa pag lalaro ko ng league pero kase hindi naman dapat ganon ka bilis masira kahit sabihin mong" pang fps lang sya" lol gusto ko sana ng replacement</t>
  </si>
  <si>
    <t>pagbukas palan ng item bukas na ung box tas baliko ung usb port kaya hindi maconnect. parefund sayang lang pera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</si>
</sst>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tabSelected="1" topLeftCell="A35" workbookViewId="0">
      <selection activeCell="B51" sqref="B51"/>
    </sheetView>
  </sheetViews>
  <sheetFormatPr defaultColWidth="9" defaultRowHeight="16.8"/>
  <cols>
    <col min="1" max="1" width="80.734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0</v>
      </c>
      <c r="I2">
        <v>1</v>
      </c>
      <c r="J2">
        <v>0</v>
      </c>
      <c r="K2" t="s">
        <v>14</v>
      </c>
      <c r="L2" t="s">
        <v>14</v>
      </c>
    </row>
    <row r="3" ht="51" spans="1:12">
      <c r="A3" s="1" t="s">
        <v>15</v>
      </c>
      <c r="B3" t="s">
        <v>13</v>
      </c>
      <c r="C3" t="str">
        <f t="shared" si="0"/>
        <v>OS</v>
      </c>
      <c r="D3">
        <v>5</v>
      </c>
      <c r="E3" t="str">
        <f t="shared" si="1"/>
        <v>Consistent</v>
      </c>
      <c r="F3" t="str">
        <f t="shared" si="2"/>
        <v>Low</v>
      </c>
      <c r="G3" t="str">
        <f t="shared" si="3"/>
        <v>MODERATE</v>
      </c>
      <c r="H3">
        <v>0</v>
      </c>
      <c r="I3">
        <v>1</v>
      </c>
      <c r="J3">
        <v>0</v>
      </c>
      <c r="K3" t="s">
        <v>14</v>
      </c>
      <c r="L3" t="s">
        <v>14</v>
      </c>
    </row>
    <row r="4" ht="51" spans="1:12">
      <c r="A4" s="1" t="s">
        <v>16</v>
      </c>
      <c r="B4" t="s">
        <v>13</v>
      </c>
      <c r="C4" t="str">
        <f t="shared" si="0"/>
        <v>OS</v>
      </c>
      <c r="D4">
        <v>5</v>
      </c>
      <c r="E4" t="str">
        <f t="shared" si="1"/>
        <v>Consistent</v>
      </c>
      <c r="F4" t="str">
        <f t="shared" si="2"/>
        <v>Low</v>
      </c>
      <c r="G4" t="str">
        <f t="shared" si="3"/>
        <v>MODERATE</v>
      </c>
      <c r="H4">
        <v>1</v>
      </c>
      <c r="I4">
        <v>1</v>
      </c>
      <c r="J4">
        <v>1</v>
      </c>
      <c r="K4" t="s">
        <v>14</v>
      </c>
      <c r="L4" t="s">
        <v>14</v>
      </c>
    </row>
    <row r="5" ht="68" spans="1:12">
      <c r="A5" s="1" t="s">
        <v>17</v>
      </c>
      <c r="B5" t="s">
        <v>13</v>
      </c>
      <c r="C5" t="str">
        <f t="shared" si="0"/>
        <v>OS</v>
      </c>
      <c r="D5">
        <v>5</v>
      </c>
      <c r="E5" t="str">
        <f t="shared" si="1"/>
        <v>Consistent</v>
      </c>
      <c r="F5" t="str">
        <f t="shared" si="2"/>
        <v>Low</v>
      </c>
      <c r="G5" t="str">
        <f t="shared" si="3"/>
        <v>MODERATE</v>
      </c>
      <c r="H5">
        <v>0</v>
      </c>
      <c r="I5">
        <v>1</v>
      </c>
      <c r="J5">
        <v>1</v>
      </c>
      <c r="K5" t="s">
        <v>14</v>
      </c>
      <c r="L5" t="s">
        <v>14</v>
      </c>
    </row>
    <row r="6" ht="17" spans="1:12">
      <c r="A6" s="1" t="s">
        <v>18</v>
      </c>
      <c r="B6" t="s">
        <v>19</v>
      </c>
      <c r="C6" t="str">
        <f t="shared" si="0"/>
        <v>OS</v>
      </c>
      <c r="D6">
        <v>5</v>
      </c>
      <c r="E6" t="str">
        <f t="shared" si="1"/>
        <v>Inconsistent</v>
      </c>
      <c r="F6" t="str">
        <f t="shared" si="2"/>
        <v>Low</v>
      </c>
      <c r="G6" t="str">
        <f t="shared" si="3"/>
        <v>LOW</v>
      </c>
      <c r="H6">
        <v>0</v>
      </c>
      <c r="I6">
        <v>0</v>
      </c>
      <c r="J6">
        <v>1</v>
      </c>
      <c r="K6" t="s">
        <v>14</v>
      </c>
      <c r="L6" t="s">
        <v>14</v>
      </c>
    </row>
    <row r="7" ht="34" spans="1:12">
      <c r="A7" s="1" t="s">
        <v>20</v>
      </c>
      <c r="B7" t="s">
        <v>13</v>
      </c>
      <c r="C7" t="str">
        <f t="shared" si="0"/>
        <v>OS</v>
      </c>
      <c r="D7">
        <v>5</v>
      </c>
      <c r="E7" t="str">
        <f t="shared" si="1"/>
        <v>Consistent</v>
      </c>
      <c r="F7" t="str">
        <f t="shared" si="2"/>
        <v>Low</v>
      </c>
      <c r="G7" t="str">
        <f t="shared" si="3"/>
        <v>MODERATE</v>
      </c>
      <c r="H7">
        <v>0</v>
      </c>
      <c r="I7">
        <v>1</v>
      </c>
      <c r="J7">
        <v>0</v>
      </c>
      <c r="K7" t="s">
        <v>14</v>
      </c>
      <c r="L7" t="s">
        <v>14</v>
      </c>
    </row>
    <row r="8" ht="34" spans="1:12">
      <c r="A8" s="1" t="s">
        <v>21</v>
      </c>
      <c r="B8" t="s">
        <v>13</v>
      </c>
      <c r="C8" t="str">
        <f t="shared" si="0"/>
        <v>OS</v>
      </c>
      <c r="D8">
        <v>5</v>
      </c>
      <c r="E8" t="str">
        <f t="shared" si="1"/>
        <v>Consistent</v>
      </c>
      <c r="F8" t="str">
        <f t="shared" si="2"/>
        <v>Low</v>
      </c>
      <c r="G8" t="str">
        <f t="shared" si="3"/>
        <v>MODERATE</v>
      </c>
      <c r="H8">
        <v>0</v>
      </c>
      <c r="I8">
        <v>1</v>
      </c>
      <c r="J8">
        <v>0</v>
      </c>
      <c r="K8" t="s">
        <v>14</v>
      </c>
      <c r="L8" t="s">
        <v>14</v>
      </c>
    </row>
    <row r="9" ht="34" spans="1:12">
      <c r="A9" s="1" t="s">
        <v>22</v>
      </c>
      <c r="B9" t="s">
        <v>13</v>
      </c>
      <c r="C9" t="str">
        <f t="shared" si="0"/>
        <v>OS</v>
      </c>
      <c r="D9">
        <v>5</v>
      </c>
      <c r="E9" t="str">
        <f t="shared" si="1"/>
        <v>Consistent</v>
      </c>
      <c r="F9" t="str">
        <f t="shared" si="2"/>
        <v>Low</v>
      </c>
      <c r="G9" t="str">
        <f t="shared" si="3"/>
        <v>MODERATE</v>
      </c>
      <c r="H9">
        <v>1</v>
      </c>
      <c r="I9">
        <v>1</v>
      </c>
      <c r="J9">
        <v>1</v>
      </c>
      <c r="K9" t="s">
        <v>14</v>
      </c>
      <c r="L9" t="s">
        <v>14</v>
      </c>
    </row>
    <row r="10" ht="34" spans="1:12">
      <c r="A10" s="1" t="s">
        <v>23</v>
      </c>
      <c r="B10" t="s">
        <v>13</v>
      </c>
      <c r="C10" t="str">
        <f t="shared" si="0"/>
        <v>OS</v>
      </c>
      <c r="D10">
        <v>5</v>
      </c>
      <c r="E10" t="str">
        <f t="shared" si="1"/>
        <v>Consistent</v>
      </c>
      <c r="F10" t="str">
        <f t="shared" si="2"/>
        <v>Low</v>
      </c>
      <c r="G10" t="str">
        <f t="shared" si="3"/>
        <v>MODERATE</v>
      </c>
      <c r="H10">
        <v>0</v>
      </c>
      <c r="I10">
        <v>1</v>
      </c>
      <c r="J10">
        <v>0</v>
      </c>
      <c r="K10" t="s">
        <v>14</v>
      </c>
      <c r="L10" t="s">
        <v>14</v>
      </c>
    </row>
    <row r="11" ht="34" spans="1:12">
      <c r="A11" s="1" t="s">
        <v>24</v>
      </c>
      <c r="B11" t="s">
        <v>13</v>
      </c>
      <c r="C11" t="str">
        <f t="shared" si="0"/>
        <v>OS</v>
      </c>
      <c r="D11">
        <v>5</v>
      </c>
      <c r="E11" t="str">
        <f t="shared" si="1"/>
        <v>Consistent</v>
      </c>
      <c r="F11" t="str">
        <f t="shared" si="2"/>
        <v>Low</v>
      </c>
      <c r="G11" t="str">
        <f t="shared" si="3"/>
        <v>MODERATE</v>
      </c>
      <c r="H11">
        <v>0</v>
      </c>
      <c r="I11">
        <v>0</v>
      </c>
      <c r="J11">
        <v>1</v>
      </c>
      <c r="K11" t="s">
        <v>14</v>
      </c>
      <c r="L11" t="s">
        <v>14</v>
      </c>
    </row>
    <row r="12" ht="51" spans="1:12">
      <c r="A12" s="1" t="s">
        <v>25</v>
      </c>
      <c r="B12" t="s">
        <v>26</v>
      </c>
      <c r="C12" t="str">
        <f t="shared" si="0"/>
        <v>TS</v>
      </c>
      <c r="D12">
        <v>4</v>
      </c>
      <c r="E12" t="str">
        <f t="shared" si="1"/>
        <v>Partially Consistent</v>
      </c>
      <c r="F12" t="str">
        <f t="shared" si="2"/>
        <v>High</v>
      </c>
      <c r="G12" t="str">
        <f t="shared" si="3"/>
        <v>HIGH</v>
      </c>
      <c r="H12">
        <v>0</v>
      </c>
      <c r="I12">
        <v>0</v>
      </c>
      <c r="J12">
        <v>1</v>
      </c>
      <c r="K12" t="s">
        <v>14</v>
      </c>
      <c r="L12" t="s">
        <v>14</v>
      </c>
    </row>
    <row r="13" ht="34" spans="1:12">
      <c r="A13" s="1" t="s">
        <v>27</v>
      </c>
      <c r="B13" t="s">
        <v>26</v>
      </c>
      <c r="C13" t="str">
        <f t="shared" si="0"/>
        <v>TS</v>
      </c>
      <c r="D13">
        <v>4</v>
      </c>
      <c r="E13" t="str">
        <f t="shared" si="1"/>
        <v>Partially Consistent</v>
      </c>
      <c r="F13" t="str">
        <f t="shared" si="2"/>
        <v>High</v>
      </c>
      <c r="G13" t="str">
        <f t="shared" si="3"/>
        <v>HIGH</v>
      </c>
      <c r="H13">
        <v>0</v>
      </c>
      <c r="I13">
        <v>0</v>
      </c>
      <c r="J13">
        <v>1</v>
      </c>
      <c r="K13" t="s">
        <v>14</v>
      </c>
      <c r="L13" t="s">
        <v>14</v>
      </c>
    </row>
    <row r="14" ht="34" spans="1:12">
      <c r="A14" s="1" t="s">
        <v>28</v>
      </c>
      <c r="B14" t="s">
        <v>26</v>
      </c>
      <c r="C14" t="str">
        <f t="shared" si="0"/>
        <v>TS</v>
      </c>
      <c r="D14">
        <v>4</v>
      </c>
      <c r="E14" t="str">
        <f t="shared" si="1"/>
        <v>Partially Consistent</v>
      </c>
      <c r="F14" t="s">
        <v>29</v>
      </c>
      <c r="G14" t="str">
        <f t="shared" si="3"/>
        <v>LOW</v>
      </c>
      <c r="H14">
        <v>1</v>
      </c>
      <c r="I14">
        <v>0</v>
      </c>
      <c r="J14">
        <v>1</v>
      </c>
      <c r="K14">
        <v>1</v>
      </c>
      <c r="L14" t="s">
        <v>14</v>
      </c>
    </row>
    <row r="15" ht="34" spans="1:12">
      <c r="A15" s="1" t="s">
        <v>30</v>
      </c>
      <c r="B15" t="s">
        <v>13</v>
      </c>
      <c r="C15" t="str">
        <f t="shared" si="0"/>
        <v>OS</v>
      </c>
      <c r="D15">
        <v>4</v>
      </c>
      <c r="E15" t="str">
        <f t="shared" si="1"/>
        <v>Partially Consistent</v>
      </c>
      <c r="F15" t="str">
        <f t="shared" si="2"/>
        <v>Low</v>
      </c>
      <c r="G15" t="str">
        <f t="shared" si="3"/>
        <v>MODERATE</v>
      </c>
      <c r="H15">
        <v>0</v>
      </c>
      <c r="I15">
        <v>0</v>
      </c>
      <c r="J15">
        <v>1</v>
      </c>
      <c r="K15" t="s">
        <v>14</v>
      </c>
      <c r="L15" t="s">
        <v>14</v>
      </c>
    </row>
    <row r="16" ht="34" spans="1:12">
      <c r="A16" s="1" t="s">
        <v>31</v>
      </c>
      <c r="B16" t="s">
        <v>26</v>
      </c>
      <c r="C16" t="str">
        <f t="shared" si="0"/>
        <v>TS</v>
      </c>
      <c r="D16">
        <v>4</v>
      </c>
      <c r="E16" t="str">
        <f t="shared" si="1"/>
        <v>Partially Consistent</v>
      </c>
      <c r="F16" t="str">
        <f t="shared" si="2"/>
        <v>High</v>
      </c>
      <c r="G16" t="str">
        <f t="shared" si="3"/>
        <v>HIGH</v>
      </c>
      <c r="H16">
        <v>1</v>
      </c>
      <c r="I16">
        <v>0</v>
      </c>
      <c r="J16">
        <v>1</v>
      </c>
      <c r="K16" t="s">
        <v>14</v>
      </c>
      <c r="L16" t="s">
        <v>14</v>
      </c>
    </row>
    <row r="17" ht="17" spans="1:12">
      <c r="A17" s="1" t="s">
        <v>32</v>
      </c>
      <c r="B17" t="s">
        <v>13</v>
      </c>
      <c r="C17" t="str">
        <f t="shared" si="0"/>
        <v>OS</v>
      </c>
      <c r="D17">
        <v>4</v>
      </c>
      <c r="E17" t="str">
        <f t="shared" si="1"/>
        <v>Partially Consistent</v>
      </c>
      <c r="F17" t="str">
        <f t="shared" si="2"/>
        <v>Low</v>
      </c>
      <c r="G17" t="str">
        <f t="shared" si="3"/>
        <v>MODERATE</v>
      </c>
      <c r="H17">
        <v>1</v>
      </c>
      <c r="I17">
        <v>0</v>
      </c>
      <c r="J17">
        <v>1</v>
      </c>
      <c r="K17" t="s">
        <v>14</v>
      </c>
      <c r="L17" t="s">
        <v>14</v>
      </c>
    </row>
    <row r="18" ht="17" spans="1:12">
      <c r="A18" s="1" t="s">
        <v>33</v>
      </c>
      <c r="B18" t="s">
        <v>13</v>
      </c>
      <c r="C18" t="str">
        <f t="shared" si="0"/>
        <v>OS</v>
      </c>
      <c r="D18">
        <v>4</v>
      </c>
      <c r="E18" t="str">
        <f t="shared" si="1"/>
        <v>Partially Consistent</v>
      </c>
      <c r="F18" t="str">
        <f t="shared" si="2"/>
        <v>Low</v>
      </c>
      <c r="G18" t="str">
        <f t="shared" si="3"/>
        <v>MODERATE</v>
      </c>
      <c r="H18">
        <v>0</v>
      </c>
      <c r="I18">
        <v>0</v>
      </c>
      <c r="J18">
        <v>1</v>
      </c>
      <c r="K18" t="s">
        <v>14</v>
      </c>
      <c r="L18" t="s">
        <v>14</v>
      </c>
    </row>
    <row r="19" ht="17" spans="1:12">
      <c r="A19" s="1" t="s">
        <v>34</v>
      </c>
      <c r="B19" t="s">
        <v>26</v>
      </c>
      <c r="C19" t="str">
        <f t="shared" si="0"/>
        <v>TS</v>
      </c>
      <c r="D19">
        <v>4</v>
      </c>
      <c r="E19" t="str">
        <f t="shared" si="1"/>
        <v>Partially Consistent</v>
      </c>
      <c r="F19" t="str">
        <f t="shared" si="2"/>
        <v>High</v>
      </c>
      <c r="G19" t="str">
        <f t="shared" si="3"/>
        <v>HIGH</v>
      </c>
      <c r="H19">
        <v>0</v>
      </c>
      <c r="I19">
        <v>0</v>
      </c>
      <c r="J19">
        <v>1</v>
      </c>
      <c r="K19" t="s">
        <v>14</v>
      </c>
      <c r="L19" t="s">
        <v>14</v>
      </c>
    </row>
    <row r="20" ht="51" spans="1:12">
      <c r="A20" s="1" t="s">
        <v>35</v>
      </c>
      <c r="B20" t="s">
        <v>26</v>
      </c>
      <c r="C20" t="str">
        <f t="shared" si="0"/>
        <v>TS</v>
      </c>
      <c r="D20">
        <v>4</v>
      </c>
      <c r="E20" t="str">
        <f t="shared" si="1"/>
        <v>Partially Consistent</v>
      </c>
      <c r="F20" t="str">
        <f t="shared" si="2"/>
        <v>High</v>
      </c>
      <c r="G20" t="str">
        <f t="shared" si="3"/>
        <v>HIGH</v>
      </c>
      <c r="H20">
        <v>0</v>
      </c>
      <c r="I20">
        <v>0</v>
      </c>
      <c r="J20">
        <v>1</v>
      </c>
      <c r="K20" t="s">
        <v>14</v>
      </c>
      <c r="L20" t="s">
        <v>14</v>
      </c>
    </row>
    <row r="21" ht="84" spans="1:12">
      <c r="A21" s="1" t="s">
        <v>36</v>
      </c>
      <c r="B21" t="s">
        <v>26</v>
      </c>
      <c r="C21" t="str">
        <f t="shared" si="0"/>
        <v>TS</v>
      </c>
      <c r="D21">
        <v>4</v>
      </c>
      <c r="E21" t="str">
        <f t="shared" si="1"/>
        <v>Partially Consistent</v>
      </c>
      <c r="F21" t="str">
        <f t="shared" si="2"/>
        <v>High</v>
      </c>
      <c r="G21" t="str">
        <f t="shared" si="3"/>
        <v>HIGH</v>
      </c>
      <c r="H21">
        <v>0</v>
      </c>
      <c r="I21">
        <v>0</v>
      </c>
      <c r="J21">
        <v>1</v>
      </c>
      <c r="K21" t="s">
        <v>14</v>
      </c>
      <c r="L21" t="s">
        <v>14</v>
      </c>
    </row>
    <row r="22" ht="34" spans="1:12">
      <c r="A22" s="1" t="s">
        <v>37</v>
      </c>
      <c r="B22" t="s">
        <v>26</v>
      </c>
      <c r="C22" t="str">
        <f t="shared" si="0"/>
        <v>TS</v>
      </c>
      <c r="D22">
        <v>3</v>
      </c>
      <c r="E22" t="str">
        <f t="shared" si="1"/>
        <v>Consistent</v>
      </c>
      <c r="F22" t="str">
        <f t="shared" si="2"/>
        <v>High</v>
      </c>
      <c r="G22" t="str">
        <f t="shared" si="3"/>
        <v>HIGH</v>
      </c>
      <c r="H22">
        <v>0</v>
      </c>
      <c r="I22">
        <v>0</v>
      </c>
      <c r="J22">
        <v>1</v>
      </c>
      <c r="K22" t="s">
        <v>14</v>
      </c>
      <c r="L22" t="s">
        <v>14</v>
      </c>
    </row>
    <row r="23" ht="51" spans="1:12">
      <c r="A23" s="1" t="s">
        <v>38</v>
      </c>
      <c r="B23" t="s">
        <v>19</v>
      </c>
      <c r="C23" t="str">
        <f t="shared" si="0"/>
        <v>OS</v>
      </c>
      <c r="D23">
        <v>3</v>
      </c>
      <c r="E23" t="str">
        <f t="shared" si="1"/>
        <v>Inconsistent</v>
      </c>
      <c r="F23" t="str">
        <f t="shared" si="2"/>
        <v>Low</v>
      </c>
      <c r="G23" t="str">
        <f t="shared" si="3"/>
        <v>LOW</v>
      </c>
      <c r="H23">
        <v>0</v>
      </c>
      <c r="I23">
        <v>0</v>
      </c>
      <c r="J23">
        <v>1</v>
      </c>
      <c r="K23" t="s">
        <v>14</v>
      </c>
      <c r="L23" t="s">
        <v>14</v>
      </c>
    </row>
    <row r="24" ht="17" spans="1:12">
      <c r="A24" s="1" t="s">
        <v>39</v>
      </c>
      <c r="B24" t="s">
        <v>26</v>
      </c>
      <c r="C24" t="str">
        <f t="shared" si="0"/>
        <v>TS</v>
      </c>
      <c r="D24">
        <v>3</v>
      </c>
      <c r="E24" t="str">
        <f t="shared" si="1"/>
        <v>Consistent</v>
      </c>
      <c r="F24" t="str">
        <f t="shared" si="2"/>
        <v>High</v>
      </c>
      <c r="G24" t="str">
        <f t="shared" si="3"/>
        <v>HIGH</v>
      </c>
      <c r="H24">
        <v>0</v>
      </c>
      <c r="I24">
        <v>0</v>
      </c>
      <c r="J24">
        <v>1</v>
      </c>
      <c r="K24" t="s">
        <v>14</v>
      </c>
      <c r="L24" t="s">
        <v>14</v>
      </c>
    </row>
    <row r="25" ht="17" spans="1:12">
      <c r="A25" s="1" t="s">
        <v>40</v>
      </c>
      <c r="B25" t="s">
        <v>19</v>
      </c>
      <c r="C25" t="str">
        <f t="shared" si="0"/>
        <v>OS</v>
      </c>
      <c r="D25">
        <v>3</v>
      </c>
      <c r="E25" t="str">
        <f t="shared" si="1"/>
        <v>Inconsistent</v>
      </c>
      <c r="F25" t="str">
        <f t="shared" si="2"/>
        <v>Low</v>
      </c>
      <c r="G25" t="str">
        <f t="shared" si="3"/>
        <v>LOW</v>
      </c>
      <c r="H25">
        <v>1</v>
      </c>
      <c r="I25">
        <v>0</v>
      </c>
      <c r="J25">
        <v>1</v>
      </c>
      <c r="K25" t="s">
        <v>14</v>
      </c>
      <c r="L25" t="s">
        <v>14</v>
      </c>
    </row>
    <row r="26" ht="17" spans="1:12">
      <c r="A26" s="1" t="s">
        <v>41</v>
      </c>
      <c r="B26" t="s">
        <v>19</v>
      </c>
      <c r="C26" t="str">
        <f t="shared" si="0"/>
        <v>OS</v>
      </c>
      <c r="D26">
        <v>3</v>
      </c>
      <c r="E26" t="str">
        <f t="shared" si="1"/>
        <v>Inconsistent</v>
      </c>
      <c r="F26" t="str">
        <f t="shared" si="2"/>
        <v>Low</v>
      </c>
      <c r="G26" t="str">
        <f t="shared" si="3"/>
        <v>LOW</v>
      </c>
      <c r="H26">
        <v>0</v>
      </c>
      <c r="I26">
        <v>0</v>
      </c>
      <c r="J26">
        <v>1</v>
      </c>
      <c r="K26" t="s">
        <v>14</v>
      </c>
      <c r="L26" t="s">
        <v>14</v>
      </c>
    </row>
    <row r="27" ht="34" spans="1:12">
      <c r="A27" s="1" t="s">
        <v>42</v>
      </c>
      <c r="B27" t="s">
        <v>26</v>
      </c>
      <c r="C27" t="str">
        <f t="shared" si="0"/>
        <v>TS</v>
      </c>
      <c r="D27">
        <v>3</v>
      </c>
      <c r="E27" t="str">
        <f t="shared" si="1"/>
        <v>Consistent</v>
      </c>
      <c r="F27" t="str">
        <f t="shared" si="2"/>
        <v>High</v>
      </c>
      <c r="G27" t="str">
        <f t="shared" si="3"/>
        <v>HIGH</v>
      </c>
      <c r="H27">
        <v>0</v>
      </c>
      <c r="I27">
        <v>0</v>
      </c>
      <c r="J27">
        <v>1</v>
      </c>
      <c r="K27" t="s">
        <v>14</v>
      </c>
      <c r="L27" t="s">
        <v>14</v>
      </c>
    </row>
    <row r="28" ht="34" spans="1:12">
      <c r="A28" s="1" t="s">
        <v>43</v>
      </c>
      <c r="B28" t="s">
        <v>26</v>
      </c>
      <c r="C28" t="str">
        <f t="shared" si="0"/>
        <v>TS</v>
      </c>
      <c r="D28">
        <v>3</v>
      </c>
      <c r="E28" t="str">
        <f t="shared" si="1"/>
        <v>Consistent</v>
      </c>
      <c r="F28" t="str">
        <f t="shared" si="2"/>
        <v>High</v>
      </c>
      <c r="G28" t="str">
        <f t="shared" si="3"/>
        <v>HIGH</v>
      </c>
      <c r="H28">
        <v>0</v>
      </c>
      <c r="I28">
        <v>0</v>
      </c>
      <c r="J28">
        <v>1</v>
      </c>
      <c r="K28" t="s">
        <v>14</v>
      </c>
      <c r="L28" t="s">
        <v>14</v>
      </c>
    </row>
    <row r="29" ht="34" spans="1:12">
      <c r="A29" s="1" t="s">
        <v>44</v>
      </c>
      <c r="B29" t="s">
        <v>26</v>
      </c>
      <c r="C29" t="str">
        <f t="shared" si="0"/>
        <v>TS</v>
      </c>
      <c r="D29">
        <v>3</v>
      </c>
      <c r="E29" t="str">
        <f t="shared" si="1"/>
        <v>Consistent</v>
      </c>
      <c r="F29" t="str">
        <f t="shared" si="2"/>
        <v>High</v>
      </c>
      <c r="G29" t="str">
        <f t="shared" si="3"/>
        <v>HIGH</v>
      </c>
      <c r="H29">
        <v>0</v>
      </c>
      <c r="I29">
        <v>0</v>
      </c>
      <c r="J29">
        <v>1</v>
      </c>
      <c r="K29" t="s">
        <v>14</v>
      </c>
      <c r="L29" t="s">
        <v>14</v>
      </c>
    </row>
    <row r="30" ht="34" spans="1:12">
      <c r="A30" s="1" t="s">
        <v>45</v>
      </c>
      <c r="B30" t="s">
        <v>19</v>
      </c>
      <c r="C30" t="str">
        <f t="shared" si="0"/>
        <v>OS</v>
      </c>
      <c r="D30">
        <v>3</v>
      </c>
      <c r="E30" t="str">
        <f t="shared" si="1"/>
        <v>Inconsistent</v>
      </c>
      <c r="F30" t="str">
        <f t="shared" si="2"/>
        <v>Low</v>
      </c>
      <c r="G30" t="str">
        <f t="shared" si="3"/>
        <v>LOW</v>
      </c>
      <c r="H30">
        <v>0</v>
      </c>
      <c r="I30">
        <v>0</v>
      </c>
      <c r="J30">
        <v>1</v>
      </c>
      <c r="K30" t="s">
        <v>14</v>
      </c>
      <c r="L30" t="s">
        <v>14</v>
      </c>
    </row>
    <row r="31" ht="34" spans="1:12">
      <c r="A31" s="1" t="s">
        <v>46</v>
      </c>
      <c r="B31" t="s">
        <v>26</v>
      </c>
      <c r="C31" t="str">
        <f t="shared" si="0"/>
        <v>TS</v>
      </c>
      <c r="D31">
        <v>3</v>
      </c>
      <c r="E31" t="str">
        <f t="shared" si="1"/>
        <v>Consistent</v>
      </c>
      <c r="F31" t="str">
        <f t="shared" si="2"/>
        <v>High</v>
      </c>
      <c r="G31" t="str">
        <f t="shared" si="3"/>
        <v>HIGH</v>
      </c>
      <c r="H31">
        <v>0</v>
      </c>
      <c r="I31">
        <v>0</v>
      </c>
      <c r="J31">
        <v>1</v>
      </c>
      <c r="K31" t="s">
        <v>14</v>
      </c>
      <c r="L31" t="s">
        <v>14</v>
      </c>
    </row>
    <row r="32" ht="17" spans="1:12">
      <c r="A32" s="1" t="s">
        <v>47</v>
      </c>
      <c r="B32" t="s">
        <v>26</v>
      </c>
      <c r="C32" t="str">
        <f t="shared" si="0"/>
        <v>TS</v>
      </c>
      <c r="D32">
        <v>1</v>
      </c>
      <c r="E32" t="str">
        <f t="shared" si="1"/>
        <v>Inconsistent</v>
      </c>
      <c r="F32" t="str">
        <f t="shared" si="2"/>
        <v>High</v>
      </c>
      <c r="G32" t="str">
        <f t="shared" si="3"/>
        <v>MODERATE</v>
      </c>
      <c r="H32">
        <v>0</v>
      </c>
      <c r="I32">
        <v>0</v>
      </c>
      <c r="J32">
        <v>1</v>
      </c>
      <c r="K32" t="s">
        <v>14</v>
      </c>
      <c r="L32" t="s">
        <v>14</v>
      </c>
    </row>
    <row r="33" ht="17" spans="1:12">
      <c r="A33" s="1" t="s">
        <v>48</v>
      </c>
      <c r="B33" t="s">
        <v>19</v>
      </c>
      <c r="C33" t="str">
        <f t="shared" si="0"/>
        <v>OS</v>
      </c>
      <c r="D33">
        <v>1</v>
      </c>
      <c r="E33" t="str">
        <f t="shared" si="1"/>
        <v>Consistent</v>
      </c>
      <c r="F33" t="str">
        <f t="shared" si="2"/>
        <v>Low</v>
      </c>
      <c r="G33" t="str">
        <f t="shared" si="3"/>
        <v>MODERATE</v>
      </c>
      <c r="H33">
        <v>0</v>
      </c>
      <c r="I33">
        <v>0</v>
      </c>
      <c r="J33">
        <v>1</v>
      </c>
      <c r="K33" t="s">
        <v>14</v>
      </c>
      <c r="L33" t="s">
        <v>14</v>
      </c>
    </row>
    <row r="34" ht="34" spans="1:12">
      <c r="A34" s="1" t="s">
        <v>49</v>
      </c>
      <c r="B34" t="s">
        <v>26</v>
      </c>
      <c r="C34" t="str">
        <f t="shared" si="0"/>
        <v>TS</v>
      </c>
      <c r="D34">
        <v>1</v>
      </c>
      <c r="E34" t="str">
        <f t="shared" si="1"/>
        <v>Inconsistent</v>
      </c>
      <c r="F34" t="str">
        <f t="shared" si="2"/>
        <v>High</v>
      </c>
      <c r="G34" t="str">
        <f t="shared" si="3"/>
        <v>MODERATE</v>
      </c>
      <c r="H34">
        <v>0</v>
      </c>
      <c r="I34">
        <v>0</v>
      </c>
      <c r="J34">
        <v>1</v>
      </c>
      <c r="K34" t="s">
        <v>14</v>
      </c>
      <c r="L34" t="s">
        <v>14</v>
      </c>
    </row>
    <row r="35" ht="17" spans="1:12">
      <c r="A35" s="1" t="s">
        <v>50</v>
      </c>
      <c r="B35" t="s">
        <v>26</v>
      </c>
      <c r="C35" t="str">
        <f t="shared" si="0"/>
        <v>TS</v>
      </c>
      <c r="D35">
        <v>1</v>
      </c>
      <c r="E35" t="str">
        <f t="shared" si="1"/>
        <v>Inconsistent</v>
      </c>
      <c r="F35" t="str">
        <f t="shared" si="2"/>
        <v>High</v>
      </c>
      <c r="G35" t="str">
        <f t="shared" si="3"/>
        <v>MODERATE</v>
      </c>
      <c r="H35">
        <v>0</v>
      </c>
      <c r="I35">
        <v>0</v>
      </c>
      <c r="J35">
        <v>1</v>
      </c>
      <c r="K35" t="s">
        <v>14</v>
      </c>
      <c r="L35" t="s">
        <v>14</v>
      </c>
    </row>
    <row r="36" ht="17" spans="1:12">
      <c r="A36" s="1" t="s">
        <v>51</v>
      </c>
      <c r="B36" t="s">
        <v>19</v>
      </c>
      <c r="C36" t="str">
        <f t="shared" si="0"/>
        <v>OS</v>
      </c>
      <c r="D36">
        <v>1</v>
      </c>
      <c r="E36" t="str">
        <f t="shared" si="1"/>
        <v>Consistent</v>
      </c>
      <c r="F36" t="str">
        <f t="shared" si="2"/>
        <v>Low</v>
      </c>
      <c r="G36" t="str">
        <f t="shared" si="3"/>
        <v>MODERATE</v>
      </c>
      <c r="H36">
        <v>0</v>
      </c>
      <c r="I36">
        <v>0</v>
      </c>
      <c r="J36">
        <v>1</v>
      </c>
      <c r="K36" t="s">
        <v>14</v>
      </c>
      <c r="L36" t="s">
        <v>14</v>
      </c>
    </row>
    <row r="37" ht="17" spans="1:12">
      <c r="A37" s="1" t="s">
        <v>52</v>
      </c>
      <c r="B37" t="s">
        <v>19</v>
      </c>
      <c r="C37" t="str">
        <f t="shared" si="0"/>
        <v>OS</v>
      </c>
      <c r="D37">
        <v>1</v>
      </c>
      <c r="E37" t="str">
        <f t="shared" si="1"/>
        <v>Consistent</v>
      </c>
      <c r="F37" t="str">
        <f t="shared" si="2"/>
        <v>Low</v>
      </c>
      <c r="G37" t="str">
        <f t="shared" si="3"/>
        <v>MODERATE</v>
      </c>
      <c r="H37">
        <v>0</v>
      </c>
      <c r="I37">
        <v>0</v>
      </c>
      <c r="J37">
        <v>1</v>
      </c>
      <c r="K37" t="s">
        <v>14</v>
      </c>
      <c r="L37" t="s">
        <v>14</v>
      </c>
    </row>
    <row r="38" ht="17" spans="1:12">
      <c r="A38" s="1" t="s">
        <v>53</v>
      </c>
      <c r="B38" t="s">
        <v>26</v>
      </c>
      <c r="C38" t="str">
        <f t="shared" si="0"/>
        <v>TS</v>
      </c>
      <c r="D38">
        <v>1</v>
      </c>
      <c r="E38" t="str">
        <f t="shared" si="1"/>
        <v>Inconsistent</v>
      </c>
      <c r="F38" t="str">
        <f t="shared" si="2"/>
        <v>High</v>
      </c>
      <c r="G38" t="str">
        <f t="shared" si="3"/>
        <v>MODERATE</v>
      </c>
      <c r="H38">
        <v>0</v>
      </c>
      <c r="I38">
        <v>0</v>
      </c>
      <c r="J38">
        <v>1</v>
      </c>
      <c r="K38" t="s">
        <v>14</v>
      </c>
      <c r="L38" t="s">
        <v>14</v>
      </c>
    </row>
    <row r="39" ht="17" spans="1:12">
      <c r="A39" s="1" t="s">
        <v>54</v>
      </c>
      <c r="B39" t="s">
        <v>13</v>
      </c>
      <c r="C39" t="str">
        <f t="shared" si="0"/>
        <v>OS</v>
      </c>
      <c r="D39">
        <v>1</v>
      </c>
      <c r="E39" t="str">
        <f t="shared" si="1"/>
        <v>Inconsistent</v>
      </c>
      <c r="F39" t="str">
        <f t="shared" si="2"/>
        <v>Low</v>
      </c>
      <c r="G39" t="str">
        <f t="shared" si="3"/>
        <v>LOW</v>
      </c>
      <c r="H39">
        <v>0</v>
      </c>
      <c r="I39">
        <v>0</v>
      </c>
      <c r="J39">
        <v>1</v>
      </c>
      <c r="K39" t="s">
        <v>14</v>
      </c>
      <c r="L39" t="s">
        <v>14</v>
      </c>
    </row>
    <row r="40" ht="17" spans="1:12">
      <c r="A40" s="1" t="s">
        <v>55</v>
      </c>
      <c r="B40" t="s">
        <v>19</v>
      </c>
      <c r="C40" t="str">
        <f t="shared" si="0"/>
        <v>OS</v>
      </c>
      <c r="D40">
        <v>1</v>
      </c>
      <c r="E40" t="str">
        <f t="shared" si="1"/>
        <v>Consistent</v>
      </c>
      <c r="F40" t="str">
        <f t="shared" si="2"/>
        <v>Low</v>
      </c>
      <c r="G40" t="str">
        <f t="shared" si="3"/>
        <v>MODERATE</v>
      </c>
      <c r="H40">
        <v>1</v>
      </c>
      <c r="I40">
        <v>0</v>
      </c>
      <c r="J40">
        <v>1</v>
      </c>
      <c r="K40" t="s">
        <v>14</v>
      </c>
      <c r="L40" t="s">
        <v>14</v>
      </c>
    </row>
    <row r="41" ht="84" spans="1:12">
      <c r="A41" s="1" t="s">
        <v>56</v>
      </c>
      <c r="B41" t="s">
        <v>26</v>
      </c>
      <c r="C41" t="str">
        <f t="shared" si="0"/>
        <v>TS</v>
      </c>
      <c r="D41">
        <v>2</v>
      </c>
      <c r="E41" t="str">
        <f t="shared" si="1"/>
        <v>Partially Consistent</v>
      </c>
      <c r="F41" t="str">
        <f t="shared" si="2"/>
        <v>High</v>
      </c>
      <c r="G41" t="str">
        <f t="shared" si="3"/>
        <v>HIGH</v>
      </c>
      <c r="H41">
        <v>1</v>
      </c>
      <c r="I41">
        <v>0</v>
      </c>
      <c r="J41">
        <v>1</v>
      </c>
      <c r="K41" t="s">
        <v>14</v>
      </c>
      <c r="L41" t="s">
        <v>14</v>
      </c>
    </row>
    <row r="42" ht="17" spans="1:12">
      <c r="A42" s="1" t="s">
        <v>47</v>
      </c>
      <c r="B42" t="s">
        <v>26</v>
      </c>
      <c r="C42" t="str">
        <f t="shared" si="0"/>
        <v>TS</v>
      </c>
      <c r="D42">
        <v>1</v>
      </c>
      <c r="E42" t="str">
        <f t="shared" si="1"/>
        <v>Inconsistent</v>
      </c>
      <c r="F42" t="str">
        <f t="shared" si="2"/>
        <v>High</v>
      </c>
      <c r="G42" t="str">
        <f t="shared" si="3"/>
        <v>MODERATE</v>
      </c>
      <c r="H42">
        <v>0</v>
      </c>
      <c r="I42">
        <v>0</v>
      </c>
      <c r="J42">
        <v>1</v>
      </c>
      <c r="K42" t="s">
        <v>14</v>
      </c>
      <c r="L42" t="s">
        <v>14</v>
      </c>
    </row>
    <row r="43" ht="17" spans="1:12">
      <c r="A43" s="1" t="s">
        <v>48</v>
      </c>
      <c r="B43" t="s">
        <v>19</v>
      </c>
      <c r="C43" t="str">
        <f t="shared" si="0"/>
        <v>OS</v>
      </c>
      <c r="D43">
        <v>1</v>
      </c>
      <c r="E43" t="str">
        <f t="shared" si="1"/>
        <v>Consistent</v>
      </c>
      <c r="F43" t="str">
        <f t="shared" si="2"/>
        <v>Low</v>
      </c>
      <c r="G43" t="str">
        <f t="shared" si="3"/>
        <v>MODERATE</v>
      </c>
      <c r="H43">
        <v>0</v>
      </c>
      <c r="I43">
        <v>0</v>
      </c>
      <c r="J43">
        <v>1</v>
      </c>
      <c r="K43" t="s">
        <v>14</v>
      </c>
      <c r="L43" t="s">
        <v>14</v>
      </c>
    </row>
    <row r="44" ht="34" spans="1:12">
      <c r="A44" s="1" t="s">
        <v>49</v>
      </c>
      <c r="B44" t="s">
        <v>26</v>
      </c>
      <c r="C44" t="str">
        <f t="shared" si="0"/>
        <v>TS</v>
      </c>
      <c r="D44">
        <v>1</v>
      </c>
      <c r="E44" t="str">
        <f t="shared" si="1"/>
        <v>Inconsistent</v>
      </c>
      <c r="F44" t="str">
        <f t="shared" si="2"/>
        <v>High</v>
      </c>
      <c r="G44" t="str">
        <f t="shared" si="3"/>
        <v>MODERATE</v>
      </c>
      <c r="H44">
        <v>0</v>
      </c>
      <c r="I44">
        <v>0</v>
      </c>
      <c r="J44">
        <v>1</v>
      </c>
      <c r="K44" t="s">
        <v>14</v>
      </c>
      <c r="L44" t="s">
        <v>14</v>
      </c>
    </row>
    <row r="45" ht="17" spans="1:12">
      <c r="A45" s="1" t="s">
        <v>50</v>
      </c>
      <c r="B45" t="s">
        <v>26</v>
      </c>
      <c r="C45" t="str">
        <f t="shared" si="0"/>
        <v>TS</v>
      </c>
      <c r="D45">
        <v>1</v>
      </c>
      <c r="E45" t="str">
        <f t="shared" si="1"/>
        <v>Inconsistent</v>
      </c>
      <c r="F45" t="str">
        <f t="shared" si="2"/>
        <v>High</v>
      </c>
      <c r="G45" t="str">
        <f t="shared" si="3"/>
        <v>MODERATE</v>
      </c>
      <c r="H45">
        <v>0</v>
      </c>
      <c r="I45">
        <v>0</v>
      </c>
      <c r="J45">
        <v>1</v>
      </c>
      <c r="K45" t="s">
        <v>14</v>
      </c>
      <c r="L45" t="s">
        <v>14</v>
      </c>
    </row>
    <row r="46" ht="17" spans="1:12">
      <c r="A46" s="1" t="s">
        <v>51</v>
      </c>
      <c r="B46" t="s">
        <v>19</v>
      </c>
      <c r="C46" t="str">
        <f t="shared" si="0"/>
        <v>OS</v>
      </c>
      <c r="D46">
        <v>1</v>
      </c>
      <c r="E46" t="str">
        <f t="shared" si="1"/>
        <v>Consistent</v>
      </c>
      <c r="F46" t="str">
        <f t="shared" si="2"/>
        <v>Low</v>
      </c>
      <c r="G46" t="str">
        <f t="shared" si="3"/>
        <v>MODERATE</v>
      </c>
      <c r="H46">
        <v>0</v>
      </c>
      <c r="I46">
        <v>0</v>
      </c>
      <c r="J46">
        <v>1</v>
      </c>
      <c r="K46" t="s">
        <v>14</v>
      </c>
      <c r="L46" t="s">
        <v>14</v>
      </c>
    </row>
    <row r="47" ht="17" spans="1:12">
      <c r="A47" s="1" t="s">
        <v>52</v>
      </c>
      <c r="B47" t="s">
        <v>19</v>
      </c>
      <c r="C47" t="str">
        <f t="shared" si="0"/>
        <v>OS</v>
      </c>
      <c r="D47">
        <v>1</v>
      </c>
      <c r="E47" t="str">
        <f t="shared" si="1"/>
        <v>Consistent</v>
      </c>
      <c r="F47" t="str">
        <f t="shared" si="2"/>
        <v>Low</v>
      </c>
      <c r="G47" t="str">
        <f t="shared" si="3"/>
        <v>MODERATE</v>
      </c>
      <c r="H47">
        <v>0</v>
      </c>
      <c r="I47">
        <v>0</v>
      </c>
      <c r="J47">
        <v>1</v>
      </c>
      <c r="K47" t="s">
        <v>14</v>
      </c>
      <c r="L47" t="s">
        <v>14</v>
      </c>
    </row>
    <row r="48" ht="17" spans="1:12">
      <c r="A48" s="1" t="s">
        <v>53</v>
      </c>
      <c r="B48" t="s">
        <v>26</v>
      </c>
      <c r="C48" t="str">
        <f t="shared" si="0"/>
        <v>TS</v>
      </c>
      <c r="D48">
        <v>1</v>
      </c>
      <c r="E48" t="str">
        <f t="shared" si="1"/>
        <v>Inconsistent</v>
      </c>
      <c r="F48" t="str">
        <f t="shared" si="2"/>
        <v>High</v>
      </c>
      <c r="G48" t="str">
        <f t="shared" si="3"/>
        <v>MODERATE</v>
      </c>
      <c r="H48">
        <v>0</v>
      </c>
      <c r="I48">
        <v>0</v>
      </c>
      <c r="J48">
        <v>1</v>
      </c>
      <c r="K48" t="s">
        <v>14</v>
      </c>
      <c r="L48" t="s">
        <v>14</v>
      </c>
    </row>
    <row r="49" ht="17" spans="1:12">
      <c r="A49" s="1" t="s">
        <v>54</v>
      </c>
      <c r="B49" t="s">
        <v>13</v>
      </c>
      <c r="C49" t="str">
        <f t="shared" si="0"/>
        <v>OS</v>
      </c>
      <c r="D49">
        <v>1</v>
      </c>
      <c r="E49" t="str">
        <f t="shared" si="1"/>
        <v>Inconsistent</v>
      </c>
      <c r="F49" t="str">
        <f t="shared" si="2"/>
        <v>Low</v>
      </c>
      <c r="G49" t="str">
        <f t="shared" si="3"/>
        <v>LOW</v>
      </c>
      <c r="H49">
        <v>0</v>
      </c>
      <c r="I49">
        <v>0</v>
      </c>
      <c r="J49">
        <v>1</v>
      </c>
      <c r="K49" t="s">
        <v>14</v>
      </c>
      <c r="L49" t="s">
        <v>14</v>
      </c>
    </row>
    <row r="50" ht="34" spans="1:12">
      <c r="A50" s="1" t="s">
        <v>57</v>
      </c>
      <c r="B50" t="s">
        <v>19</v>
      </c>
      <c r="C50" t="str">
        <f>IF(B50="NEUTRAL","TS","OS")</f>
        <v>OS</v>
      </c>
      <c r="D50">
        <v>1</v>
      </c>
      <c r="E50" t="str">
        <f>IF(C50="TS",IF(D50=3,"Consistent",IF(OR(D50=2,D50=4),"Partially Consistent","Inconsistent")),IF(D50=3,"Inconsistent",IF(AND(D50=5,B50="POSITIVE"),"Consistent",IF(AND(D50=1,B50="NEGATIVE"),"Consistent",IF(AND(D50=4,B50="POSITIVE"),"Partially Consistent",IF(AND(D50=2,B50="NEGATIVE"),"Partially Consistent","Inconsistent"))))))</f>
        <v>Consistent</v>
      </c>
      <c r="F50" t="str">
        <f>IF(C50="TS","High","Low")</f>
        <v>Low</v>
      </c>
      <c r="G50" t="str">
        <f>IF(AND(B50="NEUTRAL",F50="Low"),"LOW",IF(AND(C50="TS",F50="High",D50=3),"HIGH",IF(AND(C50="TS",F50="High",OR(D50=2,D50=4)),"HIGH",IF(AND(C50="TS",F50="High",OR(D50=1,D50=5)),"MODERATE",IF(AND(C50="OS",E50="Consistent",OR(D50=1,D50=5)),"MODERATE",IF(AND(C50="OS",E50="Partially Consistent",OR(D50=2,D50=4)),"MODERATE","LOW"))))))</f>
        <v>MODERATE</v>
      </c>
      <c r="H50">
        <v>0</v>
      </c>
      <c r="I50">
        <v>0</v>
      </c>
      <c r="J50">
        <v>1</v>
      </c>
      <c r="K50" t="s">
        <v>14</v>
      </c>
      <c r="L50"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2025-05-23T11:33:00Z</dcterms:created>
  <dcterms:modified xsi:type="dcterms:W3CDTF">2025-05-23T23:27:47Z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2184C93C244B091EF3933068C355A7A5_42</vt:lpwstr>
  </property>
  <property fmtid="{D5CDD505-2E9C-101B-9397-08002B2CF9AE}" pid="4" name="KSOProductBuildVer">
    <vt:lpwstr>1033-6.13.1.8710</vt:lpwstr>
  </property>
</Properties>
</file>