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perfect for everyday use,</t>
        </is>
      </c>
      <c r="B2" t="inlineStr">
        <is>
          <t>POSITIVE</t>
        </is>
      </c>
      <c r="C2">
        <f>IF(B2="NEUTRAL","TS","OS")</f>
        <v/>
      </c>
      <c r="D2" t="n">
        <v>5</v>
      </c>
      <c r="E2">
        <f>IF(C2="TS",IF(D2=3,"Consistent",IF(OR(D2=2,D2=4),"Partially Consistent","Inconsistent")),IF(D2=3,"Inconsistent",IF(AND(D2=5,B2="POSITIVE"),"Consistent",IF(AND(D2=1,B2="NEGATIVE"),"Consistent",IF(AND(D2=4,B2="POSITIVE"),"Partially Consistent",IF(AND(D2=2,B2="NEGATIVE"),"Partially Consistent","Inconsistent"))))))</f>
        <v/>
      </c>
      <c r="F2">
        <f>IF(C2="TS","High","Low")</f>
        <v/>
      </c>
      <c r="G2">
        <f>IF(AND(B2="NEUTRAL",F2="Low"),"LOW",IF(AND(C2="TS",F2="High",D2=3),"HIGH",IF(AND(C2="TS",F2="High",OR(D2=2,D2=4)),"HIGH",IF(AND(C2="TS",F2="High",OR(D2=1,D2=5)),"MODERATE",IF(AND(C2="OS",E2="Consistent",OR(D2=1,D2=5)),"MODERATE",IF(AND(C2="OS",E2="Partially Consistent",OR(D2=2,D2=4)),"MODERATE","LOW"))))))</f>
        <v/>
      </c>
      <c r="H2" t="inlineStr"/>
      <c r="I2" t="inlineStr"/>
      <c r="J2" t="inlineStr"/>
      <c r="K2" t="inlineStr"/>
      <c r="L2" t="inlineStr"/>
    </row>
    <row r="3">
      <c r="A3" t="inlineStr">
        <is>
          <t>perfect for everyday use, versatile scent for any occasion, long-lasting fragrance, lightweight and portable, convenient 6-in-1 cologne,</t>
        </is>
      </c>
      <c r="B3" t="inlineStr">
        <is>
          <t>POSITIVE</t>
        </is>
      </c>
      <c r="C3">
        <f>IF(B3="NEUTRAL","TS","OS")</f>
        <v/>
      </c>
      <c r="D3" t="n">
        <v>5</v>
      </c>
      <c r="E3">
        <f>IF(C3="TS",IF(D3=3,"Consistent",IF(OR(D3=2,D3=4),"Partially Consistent","Inconsistent")),IF(D3=3,"Inconsistent",IF(AND(D3=5,B3="POSITIVE"),"Consistent",IF(AND(D3=1,B3="NEGATIVE"),"Consistent",IF(AND(D3=4,B3="POSITIVE"),"Partially Consistent",IF(AND(D3=2,B3="NEGATIVE"),"Partially Consistent","Inconsistent"))))))</f>
        <v/>
      </c>
      <c r="F3">
        <f>IF(C3="TS","High","Low")</f>
        <v/>
      </c>
      <c r="G3">
        <f>IF(AND(B3="NEUTRAL",F3="Low"),"LOW",IF(AND(C3="TS",F3="High",D3=3),"HIGH",IF(AND(C3="TS",F3="High",OR(D3=2,D3=4)),"HIGH",IF(AND(C3="TS",F3="High",OR(D3=1,D3=5)),"MODERATE",IF(AND(C3="OS",E3="Consistent",OR(D3=1,D3=5)),"MODERATE",IF(AND(C3="OS",E3="Partially Consistent",OR(D3=2,D3=4)),"MODERATE","LOW"))))))</f>
        <v/>
      </c>
      <c r="H3" t="inlineStr"/>
      <c r="I3" t="inlineStr"/>
      <c r="J3" t="inlineStr"/>
      <c r="K3" t="inlineStr"/>
      <c r="L3" t="inlineStr"/>
    </row>
    <row r="4">
      <c r="A4" t="inlineStr">
        <is>
          <t>versatile scent for any occasion, ideal gift for friends and family,</t>
        </is>
      </c>
      <c r="B4" t="inlineStr">
        <is>
          <t>POSITIVE</t>
        </is>
      </c>
      <c r="C4">
        <f>IF(B4="NEUTRAL","TS","OS")</f>
        <v/>
      </c>
      <c r="D4" t="n">
        <v>5</v>
      </c>
      <c r="E4">
        <f>IF(C4="TS",IF(D4=3,"Consistent",IF(OR(D4=2,D4=4),"Partially Consistent","Inconsistent")),IF(D4=3,"Inconsistent",IF(AND(D4=5,B4="POSITIVE"),"Consistent",IF(AND(D4=1,B4="NEGATIVE"),"Consistent",IF(AND(D4=4,B4="POSITIVE"),"Partially Consistent",IF(AND(D4=2,B4="NEGATIVE"),"Partially Consistent","Inconsistent"))))))</f>
        <v/>
      </c>
      <c r="F4">
        <f>IF(C4="TS","High","Low")</f>
        <v/>
      </c>
      <c r="G4">
        <f>IF(AND(B4="NEUTRAL",F4="Low"),"LOW",IF(AND(C4="TS",F4="High",D4=3),"HIGH",IF(AND(C4="TS",F4="High",OR(D4=2,D4=4)),"HIGH",IF(AND(C4="TS",F4="High",OR(D4=1,D4=5)),"MODERATE",IF(AND(C4="OS",E4="Consistent",OR(D4=1,D4=5)),"MODERATE",IF(AND(C4="OS",E4="Partially Consistent",OR(D4=2,D4=4)),"MODERATE","LOW"))))))</f>
        <v/>
      </c>
      <c r="H4" t="inlineStr"/>
      <c r="I4" t="inlineStr"/>
      <c r="J4" t="inlineStr"/>
      <c r="K4" t="inlineStr"/>
      <c r="L4" t="inlineStr"/>
    </row>
    <row r="5">
      <c r="A5" t="inlineStr">
        <is>
          <t>enhances your mood with different scents, great value for money, easy to apply and reapply, ideal gift for friends and family, easy to apply and reapply,</t>
        </is>
      </c>
      <c r="B5" t="inlineStr">
        <is>
          <t>POSITIVE</t>
        </is>
      </c>
      <c r="C5">
        <f>IF(B5="NEUTRAL","TS","OS")</f>
        <v/>
      </c>
      <c r="D5" t="n">
        <v>5</v>
      </c>
      <c r="E5">
        <f>IF(C5="TS",IF(D5=3,"Consistent",IF(OR(D5=2,D5=4),"Partially Consistent","Inconsistent")),IF(D5=3,"Inconsistent",IF(AND(D5=5,B5="POSITIVE"),"Consistent",IF(AND(D5=1,B5="NEGATIVE"),"Consistent",IF(AND(D5=4,B5="POSITIVE"),"Partially Consistent",IF(AND(D5=2,B5="NEGATIVE"),"Partially Consistent","Inconsistent"))))))</f>
        <v/>
      </c>
      <c r="F5">
        <f>IF(C5="TS","High","Low")</f>
        <v/>
      </c>
      <c r="G5">
        <f>IF(AND(B5="NEUTRAL",F5="Low"),"LOW",IF(AND(C5="TS",F5="High",D5=3),"HIGH",IF(AND(C5="TS",F5="High",OR(D5=2,D5=4)),"HIGH",IF(AND(C5="TS",F5="High",OR(D5=1,D5=5)),"MODERATE",IF(AND(C5="OS",E5="Consistent",OR(D5=1,D5=5)),"MODERATE",IF(AND(C5="OS",E5="Partially Consistent",OR(D5=2,D5=4)),"MODERATE","LOW"))))))</f>
        <v/>
      </c>
      <c r="H5" t="inlineStr"/>
      <c r="I5" t="inlineStr"/>
      <c r="J5" t="inlineStr"/>
      <c r="K5" t="inlineStr"/>
      <c r="L5" t="inlineStr"/>
    </row>
    <row r="6">
      <c r="A6" t="inlineStr">
        <is>
          <t>suitable for both men and women, versatile scent for any occasion, convenient 6-in-1 cologne, a must-have in your daily routine, keeps you feeling fresh and cool,</t>
        </is>
      </c>
      <c r="B6" t="inlineStr">
        <is>
          <t>POSITIVE</t>
        </is>
      </c>
      <c r="C6">
        <f>IF(B6="NEUTRAL","TS","OS")</f>
        <v/>
      </c>
      <c r="D6" t="n">
        <v>5</v>
      </c>
      <c r="E6">
        <f>IF(C6="TS",IF(D6=3,"Consistent",IF(OR(D6=2,D6=4),"Partially Consistent","Inconsistent")),IF(D6=3,"Inconsistent",IF(AND(D6=5,B6="POSITIVE"),"Consistent",IF(AND(D6=1,B6="NEGATIVE"),"Consistent",IF(AND(D6=4,B6="POSITIVE"),"Partially Consistent",IF(AND(D6=2,B6="NEGATIVE"),"Partially Consistent","Inconsistent"))))))</f>
        <v/>
      </c>
      <c r="F6">
        <f>IF(C6="TS","High","Low")</f>
        <v/>
      </c>
      <c r="G6">
        <f>IF(AND(B6="NEUTRAL",F6="Low"),"LOW",IF(AND(C6="TS",F6="High",D6=3),"HIGH",IF(AND(C6="TS",F6="High",OR(D6=2,D6=4)),"HIGH",IF(AND(C6="TS",F6="High",OR(D6=1,D6=5)),"MODERATE",IF(AND(C6="OS",E6="Consistent",OR(D6=1,D6=5)),"MODERATE",IF(AND(C6="OS",E6="Partially Consistent",OR(D6=2,D6=4)),"MODERATE","LOW"))))))</f>
        <v/>
      </c>
      <c r="H6" t="inlineStr"/>
      <c r="I6" t="inlineStr"/>
      <c r="J6" t="inlineStr"/>
      <c r="K6" t="inlineStr"/>
      <c r="L6" t="inlineStr"/>
    </row>
    <row r="7">
      <c r="A7" t="inlineStr">
        <is>
          <t>value for money: it' s good for its price scent: mabango longevity: diko pa natry kung gaano katagal ajjsnnsnsjsjsk</t>
        </is>
      </c>
      <c r="B7" t="inlineStr">
        <is>
          <t>NEUTRAL</t>
        </is>
      </c>
      <c r="C7">
        <f>IF(B7="NEUTRAL","TS","OS")</f>
        <v/>
      </c>
      <c r="D7" t="n">
        <v>5</v>
      </c>
      <c r="E7">
        <f>IF(C7="TS",IF(D7=3,"Consistent",IF(OR(D7=2,D7=4),"Partially Consistent","Inconsistent")),IF(D7=3,"Inconsistent",IF(AND(D7=5,B7="POSITIVE"),"Consistent",IF(AND(D7=1,B7="NEGATIVE"),"Consistent",IF(AND(D7=4,B7="POSITIVE"),"Partially Consistent",IF(AND(D7=2,B7="NEGATIVE"),"Partially Consistent","Inconsistent"))))))</f>
        <v/>
      </c>
      <c r="F7">
        <f>IF(C7="TS","High","Low")</f>
        <v/>
      </c>
      <c r="G7">
        <f>IF(AND(B7="NEUTRAL",F7="Low"),"LOW",IF(AND(C7="TS",F7="High",D7=3),"HIGH",IF(AND(C7="TS",F7="High",OR(D7=2,D7=4)),"HIGH",IF(AND(C7="TS",F7="High",OR(D7=1,D7=5)),"MODERATE",IF(AND(C7="OS",E7="Consistent",OR(D7=1,D7=5)),"MODERATE",IF(AND(C7="OS",E7="Partially Consistent",OR(D7=2,D7=4)),"MODERATE","LOW"))))))</f>
        <v/>
      </c>
      <c r="H7" t="inlineStr"/>
      <c r="I7" t="inlineStr"/>
      <c r="J7" t="inlineStr"/>
      <c r="K7" t="inlineStr"/>
      <c r="L7" t="inlineStr"/>
    </row>
    <row r="8">
      <c r="A8" t="inlineStr">
        <is>
          <t>easy to apply and reapply, lightweight and portable, versatile scent for any occasion, keeps you feeling fresh and cool,</t>
        </is>
      </c>
      <c r="B8" t="inlineStr">
        <is>
          <t>POSITIVE</t>
        </is>
      </c>
      <c r="C8">
        <f>IF(B8="NEUTRAL","TS","OS")</f>
        <v/>
      </c>
      <c r="D8" t="n">
        <v>5</v>
      </c>
      <c r="E8">
        <f>IF(C8="TS",IF(D8=3,"Consistent",IF(OR(D8=2,D8=4),"Partially Consistent","Inconsistent")),IF(D8=3,"Inconsistent",IF(AND(D8=5,B8="POSITIVE"),"Consistent",IF(AND(D8=1,B8="NEGATIVE"),"Consistent",IF(AND(D8=4,B8="POSITIVE"),"Partially Consistent",IF(AND(D8=2,B8="NEGATIVE"),"Partially Consistent","Inconsistent"))))))</f>
        <v/>
      </c>
      <c r="F8">
        <f>IF(C8="TS","High","Low")</f>
        <v/>
      </c>
      <c r="G8">
        <f>IF(AND(B8="NEUTRAL",F8="Low"),"LOW",IF(AND(C8="TS",F8="High",D8=3),"HIGH",IF(AND(C8="TS",F8="High",OR(D8=2,D8=4)),"HIGH",IF(AND(C8="TS",F8="High",OR(D8=1,D8=5)),"MODERATE",IF(AND(C8="OS",E8="Consistent",OR(D8=1,D8=5)),"MODERATE",IF(AND(C8="OS",E8="Partially Consistent",OR(D8=2,D8=4)),"MODERATE","LOW"))))))</f>
        <v/>
      </c>
      <c r="H8" t="inlineStr"/>
      <c r="I8" t="inlineStr"/>
      <c r="J8" t="inlineStr"/>
      <c r="K8" t="inlineStr"/>
      <c r="L8" t="inlineStr"/>
    </row>
    <row r="9">
      <c r="A9" t="inlineStr">
        <is>
          <t>packaging: not secure kci natapon ung laman i don' t know but it' s ok next time maging responsible nlang sa pag pack. thank you prin. scent: mabango siya</t>
        </is>
      </c>
      <c r="B9" t="inlineStr">
        <is>
          <t>NEUTRAL</t>
        </is>
      </c>
      <c r="C9">
        <f>IF(B9="NEUTRAL","TS","OS")</f>
        <v/>
      </c>
      <c r="D9" t="n">
        <v>5</v>
      </c>
      <c r="E9">
        <f>IF(C9="TS",IF(D9=3,"Consistent",IF(OR(D9=2,D9=4),"Partially Consistent","Inconsistent")),IF(D9=3,"Inconsistent",IF(AND(D9=5,B9="POSITIVE"),"Consistent",IF(AND(D9=1,B9="NEGATIVE"),"Consistent",IF(AND(D9=4,B9="POSITIVE"),"Partially Consistent",IF(AND(D9=2,B9="NEGATIVE"),"Partially Consistent","Inconsistent"))))))</f>
        <v/>
      </c>
      <c r="F9">
        <f>IF(C9="TS","High","Low")</f>
        <v/>
      </c>
      <c r="G9">
        <f>IF(AND(B9="NEUTRAL",F9="Low"),"LOW",IF(AND(C9="TS",F9="High",D9=3),"HIGH",IF(AND(C9="TS",F9="High",OR(D9=2,D9=4)),"HIGH",IF(AND(C9="TS",F9="High",OR(D9=1,D9=5)),"MODERATE",IF(AND(C9="OS",E9="Consistent",OR(D9=1,D9=5)),"MODERATE",IF(AND(C9="OS",E9="Partially Consistent",OR(D9=2,D9=4)),"MODERATE","LOW"))))))</f>
        <v/>
      </c>
      <c r="H9" t="inlineStr"/>
      <c r="I9" t="inlineStr"/>
      <c r="J9" t="inlineStr"/>
      <c r="K9" t="inlineStr"/>
      <c r="L9" t="inlineStr"/>
    </row>
    <row r="10">
      <c r="A10" t="inlineStr">
        <is>
          <t>mabango lahat madali ilagay sa bag freshness all day thank you watson, and kay rider noel</t>
        </is>
      </c>
      <c r="B10" t="inlineStr">
        <is>
          <t>POSITIVE</t>
        </is>
      </c>
      <c r="C10">
        <f>IF(B10="NEUTRAL","TS","OS")</f>
        <v/>
      </c>
      <c r="D10" t="n">
        <v>5</v>
      </c>
      <c r="E10">
        <f>IF(C10="TS",IF(D10=3,"Consistent",IF(OR(D10=2,D10=4),"Partially Consistent","Inconsistent")),IF(D10=3,"Inconsistent",IF(AND(D10=5,B10="POSITIVE"),"Consistent",IF(AND(D10=1,B10="NEGATIVE"),"Consistent",IF(AND(D10=4,B10="POSITIVE"),"Partially Consistent",IF(AND(D10=2,B10="NEGATIVE"),"Partially Consistent","Inconsistent"))))))</f>
        <v/>
      </c>
      <c r="F10">
        <f>IF(C10="TS","High","Low")</f>
        <v/>
      </c>
      <c r="G10">
        <f>IF(AND(B10="NEUTRAL",F10="Low"),"LOW",IF(AND(C10="TS",F10="High",D10=3),"HIGH",IF(AND(C10="TS",F10="High",OR(D10=2,D10=4)),"HIGH",IF(AND(C10="TS",F10="High",OR(D10=1,D10=5)),"MODERATE",IF(AND(C10="OS",E10="Consistent",OR(D10=1,D10=5)),"MODERATE",IF(AND(C10="OS",E10="Partially Consistent",OR(D10=2,D10=4)),"MODERATE","LOW"))))))</f>
        <v/>
      </c>
      <c r="H10" t="inlineStr"/>
      <c r="I10" t="inlineStr"/>
      <c r="J10" t="inlineStr"/>
      <c r="K10" t="inlineStr"/>
      <c r="L10" t="inlineStr"/>
    </row>
    <row r="11">
      <c r="A11" t="inlineStr">
        <is>
          <t>ideal gift for friends and family, convenient 6-in-1 cologne, hhhhhhhhhhhhhhgggffffffffdd</t>
        </is>
      </c>
      <c r="B11" t="inlineStr">
        <is>
          <t>POSITIVE</t>
        </is>
      </c>
      <c r="C11">
        <f>IF(B11="NEUTRAL","TS","OS")</f>
        <v/>
      </c>
      <c r="D11" t="n">
        <v>5</v>
      </c>
      <c r="E11">
        <f>IF(C11="TS",IF(D11=3,"Consistent",IF(OR(D11=2,D11=4),"Partially Consistent","Inconsistent")),IF(D11=3,"Inconsistent",IF(AND(D11=5,B11="POSITIVE"),"Consistent",IF(AND(D11=1,B11="NEGATIVE"),"Consistent",IF(AND(D11=4,B11="POSITIVE"),"Partially Consistent",IF(AND(D11=2,B11="NEGATIVE"),"Partially Consistent","Inconsistent"))))))</f>
        <v/>
      </c>
      <c r="F11">
        <f>IF(C11="TS","High","Low")</f>
        <v/>
      </c>
      <c r="G11">
        <f>IF(AND(B11="NEUTRAL",F11="Low"),"LOW",IF(AND(C11="TS",F11="High",D11=3),"HIGH",IF(AND(C11="TS",F11="High",OR(D11=2,D11=4)),"HIGH",IF(AND(C11="TS",F11="High",OR(D11=1,D11=5)),"MODERATE",IF(AND(C11="OS",E11="Consistent",OR(D11=1,D11=5)),"MODERATE",IF(AND(C11="OS",E11="Partially Consistent",OR(D11=2,D11=4)),"MODERATE","LOW"))))))</f>
        <v/>
      </c>
      <c r="H11" t="inlineStr"/>
      <c r="I11" t="inlineStr"/>
      <c r="J11" t="inlineStr"/>
      <c r="K11" t="inlineStr"/>
      <c r="L11" t="inlineStr"/>
    </row>
    <row r="12">
      <c r="A12" t="inlineStr">
        <is>
          <t>yung orange ang fave ko kaso may halong amoy plastic na siya dunno if matagal nastocked. other scents mababango.</t>
        </is>
      </c>
      <c r="B12" t="inlineStr">
        <is>
          <t>NEUTRAL</t>
        </is>
      </c>
      <c r="C12">
        <f>IF(B12="NEUTRAL","TS","OS")</f>
        <v/>
      </c>
      <c r="D12" t="n">
        <v>4</v>
      </c>
      <c r="E12">
        <f>IF(C12="TS",IF(D12=3,"Consistent",IF(OR(D12=2,D12=4),"Partially Consistent","Inconsistent")),IF(D12=3,"Inconsistent",IF(AND(D12=5,B12="POSITIVE"),"Consistent",IF(AND(D12=1,B12="NEGATIVE"),"Consistent",IF(AND(D12=4,B12="POSITIVE"),"Partially Consistent",IF(AND(D12=2,B12="NEGATIVE"),"Partially Consistent","Inconsistent"))))))</f>
        <v/>
      </c>
      <c r="F12">
        <f>IF(C12="TS","High","Low")</f>
        <v/>
      </c>
      <c r="G12">
        <f>IF(AND(B12="NEUTRAL",F12="Low"),"LOW",IF(AND(C12="TS",F12="High",D12=3),"HIGH",IF(AND(C12="TS",F12="High",OR(D12=2,D12=4)),"HIGH",IF(AND(C12="TS",F12="High",OR(D12=1,D12=5)),"MODERATE",IF(AND(C12="OS",E12="Consistent",OR(D12=1,D12=5)),"MODERATE",IF(AND(C12="OS",E12="Partially Consistent",OR(D12=2,D12=4)),"MODERATE","LOW"))))))</f>
        <v/>
      </c>
      <c r="H12" t="inlineStr"/>
      <c r="I12" t="inlineStr"/>
      <c r="J12" t="inlineStr"/>
      <c r="K12" t="inlineStr"/>
      <c r="L12" t="inlineStr"/>
    </row>
    <row r="13">
      <c r="A13" t="inlineStr">
        <is>
          <t>all i can say is i receive the product in good condition. no damage and secure packaging. i will order again. recommend this shop.</t>
        </is>
      </c>
      <c r="B13" t="inlineStr">
        <is>
          <t>POSITIVE</t>
        </is>
      </c>
      <c r="C13">
        <f>IF(B13="NEUTRAL","TS","OS")</f>
        <v/>
      </c>
      <c r="D13" t="n">
        <v>4</v>
      </c>
      <c r="E13">
        <f>IF(C13="TS",IF(D13=3,"Consistent",IF(OR(D13=2,D13=4),"Partially Consistent","Inconsistent")),IF(D13=3,"Inconsistent",IF(AND(D13=5,B13="POSITIVE"),"Consistent",IF(AND(D13=1,B13="NEGATIVE"),"Consistent",IF(AND(D13=4,B13="POSITIVE"),"Partially Consistent",IF(AND(D13=2,B13="NEGATIVE"),"Partially Consistent","Inconsistent"))))))</f>
        <v/>
      </c>
      <c r="F13">
        <f>IF(C13="TS","High","Low")</f>
        <v/>
      </c>
      <c r="G13">
        <f>IF(AND(B13="NEUTRAL",F13="Low"),"LOW",IF(AND(C13="TS",F13="High",D13=3),"HIGH",IF(AND(C13="TS",F13="High",OR(D13=2,D13=4)),"HIGH",IF(AND(C13="TS",F13="High",OR(D13=1,D13=5)),"MODERATE",IF(AND(C13="OS",E13="Consistent",OR(D13=1,D13=5)),"MODERATE",IF(AND(C13="OS",E13="Partially Consistent",OR(D13=2,D13=4)),"MODERATE","LOW"))))))</f>
        <v/>
      </c>
      <c r="H13" t="inlineStr"/>
      <c r="I13" t="inlineStr"/>
      <c r="J13" t="inlineStr"/>
      <c r="K13" t="inlineStr"/>
      <c r="L13" t="inlineStr"/>
    </row>
    <row r="14">
      <c r="A14" t="inlineStr">
        <is>
          <t>perfect for everyday use, ky lng lng lging kulang ng 1</t>
        </is>
      </c>
      <c r="B14" t="inlineStr">
        <is>
          <t>NEUTRAL</t>
        </is>
      </c>
      <c r="C14">
        <f>IF(B14="NEUTRAL","TS","OS")</f>
        <v/>
      </c>
      <c r="D14" t="n">
        <v>4</v>
      </c>
      <c r="E14">
        <f>IF(C14="TS",IF(D14=3,"Consistent",IF(OR(D14=2,D14=4),"Partially Consistent","Inconsistent")),IF(D14=3,"Inconsistent",IF(AND(D14=5,B14="POSITIVE"),"Consistent",IF(AND(D14=1,B14="NEGATIVE"),"Consistent",IF(AND(D14=4,B14="POSITIVE"),"Partially Consistent",IF(AND(D14=2,B14="NEGATIVE"),"Partially Consistent","Inconsistent"))))))</f>
        <v/>
      </c>
      <c r="F14">
        <f>IF(C14="TS","High","Low")</f>
        <v/>
      </c>
      <c r="G14">
        <f>IF(AND(B14="NEUTRAL",F14="Low"),"LOW",IF(AND(C14="TS",F14="High",D14=3),"HIGH",IF(AND(C14="TS",F14="High",OR(D14=2,D14=4)),"HIGH",IF(AND(C14="TS",F14="High",OR(D14=1,D14=5)),"MODERATE",IF(AND(C14="OS",E14="Consistent",OR(D14=1,D14=5)),"MODERATE",IF(AND(C14="OS",E14="Partially Consistent",OR(D14=2,D14=4)),"MODERATE","LOW"))))))</f>
        <v/>
      </c>
      <c r="H14" t="inlineStr"/>
      <c r="I14" t="inlineStr"/>
      <c r="J14" t="inlineStr"/>
      <c r="K14" t="inlineStr"/>
      <c r="L14" t="inlineStr"/>
    </row>
    <row r="15">
      <c r="A15" t="inlineStr">
        <is>
          <t>good, . mabango. . . at pwede sa mga bata. . . tamang tama ang bango at pang araw araw na palitan.</t>
        </is>
      </c>
      <c r="B15" t="inlineStr">
        <is>
          <t>POSITIVE</t>
        </is>
      </c>
      <c r="C15">
        <f>IF(B15="NEUTRAL","TS","OS")</f>
        <v/>
      </c>
      <c r="D15" t="n">
        <v>4</v>
      </c>
      <c r="E15">
        <f>IF(C15="TS",IF(D15=3,"Consistent",IF(OR(D15=2,D15=4),"Partially Consistent","Inconsistent")),IF(D15=3,"Inconsistent",IF(AND(D15=5,B15="POSITIVE"),"Consistent",IF(AND(D15=1,B15="NEGATIVE"),"Consistent",IF(AND(D15=4,B15="POSITIVE"),"Partially Consistent",IF(AND(D15=2,B15="NEGATIVE"),"Partially Consistent","Inconsistent"))))))</f>
        <v/>
      </c>
      <c r="F15">
        <f>IF(C15="TS","High","Low")</f>
        <v/>
      </c>
      <c r="G15">
        <f>IF(AND(B15="NEUTRAL",F15="Low"),"LOW",IF(AND(C15="TS",F15="High",D15=3),"HIGH",IF(AND(C15="TS",F15="High",OR(D15=2,D15=4)),"HIGH",IF(AND(C15="TS",F15="High",OR(D15=1,D15=5)),"MODERATE",IF(AND(C15="OS",E15="Consistent",OR(D15=1,D15=5)),"MODERATE",IF(AND(C15="OS",E15="Partially Consistent",OR(D15=2,D15=4)),"MODERATE","LOW"))))))</f>
        <v/>
      </c>
      <c r="H15" t="inlineStr"/>
      <c r="I15" t="inlineStr"/>
      <c r="J15" t="inlineStr"/>
      <c r="K15" t="inlineStr"/>
      <c r="L15" t="inlineStr"/>
    </row>
    <row r="16">
      <c r="A16" t="inlineStr">
        <is>
          <t>akala q 7 pcs 6 lang pala kulang ng 1</t>
        </is>
      </c>
      <c r="B16" t="inlineStr">
        <is>
          <t>NEGATIVE</t>
        </is>
      </c>
      <c r="C16">
        <f>IF(B16="NEUTRAL","TS","OS")</f>
        <v/>
      </c>
      <c r="D16" t="n">
        <v>4</v>
      </c>
      <c r="E16">
        <f>IF(C16="TS",IF(D16=3,"Consistent",IF(OR(D16=2,D16=4),"Partially Consistent","Inconsistent")),IF(D16=3,"Inconsistent",IF(AND(D16=5,B16="POSITIVE"),"Consistent",IF(AND(D16=1,B16="NEGATIVE"),"Consistent",IF(AND(D16=4,B16="POSITIVE"),"Partially Consistent",IF(AND(D16=2,B16="NEGATIVE"),"Partially Consistent","Inconsistent"))))))</f>
        <v/>
      </c>
      <c r="F16">
        <f>IF(C16="TS","High","Low")</f>
        <v/>
      </c>
      <c r="G16">
        <f>IF(AND(B16="NEUTRAL",F16="Low"),"LOW",IF(AND(C16="TS",F16="High",D16=3),"HIGH",IF(AND(C16="TS",F16="High",OR(D16=2,D16=4)),"HIGH",IF(AND(C16="TS",F16="High",OR(D16=1,D16=5)),"MODERATE",IF(AND(C16="OS",E16="Consistent",OR(D16=1,D16=5)),"MODERATE",IF(AND(C16="OS",E16="Partially Consistent",OR(D16=2,D16=4)),"MODERATE","LOW"))))))</f>
        <v/>
      </c>
      <c r="H16" t="inlineStr"/>
      <c r="I16" t="inlineStr"/>
      <c r="J16" t="inlineStr"/>
      <c r="K16" t="inlineStr"/>
      <c r="L16" t="inlineStr"/>
    </row>
    <row r="17">
      <c r="A17" t="inlineStr">
        <is>
          <t>value for money: mura scent: magbago nmn lahat longevity: sana long lasting maganda din pag kakabalot goods</t>
        </is>
      </c>
      <c r="B17" t="inlineStr">
        <is>
          <t>POSITIVE</t>
        </is>
      </c>
      <c r="C17">
        <f>IF(B17="NEUTRAL","TS","OS")</f>
        <v/>
      </c>
      <c r="D17" t="n">
        <v>4</v>
      </c>
      <c r="E17">
        <f>IF(C17="TS",IF(D17=3,"Consistent",IF(OR(D17=2,D17=4),"Partially Consistent","Inconsistent")),IF(D17=3,"Inconsistent",IF(AND(D17=5,B17="POSITIVE"),"Consistent",IF(AND(D17=1,B17="NEGATIVE"),"Consistent",IF(AND(D17=4,B17="POSITIVE"),"Partially Consistent",IF(AND(D17=2,B17="NEGATIVE"),"Partially Consistent","Inconsistent"))))))</f>
        <v/>
      </c>
      <c r="F17">
        <f>IF(C17="TS","High","Low")</f>
        <v/>
      </c>
      <c r="G17">
        <f>IF(AND(B17="NEUTRAL",F17="Low"),"LOW",IF(AND(C17="TS",F17="High",D17=3),"HIGH",IF(AND(C17="TS",F17="High",OR(D17=2,D17=4)),"HIGH",IF(AND(C17="TS",F17="High",OR(D17=1,D17=5)),"MODERATE",IF(AND(C17="OS",E17="Consistent",OR(D17=1,D17=5)),"MODERATE",IF(AND(C17="OS",E17="Partially Consistent",OR(D17=2,D17=4)),"MODERATE","LOW"))))))</f>
        <v/>
      </c>
      <c r="H17" t="inlineStr"/>
      <c r="I17" t="inlineStr"/>
      <c r="J17" t="inlineStr"/>
      <c r="K17" t="inlineStr"/>
      <c r="L17" t="inlineStr"/>
    </row>
    <row r="18">
      <c r="A18" t="inlineStr">
        <is>
          <t>ideal gift for friends and family, easy to apply and reapply, enhances your mood with different scents,</t>
        </is>
      </c>
      <c r="B18" t="inlineStr">
        <is>
          <t>POSITIVE</t>
        </is>
      </c>
      <c r="C18">
        <f>IF(B18="NEUTRAL","TS","OS")</f>
        <v/>
      </c>
      <c r="D18" t="n">
        <v>4</v>
      </c>
      <c r="E18">
        <f>IF(C18="TS",IF(D18=3,"Consistent",IF(OR(D18=2,D18=4),"Partially Consistent","Inconsistent")),IF(D18=3,"Inconsistent",IF(AND(D18=5,B18="POSITIVE"),"Consistent",IF(AND(D18=1,B18="NEGATIVE"),"Consistent",IF(AND(D18=4,B18="POSITIVE"),"Partially Consistent",IF(AND(D18=2,B18="NEGATIVE"),"Partially Consistent","Inconsistent"))))))</f>
        <v/>
      </c>
      <c r="F18">
        <f>IF(C18="TS","High","Low")</f>
        <v/>
      </c>
      <c r="G18">
        <f>IF(AND(B18="NEUTRAL",F18="Low"),"LOW",IF(AND(C18="TS",F18="High",D18=3),"HIGH",IF(AND(C18="TS",F18="High",OR(D18=2,D18=4)),"HIGH",IF(AND(C18="TS",F18="High",OR(D18=1,D18=5)),"MODERATE",IF(AND(C18="OS",E18="Consistent",OR(D18=1,D18=5)),"MODERATE",IF(AND(C18="OS",E18="Partially Consistent",OR(D18=2,D18=4)),"MODERATE","LOW"))))))</f>
        <v/>
      </c>
      <c r="H18" t="inlineStr"/>
      <c r="I18" t="inlineStr"/>
      <c r="J18" t="inlineStr"/>
      <c r="K18" t="inlineStr"/>
      <c r="L18" t="inlineStr"/>
    </row>
    <row r="19">
      <c r="A19" t="inlineStr">
        <is>
          <t>mabango sya nagustuhan ng sister ko. salamat sellerideal gift for friends and family,</t>
        </is>
      </c>
      <c r="B19" t="inlineStr">
        <is>
          <t>POSITIVE</t>
        </is>
      </c>
      <c r="C19">
        <f>IF(B19="NEUTRAL","TS","OS")</f>
        <v/>
      </c>
      <c r="D19" t="n">
        <v>4</v>
      </c>
      <c r="E19">
        <f>IF(C19="TS",IF(D19=3,"Consistent",IF(OR(D19=2,D19=4),"Partially Consistent","Inconsistent")),IF(D19=3,"Inconsistent",IF(AND(D19=5,B19="POSITIVE"),"Consistent",IF(AND(D19=1,B19="NEGATIVE"),"Consistent",IF(AND(D19=4,B19="POSITIVE"),"Partially Consistent",IF(AND(D19=2,B19="NEGATIVE"),"Partially Consistent","Inconsistent"))))))</f>
        <v/>
      </c>
      <c r="F19">
        <f>IF(C19="TS","High","Low")</f>
        <v/>
      </c>
      <c r="G19">
        <f>IF(AND(B19="NEUTRAL",F19="Low"),"LOW",IF(AND(C19="TS",F19="High",D19=3),"HIGH",IF(AND(C19="TS",F19="High",OR(D19=2,D19=4)),"HIGH",IF(AND(C19="TS",F19="High",OR(D19=1,D19=5)),"MODERATE",IF(AND(C19="OS",E19="Consistent",OR(D19=1,D19=5)),"MODERATE",IF(AND(C19="OS",E19="Partially Consistent",OR(D19=2,D19=4)),"MODERATE","LOW"))))))</f>
        <v/>
      </c>
      <c r="H19" t="inlineStr"/>
      <c r="I19" t="inlineStr"/>
      <c r="J19" t="inlineStr"/>
      <c r="K19" t="inlineStr"/>
      <c r="L19" t="inlineStr"/>
    </row>
    <row r="20">
      <c r="A20" t="inlineStr">
        <is>
          <t>keeps you feeling fresh and cool, a must-have in your daily routine, . . . great value for money, keah lng kulang ng 1. . . thank you seller &amp; xa delivery. . .</t>
        </is>
      </c>
      <c r="B20" t="inlineStr">
        <is>
          <t>POSITIVE</t>
        </is>
      </c>
      <c r="C20">
        <f>IF(B20="NEUTRAL","TS","OS")</f>
        <v/>
      </c>
      <c r="D20" t="n">
        <v>4</v>
      </c>
      <c r="E20">
        <f>IF(C20="TS",IF(D20=3,"Consistent",IF(OR(D20=2,D20=4),"Partially Consistent","Inconsistent")),IF(D20=3,"Inconsistent",IF(AND(D20=5,B20="POSITIVE"),"Consistent",IF(AND(D20=1,B20="NEGATIVE"),"Consistent",IF(AND(D20=4,B20="POSITIVE"),"Partially Consistent",IF(AND(D20=2,B20="NEGATIVE"),"Partially Consistent","Inconsistent"))))))</f>
        <v/>
      </c>
      <c r="F20">
        <f>IF(C20="TS","High","Low")</f>
        <v/>
      </c>
      <c r="G20">
        <f>IF(AND(B20="NEUTRAL",F20="Low"),"LOW",IF(AND(C20="TS",F20="High",D20=3),"HIGH",IF(AND(C20="TS",F20="High",OR(D20=2,D20=4)),"HIGH",IF(AND(C20="TS",F20="High",OR(D20=1,D20=5)),"MODERATE",IF(AND(C20="OS",E20="Consistent",OR(D20=1,D20=5)),"MODERATE",IF(AND(C20="OS",E20="Partially Consistent",OR(D20=2,D20=4)),"MODERATE","LOW"))))))</f>
        <v/>
      </c>
      <c r="H20" t="inlineStr"/>
      <c r="I20" t="inlineStr"/>
      <c r="J20" t="inlineStr"/>
      <c r="K20" t="inlineStr"/>
      <c r="L20" t="inlineStr"/>
    </row>
    <row r="21">
      <c r="A21" t="inlineStr">
        <is>
          <t>sabi 6 + 1 pero dumating 6 pcs. lang isang box wala naman yung + 1</t>
        </is>
      </c>
      <c r="B21" t="inlineStr">
        <is>
          <t>NEGATIVE</t>
        </is>
      </c>
      <c r="C21">
        <f>IF(B21="NEUTRAL","TS","OS")</f>
        <v/>
      </c>
      <c r="D21" t="n">
        <v>4</v>
      </c>
      <c r="E21">
        <f>IF(C21="TS",IF(D21=3,"Consistent",IF(OR(D21=2,D21=4),"Partially Consistent","Inconsistent")),IF(D21=3,"Inconsistent",IF(AND(D21=5,B21="POSITIVE"),"Consistent",IF(AND(D21=1,B21="NEGATIVE"),"Consistent",IF(AND(D21=4,B21="POSITIVE"),"Partially Consistent",IF(AND(D21=2,B21="NEGATIVE"),"Partially Consistent","Inconsistent"))))))</f>
        <v/>
      </c>
      <c r="F21">
        <f>IF(C21="TS","High","Low")</f>
        <v/>
      </c>
      <c r="G21">
        <f>IF(AND(B21="NEUTRAL",F21="Low"),"LOW",IF(AND(C21="TS",F21="High",D21=3),"HIGH",IF(AND(C21="TS",F21="High",OR(D21=2,D21=4)),"HIGH",IF(AND(C21="TS",F21="High",OR(D21=1,D21=5)),"MODERATE",IF(AND(C21="OS",E21="Consistent",OR(D21=1,D21=5)),"MODERATE",IF(AND(C21="OS",E21="Partially Consistent",OR(D21=2,D21=4)),"MODERATE","LOW"))))))</f>
        <v/>
      </c>
      <c r="H21" t="inlineStr"/>
      <c r="I21" t="inlineStr"/>
      <c r="J21" t="inlineStr"/>
      <c r="K21" t="inlineStr"/>
      <c r="L21" t="inlineStr"/>
    </row>
    <row r="22">
      <c r="A22" t="inlineStr">
        <is>
          <t>good, but di sya 6+1 ngayon ko lang na pansin sa subrang busy ko di ko na pansin agad alam ko nmn dati pa ba 7 pcs ang laman kung kilan 2 boxes ang in order tzaka pa kulang.</t>
        </is>
      </c>
      <c r="B22" t="inlineStr">
        <is>
          <t>NEGATIVE</t>
        </is>
      </c>
      <c r="C22">
        <f>IF(B22="NEUTRAL","TS","OS")</f>
        <v/>
      </c>
      <c r="D22" t="n">
        <v>3</v>
      </c>
      <c r="E22">
        <f>IF(C22="TS",IF(D22=3,"Consistent",IF(OR(D22=2,D22=4),"Partially Consistent","Inconsistent")),IF(D22=3,"Inconsistent",IF(AND(D22=5,B22="POSITIVE"),"Consistent",IF(AND(D22=1,B22="NEGATIVE"),"Consistent",IF(AND(D22=4,B22="POSITIVE"),"Partially Consistent",IF(AND(D22=2,B22="NEGATIVE"),"Partially Consistent","Inconsistent"))))))</f>
        <v/>
      </c>
      <c r="F22">
        <f>IF(C22="TS","High","Low")</f>
        <v/>
      </c>
      <c r="G22">
        <f>IF(AND(B22="NEUTRAL",F22="Low"),"LOW",IF(AND(C22="TS",F22="High",D22=3),"HIGH",IF(AND(C22="TS",F22="High",OR(D22=2,D22=4)),"HIGH",IF(AND(C22="TS",F22="High",OR(D22=1,D22=5)),"MODERATE",IF(AND(C22="OS",E22="Consistent",OR(D22=1,D22=5)),"MODERATE",IF(AND(C22="OS",E22="Partially Consistent",OR(D22=2,D22=4)),"MODERATE","LOW"))))))</f>
        <v/>
      </c>
      <c r="H22" t="inlineStr"/>
      <c r="I22" t="inlineStr"/>
      <c r="J22" t="inlineStr"/>
      <c r="K22" t="inlineStr"/>
      <c r="L22" t="inlineStr"/>
    </row>
    <row r="23">
      <c r="A23" t="inlineStr">
        <is>
          <t>bakit po kulang isa? 6 lang po dumating 7 po nasa picture</t>
        </is>
      </c>
      <c r="B23" t="inlineStr">
        <is>
          <t>NEGATIVE</t>
        </is>
      </c>
      <c r="C23">
        <f>IF(B23="NEUTRAL","TS","OS")</f>
        <v/>
      </c>
      <c r="D23" t="n">
        <v>3</v>
      </c>
      <c r="E23">
        <f>IF(C23="TS",IF(D23=3,"Consistent",IF(OR(D23=2,D23=4),"Partially Consistent","Inconsistent")),IF(D23=3,"Inconsistent",IF(AND(D23=5,B23="POSITIVE"),"Consistent",IF(AND(D23=1,B23="NEGATIVE"),"Consistent",IF(AND(D23=4,B23="POSITIVE"),"Partially Consistent",IF(AND(D23=2,B23="NEGATIVE"),"Partially Consistent","Inconsistent"))))))</f>
        <v/>
      </c>
      <c r="F23">
        <f>IF(C23="TS","High","Low")</f>
        <v/>
      </c>
      <c r="G23">
        <f>IF(AND(B23="NEUTRAL",F23="Low"),"LOW",IF(AND(C23="TS",F23="High",D23=3),"HIGH",IF(AND(C23="TS",F23="High",OR(D23=2,D23=4)),"HIGH",IF(AND(C23="TS",F23="High",OR(D23=1,D23=5)),"MODERATE",IF(AND(C23="OS",E23="Consistent",OR(D23=1,D23=5)),"MODERATE",IF(AND(C23="OS",E23="Partially Consistent",OR(D23=2,D23=4)),"MODERATE","LOW"))))))</f>
        <v/>
      </c>
      <c r="H23" t="inlineStr"/>
      <c r="I23" t="inlineStr"/>
      <c r="J23" t="inlineStr"/>
      <c r="K23" t="inlineStr"/>
      <c r="L23" t="inlineStr"/>
    </row>
    <row r="24">
      <c r="A24" t="inlineStr">
        <is>
          <t>ideal gift for friends and family,</t>
        </is>
      </c>
      <c r="B24" t="inlineStr">
        <is>
          <t>POSITIVE</t>
        </is>
      </c>
      <c r="C24">
        <f>IF(B24="NEUTRAL","TS","OS")</f>
        <v/>
      </c>
      <c r="D24" t="n">
        <v>3</v>
      </c>
      <c r="E24">
        <f>IF(C24="TS",IF(D24=3,"Consistent",IF(OR(D24=2,D24=4),"Partially Consistent","Inconsistent")),IF(D24=3,"Inconsistent",IF(AND(D24=5,B24="POSITIVE"),"Consistent",IF(AND(D24=1,B24="NEGATIVE"),"Consistent",IF(AND(D24=4,B24="POSITIVE"),"Partially Consistent",IF(AND(D24=2,B24="NEGATIVE"),"Partially Consistent","Inconsistent"))))))</f>
        <v/>
      </c>
      <c r="F24">
        <f>IF(C24="TS","High","Low")</f>
        <v/>
      </c>
      <c r="G24">
        <f>IF(AND(B24="NEUTRAL",F24="Low"),"LOW",IF(AND(C24="TS",F24="High",D24=3),"HIGH",IF(AND(C24="TS",F24="High",OR(D24=2,D24=4)),"HIGH",IF(AND(C24="TS",F24="High",OR(D24=1,D24=5)),"MODERATE",IF(AND(C24="OS",E24="Consistent",OR(D24=1,D24=5)),"MODERATE",IF(AND(C24="OS",E24="Partially Consistent",OR(D24=2,D24=4)),"MODERATE","LOW"))))))</f>
        <v/>
      </c>
      <c r="H24" t="inlineStr"/>
      <c r="I24" t="inlineStr"/>
      <c r="J24" t="inlineStr"/>
      <c r="K24" t="inlineStr"/>
      <c r="L24" t="inlineStr"/>
    </row>
    <row r="25">
      <c r="A25" t="inlineStr">
        <is>
          <t>3/5 kulang kase ng isa 6+1 tapos 6 lang dumating may leak pa</t>
        </is>
      </c>
      <c r="B25" t="inlineStr">
        <is>
          <t>NEGATIVE</t>
        </is>
      </c>
      <c r="C25">
        <f>IF(B25="NEUTRAL","TS","OS")</f>
        <v/>
      </c>
      <c r="D25" t="n">
        <v>3</v>
      </c>
      <c r="E25">
        <f>IF(C25="TS",IF(D25=3,"Consistent",IF(OR(D25=2,D25=4),"Partially Consistent","Inconsistent")),IF(D25=3,"Inconsistent",IF(AND(D25=5,B25="POSITIVE"),"Consistent",IF(AND(D25=1,B25="NEGATIVE"),"Consistent",IF(AND(D25=4,B25="POSITIVE"),"Partially Consistent",IF(AND(D25=2,B25="NEGATIVE"),"Partially Consistent","Inconsistent"))))))</f>
        <v/>
      </c>
      <c r="F25">
        <f>IF(C25="TS","High","Low")</f>
        <v/>
      </c>
      <c r="G25">
        <f>IF(AND(B25="NEUTRAL",F25="Low"),"LOW",IF(AND(C25="TS",F25="High",D25=3),"HIGH",IF(AND(C25="TS",F25="High",OR(D25=2,D25=4)),"HIGH",IF(AND(C25="TS",F25="High",OR(D25=1,D25=5)),"MODERATE",IF(AND(C25="OS",E25="Consistent",OR(D25=1,D25=5)),"MODERATE",IF(AND(C25="OS",E25="Partially Consistent",OR(D25=2,D25=4)),"MODERATE","LOW"))))))</f>
        <v/>
      </c>
      <c r="H25" t="inlineStr"/>
      <c r="I25" t="inlineStr"/>
      <c r="J25" t="inlineStr"/>
      <c r="K25" t="inlineStr"/>
      <c r="L25" t="inlineStr"/>
    </row>
    <row r="26">
      <c r="A26" t="inlineStr">
        <is>
          <t>okay sana kaso natapon yong iba e</t>
        </is>
      </c>
      <c r="B26" t="inlineStr">
        <is>
          <t>NEUTRAL</t>
        </is>
      </c>
      <c r="C26">
        <f>IF(B26="NEUTRAL","TS","OS")</f>
        <v/>
      </c>
      <c r="D26" t="n">
        <v>3</v>
      </c>
      <c r="E26">
        <f>IF(C26="TS",IF(D26=3,"Consistent",IF(OR(D26=2,D26=4),"Partially Consistent","Inconsistent")),IF(D26=3,"Inconsistent",IF(AND(D26=5,B26="POSITIVE"),"Consistent",IF(AND(D26=1,B26="NEGATIVE"),"Consistent",IF(AND(D26=4,B26="POSITIVE"),"Partially Consistent",IF(AND(D26=2,B26="NEGATIVE"),"Partially Consistent","Inconsistent"))))))</f>
        <v/>
      </c>
      <c r="F26">
        <f>IF(C26="TS","High","Low")</f>
        <v/>
      </c>
      <c r="G26">
        <f>IF(AND(B26="NEUTRAL",F26="Low"),"LOW",IF(AND(C26="TS",F26="High",D26=3),"HIGH",IF(AND(C26="TS",F26="High",OR(D26=2,D26=4)),"HIGH",IF(AND(C26="TS",F26="High",OR(D26=1,D26=5)),"MODERATE",IF(AND(C26="OS",E26="Consistent",OR(D26=1,D26=5)),"MODERATE",IF(AND(C26="OS",E26="Partially Consistent",OR(D26=2,D26=4)),"MODERATE","LOW"))))))</f>
        <v/>
      </c>
      <c r="H26" t="inlineStr"/>
      <c r="I26" t="inlineStr"/>
      <c r="J26" t="inlineStr"/>
      <c r="K26" t="inlineStr"/>
      <c r="L26" t="inlineStr"/>
    </row>
    <row r="27">
      <c r="A27" t="inlineStr">
        <is>
          <t>maganda po sya salamat seller</t>
        </is>
      </c>
      <c r="B27" t="inlineStr">
        <is>
          <t>POSITIVE</t>
        </is>
      </c>
      <c r="C27">
        <f>IF(B27="NEUTRAL","TS","OS")</f>
        <v/>
      </c>
      <c r="D27" t="n">
        <v>3</v>
      </c>
      <c r="E27">
        <f>IF(C27="TS",IF(D27=3,"Consistent",IF(OR(D27=2,D27=4),"Partially Consistent","Inconsistent")),IF(D27=3,"Inconsistent",IF(AND(D27=5,B27="POSITIVE"),"Consistent",IF(AND(D27=1,B27="NEGATIVE"),"Consistent",IF(AND(D27=4,B27="POSITIVE"),"Partially Consistent",IF(AND(D27=2,B27="NEGATIVE"),"Partially Consistent","Inconsistent"))))))</f>
        <v/>
      </c>
      <c r="F27">
        <f>IF(C27="TS","High","Low")</f>
        <v/>
      </c>
      <c r="G27">
        <f>IF(AND(B27="NEUTRAL",F27="Low"),"LOW",IF(AND(C27="TS",F27="High",D27=3),"HIGH",IF(AND(C27="TS",F27="High",OR(D27=2,D27=4)),"HIGH",IF(AND(C27="TS",F27="High",OR(D27=1,D27=5)),"MODERATE",IF(AND(C27="OS",E27="Consistent",OR(D27=1,D27=5)),"MODERATE",IF(AND(C27="OS",E27="Partially Consistent",OR(D27=2,D27=4)),"MODERATE","LOW"))))))</f>
        <v/>
      </c>
      <c r="H27" t="inlineStr"/>
      <c r="I27" t="inlineStr"/>
      <c r="J27" t="inlineStr"/>
      <c r="K27" t="inlineStr"/>
      <c r="L27" t="inlineStr"/>
    </row>
    <row r="28">
      <c r="A28" t="inlineStr">
        <is>
          <t>kulang ng isang scent, yung purple</t>
        </is>
      </c>
      <c r="B28" t="inlineStr">
        <is>
          <t>NEGATIVE</t>
        </is>
      </c>
      <c r="C28">
        <f>IF(B28="NEUTRAL","TS","OS")</f>
        <v/>
      </c>
      <c r="D28" t="n">
        <v>3</v>
      </c>
      <c r="E28">
        <f>IF(C28="TS",IF(D28=3,"Consistent",IF(OR(D28=2,D28=4),"Partially Consistent","Inconsistent")),IF(D28=3,"Inconsistent",IF(AND(D28=5,B28="POSITIVE"),"Consistent",IF(AND(D28=1,B28="NEGATIVE"),"Consistent",IF(AND(D28=4,B28="POSITIVE"),"Partially Consistent",IF(AND(D28=2,B28="NEGATIVE"),"Partially Consistent","Inconsistent"))))))</f>
        <v/>
      </c>
      <c r="F28">
        <f>IF(C28="TS","High","Low")</f>
        <v/>
      </c>
      <c r="G28">
        <f>IF(AND(B28="NEUTRAL",F28="Low"),"LOW",IF(AND(C28="TS",F28="High",D28=3),"HIGH",IF(AND(C28="TS",F28="High",OR(D28=2,D28=4)),"HIGH",IF(AND(C28="TS",F28="High",OR(D28=1,D28=5)),"MODERATE",IF(AND(C28="OS",E28="Consistent",OR(D28=1,D28=5)),"MODERATE",IF(AND(C28="OS",E28="Partially Consistent",OR(D28=2,D28=4)),"MODERATE","LOW"))))))</f>
        <v/>
      </c>
      <c r="H28" t="inlineStr"/>
      <c r="I28" t="inlineStr"/>
      <c r="J28" t="inlineStr"/>
      <c r="K28" t="inlineStr"/>
      <c r="L28" t="inlineStr"/>
    </row>
    <row r="29">
      <c r="A29" t="inlineStr">
        <is>
          <t>anliit pla pero ok nmn</t>
        </is>
      </c>
      <c r="B29" t="inlineStr">
        <is>
          <t>NEUTRAL</t>
        </is>
      </c>
      <c r="C29">
        <f>IF(B29="NEUTRAL","TS","OS")</f>
        <v/>
      </c>
      <c r="D29" t="n">
        <v>3</v>
      </c>
      <c r="E29">
        <f>IF(C29="TS",IF(D29=3,"Consistent",IF(OR(D29=2,D29=4),"Partially Consistent","Inconsistent")),IF(D29=3,"Inconsistent",IF(AND(D29=5,B29="POSITIVE"),"Consistent",IF(AND(D29=1,B29="NEGATIVE"),"Consistent",IF(AND(D29=4,B29="POSITIVE"),"Partially Consistent",IF(AND(D29=2,B29="NEGATIVE"),"Partially Consistent","Inconsistent"))))))</f>
        <v/>
      </c>
      <c r="F29">
        <f>IF(C29="TS","High","Low")</f>
        <v/>
      </c>
      <c r="G29">
        <f>IF(AND(B29="NEUTRAL",F29="Low"),"LOW",IF(AND(C29="TS",F29="High",D29=3),"HIGH",IF(AND(C29="TS",F29="High",OR(D29=2,D29=4)),"HIGH",IF(AND(C29="TS",F29="High",OR(D29=1,D29=5)),"MODERATE",IF(AND(C29="OS",E29="Consistent",OR(D29=1,D29=5)),"MODERATE",IF(AND(C29="OS",E29="Partially Consistent",OR(D29=2,D29=4)),"MODERATE","LOW"))))))</f>
        <v/>
      </c>
      <c r="H29" t="inlineStr"/>
      <c r="I29" t="inlineStr"/>
      <c r="J29" t="inlineStr"/>
      <c r="K29" t="inlineStr"/>
      <c r="L29" t="inlineStr"/>
    </row>
    <row r="30">
      <c r="A30" t="inlineStr">
        <is>
          <t>value for money</t>
        </is>
      </c>
      <c r="B30" t="inlineStr">
        <is>
          <t>NEGATIVE</t>
        </is>
      </c>
      <c r="C30">
        <f>IF(B30="NEUTRAL","TS","OS")</f>
        <v/>
      </c>
      <c r="D30" t="n">
        <v>3</v>
      </c>
      <c r="E30">
        <f>IF(C30="TS",IF(D30=3,"Consistent",IF(OR(D30=2,D30=4),"Partially Consistent","Inconsistent")),IF(D30=3,"Inconsistent",IF(AND(D30=5,B30="POSITIVE"),"Consistent",IF(AND(D30=1,B30="NEGATIVE"),"Consistent",IF(AND(D30=4,B30="POSITIVE"),"Partially Consistent",IF(AND(D30=2,B30="NEGATIVE"),"Partially Consistent","Inconsistent"))))))</f>
        <v/>
      </c>
      <c r="F30">
        <f>IF(C30="TS","High","Low")</f>
        <v/>
      </c>
      <c r="G30">
        <f>IF(AND(B30="NEUTRAL",F30="Low"),"LOW",IF(AND(C30="TS",F30="High",D30=3),"HIGH",IF(AND(C30="TS",F30="High",OR(D30=2,D30=4)),"HIGH",IF(AND(C30="TS",F30="High",OR(D30=1,D30=5)),"MODERATE",IF(AND(C30="OS",E30="Consistent",OR(D30=1,D30=5)),"MODERATE",IF(AND(C30="OS",E30="Partially Consistent",OR(D30=2,D30=4)),"MODERATE","LOW"))))))</f>
        <v/>
      </c>
      <c r="H30" t="inlineStr"/>
      <c r="I30" t="inlineStr"/>
      <c r="J30" t="inlineStr"/>
      <c r="K30" t="inlineStr"/>
      <c r="L30" t="inlineStr"/>
    </row>
    <row r="31">
      <c r="A31" t="inlineStr">
        <is>
          <t>kulang ng 1pc</t>
        </is>
      </c>
      <c r="B31" t="inlineStr">
        <is>
          <t>NEGATIVE</t>
        </is>
      </c>
      <c r="C31">
        <f>IF(B31="NEUTRAL","TS","OS")</f>
        <v/>
      </c>
      <c r="D31" t="n">
        <v>3</v>
      </c>
      <c r="E31">
        <f>IF(C31="TS",IF(D31=3,"Consistent",IF(OR(D31=2,D31=4),"Partially Consistent","Inconsistent")),IF(D31=3,"Inconsistent",IF(AND(D31=5,B31="POSITIVE"),"Consistent",IF(AND(D31=1,B31="NEGATIVE"),"Consistent",IF(AND(D31=4,B31="POSITIVE"),"Partially Consistent",IF(AND(D31=2,B31="NEGATIVE"),"Partially Consistent","Inconsistent"))))))</f>
        <v/>
      </c>
      <c r="F31">
        <f>IF(C31="TS","High","Low")</f>
        <v/>
      </c>
      <c r="G31">
        <f>IF(AND(B31="NEUTRAL",F31="Low"),"LOW",IF(AND(C31="TS",F31="High",D31=3),"HIGH",IF(AND(C31="TS",F31="High",OR(D31=2,D31=4)),"HIGH",IF(AND(C31="TS",F31="High",OR(D31=1,D31=5)),"MODERATE",IF(AND(C31="OS",E31="Consistent",OR(D31=1,D31=5)),"MODERATE",IF(AND(C31="OS",E31="Partially Consistent",OR(D31=2,D31=4)),"MODERATE","LOW"))))))</f>
        <v/>
      </c>
      <c r="H31" t="inlineStr"/>
      <c r="I31" t="inlineStr"/>
      <c r="J31" t="inlineStr"/>
      <c r="K31" t="inlineStr"/>
      <c r="L31" t="inlineStr"/>
    </row>
    <row r="32">
      <c r="A32" t="inlineStr">
        <is>
          <t>perfect for everyday use, great value for money,</t>
        </is>
      </c>
      <c r="B32" t="inlineStr">
        <is>
          <t>POSITIVE</t>
        </is>
      </c>
      <c r="C32">
        <f>IF(B32="NEUTRAL","TS","OS")</f>
        <v/>
      </c>
      <c r="D32" t="n">
        <v>2</v>
      </c>
      <c r="E32">
        <f>IF(C32="TS",IF(D32=3,"Consistent",IF(OR(D32=2,D32=4),"Partially Consistent","Inconsistent")),IF(D32=3,"Inconsistent",IF(AND(D32=5,B32="POSITIVE"),"Consistent",IF(AND(D32=1,B32="NEGATIVE"),"Consistent",IF(AND(D32=4,B32="POSITIVE"),"Partially Consistent",IF(AND(D32=2,B32="NEGATIVE"),"Partially Consistent","Inconsistent"))))))</f>
        <v/>
      </c>
      <c r="F32">
        <f>IF(C32="TS","High","Low")</f>
        <v/>
      </c>
      <c r="G32">
        <f>IF(AND(B32="NEUTRAL",F32="Low"),"LOW",IF(AND(C32="TS",F32="High",D32=3),"HIGH",IF(AND(C32="TS",F32="High",OR(D32=2,D32=4)),"HIGH",IF(AND(C32="TS",F32="High",OR(D32=1,D32=5)),"MODERATE",IF(AND(C32="OS",E32="Consistent",OR(D32=1,D32=5)),"MODERATE",IF(AND(C32="OS",E32="Partially Consistent",OR(D32=2,D32=4)),"MODERATE","LOW"))))))</f>
        <v/>
      </c>
      <c r="H32" t="inlineStr"/>
      <c r="I32" t="inlineStr"/>
      <c r="J32" t="inlineStr"/>
      <c r="K32" t="inlineStr"/>
      <c r="L32" t="inlineStr"/>
    </row>
    <row r="33">
      <c r="A33" t="inlineStr">
        <is>
          <t>bkt nmn ganu un orange walang amoy yung pink ganun din at un green. . alm ko ang bango nun green at orange pero dto wala. .</t>
        </is>
      </c>
      <c r="B33" t="inlineStr">
        <is>
          <t>NEGATIVE</t>
        </is>
      </c>
      <c r="C33">
        <f>IF(B33="NEUTRAL","TS","OS")</f>
        <v/>
      </c>
      <c r="D33" t="n">
        <v>2</v>
      </c>
      <c r="E33">
        <f>IF(C33="TS",IF(D33=3,"Consistent",IF(OR(D33=2,D33=4),"Partially Consistent","Inconsistent")),IF(D33=3,"Inconsistent",IF(AND(D33=5,B33="POSITIVE"),"Consistent",IF(AND(D33=1,B33="NEGATIVE"),"Consistent",IF(AND(D33=4,B33="POSITIVE"),"Partially Consistent",IF(AND(D33=2,B33="NEGATIVE"),"Partially Consistent","Inconsistent"))))))</f>
        <v/>
      </c>
      <c r="F33">
        <f>IF(C33="TS","High","Low")</f>
        <v/>
      </c>
      <c r="G33">
        <f>IF(AND(B33="NEUTRAL",F33="Low"),"LOW",IF(AND(C33="TS",F33="High",D33=3),"HIGH",IF(AND(C33="TS",F33="High",OR(D33=2,D33=4)),"HIGH",IF(AND(C33="TS",F33="High",OR(D33=1,D33=5)),"MODERATE",IF(AND(C33="OS",E33="Consistent",OR(D33=1,D33=5)),"MODERATE",IF(AND(C33="OS",E33="Partially Consistent",OR(D33=2,D33=4)),"MODERATE","LOW"))))))</f>
        <v/>
      </c>
      <c r="H33" t="inlineStr"/>
      <c r="I33" t="inlineStr"/>
      <c r="J33" t="inlineStr"/>
      <c r="K33" t="inlineStr"/>
      <c r="L33" t="inlineStr"/>
    </row>
    <row r="34">
      <c r="A34" t="inlineStr">
        <is>
          <t>goods naman yung sabon. yung cologne langs haha nagleaked yung isang pink, upon checking, yupiyupi yung opening ng bottle pero wala namang damage pinaka takip niya. hindi ko tuloy alam kung courier or pinacked nila to ng may damage yung item.</t>
        </is>
      </c>
      <c r="B34" t="inlineStr">
        <is>
          <t>NEUTRAL</t>
        </is>
      </c>
      <c r="C34">
        <f>IF(B34="NEUTRAL","TS","OS")</f>
        <v/>
      </c>
      <c r="D34" t="n">
        <v>2</v>
      </c>
      <c r="E34">
        <f>IF(C34="TS",IF(D34=3,"Consistent",IF(OR(D34=2,D34=4),"Partially Consistent","Inconsistent")),IF(D34=3,"Inconsistent",IF(AND(D34=5,B34="POSITIVE"),"Consistent",IF(AND(D34=1,B34="NEGATIVE"),"Consistent",IF(AND(D34=4,B34="POSITIVE"),"Partially Consistent",IF(AND(D34=2,B34="NEGATIVE"),"Partially Consistent","Inconsistent"))))))</f>
        <v/>
      </c>
      <c r="F34">
        <f>IF(C34="TS","High","Low")</f>
        <v/>
      </c>
      <c r="G34">
        <f>IF(AND(B34="NEUTRAL",F34="Low"),"LOW",IF(AND(C34="TS",F34="High",D34=3),"HIGH",IF(AND(C34="TS",F34="High",OR(D34=2,D34=4)),"HIGH",IF(AND(C34="TS",F34="High",OR(D34=1,D34=5)),"MODERATE",IF(AND(C34="OS",E34="Consistent",OR(D34=1,D34=5)),"MODERATE",IF(AND(C34="OS",E34="Partially Consistent",OR(D34=2,D34=4)),"MODERATE","LOW"))))))</f>
        <v/>
      </c>
      <c r="H34" t="inlineStr"/>
      <c r="I34" t="inlineStr"/>
      <c r="J34" t="inlineStr"/>
      <c r="K34" t="inlineStr"/>
      <c r="L34" t="inlineStr"/>
    </row>
    <row r="35">
      <c r="A35" t="inlineStr">
        <is>
          <t>dissapointed kulang ng isa kada box ang order ko 6 +1 sana nga checkbefore ideliver nakakahiya sa pag bibigyan baka sabihin kinuhaan pa ng isa</t>
        </is>
      </c>
      <c r="B35" t="inlineStr">
        <is>
          <t>NEGATIVE</t>
        </is>
      </c>
      <c r="C35">
        <f>IF(B35="NEUTRAL","TS","OS")</f>
        <v/>
      </c>
      <c r="D35" t="n">
        <v>2</v>
      </c>
      <c r="E35">
        <f>IF(C35="TS",IF(D35=3,"Consistent",IF(OR(D35=2,D35=4),"Partially Consistent","Inconsistent")),IF(D35=3,"Inconsistent",IF(AND(D35=5,B35="POSITIVE"),"Consistent",IF(AND(D35=1,B35="NEGATIVE"),"Consistent",IF(AND(D35=4,B35="POSITIVE"),"Partially Consistent",IF(AND(D35=2,B35="NEGATIVE"),"Partially Consistent","Inconsistent"))))))</f>
        <v/>
      </c>
      <c r="F35">
        <f>IF(C35="TS","High","Low")</f>
        <v/>
      </c>
      <c r="G35">
        <f>IF(AND(B35="NEUTRAL",F35="Low"),"LOW",IF(AND(C35="TS",F35="High",D35=3),"HIGH",IF(AND(C35="TS",F35="High",OR(D35=2,D35=4)),"HIGH",IF(AND(C35="TS",F35="High",OR(D35=1,D35=5)),"MODERATE",IF(AND(C35="OS",E35="Consistent",OR(D35=1,D35=5)),"MODERATE",IF(AND(C35="OS",E35="Partially Consistent",OR(D35=2,D35=4)),"MODERATE","LOW"))))))</f>
        <v/>
      </c>
      <c r="H35" t="inlineStr"/>
      <c r="I35" t="inlineStr"/>
      <c r="J35" t="inlineStr"/>
      <c r="K35" t="inlineStr"/>
      <c r="L35" t="inlineStr"/>
    </row>
    <row r="36">
      <c r="A36" t="inlineStr">
        <is>
          <t>mabango po xa, kya sa su2nod oorder ulit ako</t>
        </is>
      </c>
      <c r="B36" t="inlineStr">
        <is>
          <t>POSITIVE</t>
        </is>
      </c>
      <c r="C36">
        <f>IF(B36="NEUTRAL","TS","OS")</f>
        <v/>
      </c>
      <c r="D36" t="n">
        <v>2</v>
      </c>
      <c r="E36">
        <f>IF(C36="TS",IF(D36=3,"Consistent",IF(OR(D36=2,D36=4),"Partially Consistent","Inconsistent")),IF(D36=3,"Inconsistent",IF(AND(D36=5,B36="POSITIVE"),"Consistent",IF(AND(D36=1,B36="NEGATIVE"),"Consistent",IF(AND(D36=4,B36="POSITIVE"),"Partially Consistent",IF(AND(D36=2,B36="NEGATIVE"),"Partially Consistent","Inconsistent"))))))</f>
        <v/>
      </c>
      <c r="F36">
        <f>IF(C36="TS","High","Low")</f>
        <v/>
      </c>
      <c r="G36">
        <f>IF(AND(B36="NEUTRAL",F36="Low"),"LOW",IF(AND(C36="TS",F36="High",D36=3),"HIGH",IF(AND(C36="TS",F36="High",OR(D36=2,D36=4)),"HIGH",IF(AND(C36="TS",F36="High",OR(D36=1,D36=5)),"MODERATE",IF(AND(C36="OS",E36="Consistent",OR(D36=1,D36=5)),"MODERATE",IF(AND(C36="OS",E36="Partially Consistent",OR(D36=2,D36=4)),"MODERATE","LOW"))))))</f>
        <v/>
      </c>
      <c r="H36" t="inlineStr"/>
      <c r="I36" t="inlineStr"/>
      <c r="J36" t="inlineStr"/>
      <c r="K36" t="inlineStr"/>
      <c r="L36" t="inlineStr"/>
    </row>
    <row r="37">
      <c r="A37" t="inlineStr">
        <is>
          <t>narecieve ko pero kulang isa anim lang, , pero laman ng nasabix pito. . . . . bat ganun kulang isa</t>
        </is>
      </c>
      <c r="B37" t="inlineStr">
        <is>
          <t>NEGATIVE</t>
        </is>
      </c>
      <c r="C37">
        <f>IF(B37="NEUTRAL","TS","OS")</f>
        <v/>
      </c>
      <c r="D37" t="n">
        <v>1</v>
      </c>
      <c r="E37">
        <f>IF(C37="TS",IF(D37=3,"Consistent",IF(OR(D37=2,D37=4),"Partially Consistent","Inconsistent")),IF(D37=3,"Inconsistent",IF(AND(D37=5,B37="POSITIVE"),"Consistent",IF(AND(D37=1,B37="NEGATIVE"),"Consistent",IF(AND(D37=4,B37="POSITIVE"),"Partially Consistent",IF(AND(D37=2,B37="NEGATIVE"),"Partially Consistent","Inconsistent"))))))</f>
        <v/>
      </c>
      <c r="F37">
        <f>IF(C37="TS","High","Low")</f>
        <v/>
      </c>
      <c r="G37">
        <f>IF(AND(B37="NEUTRAL",F37="Low"),"LOW",IF(AND(C37="TS",F37="High",D37=3),"HIGH",IF(AND(C37="TS",F37="High",OR(D37=2,D37=4)),"HIGH",IF(AND(C37="TS",F37="High",OR(D37=1,D37=5)),"MODERATE",IF(AND(C37="OS",E37="Consistent",OR(D37=1,D37=5)),"MODERATE",IF(AND(C37="OS",E37="Partially Consistent",OR(D37=2,D37=4)),"MODERATE","LOW"))))))</f>
        <v/>
      </c>
      <c r="H37" t="inlineStr"/>
      <c r="I37" t="inlineStr"/>
      <c r="J37" t="inlineStr"/>
      <c r="K37" t="inlineStr"/>
      <c r="L37" t="inlineStr"/>
    </row>
    <row r="38">
      <c r="A38" t="inlineStr">
        <is>
          <t>hindi ko nareceived ung item ko, kahit pa sbhing cash on delivery ewan ko natipuhan ata ni kuyang nagdedeliver ilang beses na out for delivery pero walang dumating.</t>
        </is>
      </c>
      <c r="B38" t="inlineStr">
        <is>
          <t>NEGATIVE</t>
        </is>
      </c>
      <c r="C38">
        <f>IF(B38="NEUTRAL","TS","OS")</f>
        <v/>
      </c>
      <c r="D38" t="n">
        <v>1</v>
      </c>
      <c r="E38">
        <f>IF(C38="TS",IF(D38=3,"Consistent",IF(OR(D38=2,D38=4),"Partially Consistent","Inconsistent")),IF(D38=3,"Inconsistent",IF(AND(D38=5,B38="POSITIVE"),"Consistent",IF(AND(D38=1,B38="NEGATIVE"),"Consistent",IF(AND(D38=4,B38="POSITIVE"),"Partially Consistent",IF(AND(D38=2,B38="NEGATIVE"),"Partially Consistent","Inconsistent"))))))</f>
        <v/>
      </c>
      <c r="F38">
        <f>IF(C38="TS","High","Low")</f>
        <v/>
      </c>
      <c r="G38">
        <f>IF(AND(B38="NEUTRAL",F38="Low"),"LOW",IF(AND(C38="TS",F38="High",D38=3),"HIGH",IF(AND(C38="TS",F38="High",OR(D38=2,D38=4)),"HIGH",IF(AND(C38="TS",F38="High",OR(D38=1,D38=5)),"MODERATE",IF(AND(C38="OS",E38="Consistent",OR(D38=1,D38=5)),"MODERATE",IF(AND(C38="OS",E38="Partially Consistent",OR(D38=2,D38=4)),"MODERATE","LOW"))))))</f>
        <v/>
      </c>
      <c r="H38" t="inlineStr"/>
      <c r="I38" t="inlineStr"/>
      <c r="J38" t="inlineStr"/>
      <c r="K38" t="inlineStr"/>
      <c r="L38" t="inlineStr"/>
    </row>
    <row r="39">
      <c r="A39" t="inlineStr">
        <is>
          <t>only received 6 instead of 7. inquired to customer service kung ganon ba talaga pero walang matinong sagot. filed for a refund pero rejected. sana kung 6 lang talaga nag laman ng box, i-update nyo yung product photo/ listing para di mag expect ang customer.</t>
        </is>
      </c>
      <c r="B39" t="inlineStr">
        <is>
          <t>NEGATIVE</t>
        </is>
      </c>
      <c r="C39">
        <f>IF(B39="NEUTRAL","TS","OS")</f>
        <v/>
      </c>
      <c r="D39" t="n">
        <v>1</v>
      </c>
      <c r="E39">
        <f>IF(C39="TS",IF(D39=3,"Consistent",IF(OR(D39=2,D39=4),"Partially Consistent","Inconsistent")),IF(D39=3,"Inconsistent",IF(AND(D39=5,B39="POSITIVE"),"Consistent",IF(AND(D39=1,B39="NEGATIVE"),"Consistent",IF(AND(D39=4,B39="POSITIVE"),"Partially Consistent",IF(AND(D39=2,B39="NEGATIVE"),"Partially Consistent","Inconsistent"))))))</f>
        <v/>
      </c>
      <c r="F39">
        <f>IF(C39="TS","High","Low")</f>
        <v/>
      </c>
      <c r="G39">
        <f>IF(AND(B39="NEUTRAL",F39="Low"),"LOW",IF(AND(C39="TS",F39="High",D39=3),"HIGH",IF(AND(C39="TS",F39="High",OR(D39=2,D39=4)),"HIGH",IF(AND(C39="TS",F39="High",OR(D39=1,D39=5)),"MODERATE",IF(AND(C39="OS",E39="Consistent",OR(D39=1,D39=5)),"MODERATE",IF(AND(C39="OS",E39="Partially Consistent",OR(D39=2,D39=4)),"MODERATE","LOW"))))))</f>
        <v/>
      </c>
      <c r="H39" t="inlineStr"/>
      <c r="I39" t="inlineStr"/>
      <c r="J39" t="inlineStr"/>
      <c r="K39" t="inlineStr"/>
      <c r="L39" t="inlineStr"/>
    </row>
    <row r="40">
      <c r="A40" t="inlineStr">
        <is>
          <t>ok</t>
        </is>
      </c>
      <c r="B40" t="inlineStr">
        <is>
          <t>NEUTRAL</t>
        </is>
      </c>
      <c r="C40">
        <f>IF(B40="NEUTRAL","TS","OS")</f>
        <v/>
      </c>
      <c r="D40" t="n">
        <v>1</v>
      </c>
      <c r="E40">
        <f>IF(C40="TS",IF(D40=3,"Consistent",IF(OR(D40=2,D40=4),"Partially Consistent","Inconsistent")),IF(D40=3,"Inconsistent",IF(AND(D40=5,B40="POSITIVE"),"Consistent",IF(AND(D40=1,B40="NEGATIVE"),"Consistent",IF(AND(D40=4,B40="POSITIVE"),"Partially Consistent",IF(AND(D40=2,B40="NEGATIVE"),"Partially Consistent","Inconsistent"))))))</f>
        <v/>
      </c>
      <c r="F40">
        <f>IF(C40="TS","High","Low")</f>
        <v/>
      </c>
      <c r="G40">
        <f>IF(AND(B40="NEUTRAL",F40="Low"),"LOW",IF(AND(C40="TS",F40="High",D40=3),"HIGH",IF(AND(C40="TS",F40="High",OR(D40=2,D40=4)),"HIGH",IF(AND(C40="TS",F40="High",OR(D40=1,D40=5)),"MODERATE",IF(AND(C40="OS",E40="Consistent",OR(D40=1,D40=5)),"MODERATE",IF(AND(C40="OS",E40="Partially Consistent",OR(D40=2,D40=4)),"MODERATE","LOW"))))))</f>
        <v/>
      </c>
      <c r="H40" t="inlineStr"/>
      <c r="I40" t="inlineStr"/>
      <c r="J40" t="inlineStr"/>
      <c r="K40" t="inlineStr"/>
      <c r="L40" t="inlineStr"/>
    </row>
    <row r="41">
      <c r="A41" t="inlineStr">
        <is>
          <t>description need to adjust. it is literally confusingggggggggggggggggg</t>
        </is>
      </c>
      <c r="B41" t="inlineStr">
        <is>
          <t>NEUTRAL</t>
        </is>
      </c>
      <c r="C41">
        <f>IF(B41="NEUTRAL","TS","OS")</f>
        <v/>
      </c>
      <c r="D41" t="n">
        <v>1</v>
      </c>
      <c r="E41">
        <f>IF(C41="TS",IF(D41=3,"Consistent",IF(OR(D41=2,D41=4),"Partially Consistent","Inconsistent")),IF(D41=3,"Inconsistent",IF(AND(D41=5,B41="POSITIVE"),"Consistent",IF(AND(D41=1,B41="NEGATIVE"),"Consistent",IF(AND(D41=4,B41="POSITIVE"),"Partially Consistent",IF(AND(D41=2,B41="NEGATIVE"),"Partially Consistent","Inconsistent"))))))</f>
        <v/>
      </c>
      <c r="F41">
        <f>IF(C41="TS","High","Low")</f>
        <v/>
      </c>
      <c r="G41">
        <f>IF(AND(B41="NEUTRAL",F41="Low"),"LOW",IF(AND(C41="TS",F41="High",D41=3),"HIGH",IF(AND(C41="TS",F41="High",OR(D41=2,D41=4)),"HIGH",IF(AND(C41="TS",F41="High",OR(D41=1,D41=5)),"MODERATE",IF(AND(C41="OS",E41="Consistent",OR(D41=1,D41=5)),"MODERATE",IF(AND(C41="OS",E41="Partially Consistent",OR(D41=2,D41=4)),"MODERATE","LOW"))))))</f>
        <v/>
      </c>
      <c r="H41" t="inlineStr"/>
      <c r="I41" t="inlineStr"/>
      <c r="J41" t="inlineStr"/>
      <c r="K41" t="inlineStr"/>
      <c r="L41" t="inlineStr"/>
    </row>
    <row r="42">
      <c r="A42" t="inlineStr">
        <is>
          <t>narecieve ko pero kulang isa anim lang, , pero laman ng nasabix pito. . . . . bat ganun kulang isa</t>
        </is>
      </c>
      <c r="B42" t="inlineStr">
        <is>
          <t>NEGATIVE</t>
        </is>
      </c>
      <c r="C42">
        <f>IF(B42="NEUTRAL","TS","OS")</f>
        <v/>
      </c>
      <c r="D42" t="n">
        <v>1</v>
      </c>
      <c r="E42">
        <f>IF(C42="TS",IF(D42=3,"Consistent",IF(OR(D42=2,D42=4),"Partially Consistent","Inconsistent")),IF(D42=3,"Inconsistent",IF(AND(D42=5,B42="POSITIVE"),"Consistent",IF(AND(D42=1,B42="NEGATIVE"),"Consistent",IF(AND(D42=4,B42="POSITIVE"),"Partially Consistent",IF(AND(D42=2,B42="NEGATIVE"),"Partially Consistent","Inconsistent"))))))</f>
        <v/>
      </c>
      <c r="F42">
        <f>IF(C42="TS","High","Low")</f>
        <v/>
      </c>
      <c r="G42">
        <f>IF(AND(B42="NEUTRAL",F42="Low"),"LOW",IF(AND(C42="TS",F42="High",D42=3),"HIGH",IF(AND(C42="TS",F42="High",OR(D42=2,D42=4)),"HIGH",IF(AND(C42="TS",F42="High",OR(D42=1,D42=5)),"MODERATE",IF(AND(C42="OS",E42="Consistent",OR(D42=1,D42=5)),"MODERATE",IF(AND(C42="OS",E42="Partially Consistent",OR(D42=2,D42=4)),"MODERATE","LOW"))))))</f>
        <v/>
      </c>
      <c r="H42" t="inlineStr"/>
      <c r="I42" t="inlineStr"/>
      <c r="J42" t="inlineStr"/>
      <c r="K42" t="inlineStr"/>
      <c r="L42" t="inlineStr"/>
    </row>
    <row r="43">
      <c r="A43" t="inlineStr">
        <is>
          <t>hindi ko nareceived ung item ko, kahit pa sbhing cash on delivery ewan ko natipuhan ata ni kuyang nagdedeliver ilang beses na out for delivery pero walang dumating.</t>
        </is>
      </c>
      <c r="B43" t="inlineStr">
        <is>
          <t>NEGATIVE</t>
        </is>
      </c>
      <c r="C43">
        <f>IF(B43="NEUTRAL","TS","OS")</f>
        <v/>
      </c>
      <c r="D43" t="n">
        <v>1</v>
      </c>
      <c r="E43">
        <f>IF(C43="TS",IF(D43=3,"Consistent",IF(OR(D43=2,D43=4),"Partially Consistent","Inconsistent")),IF(D43=3,"Inconsistent",IF(AND(D43=5,B43="POSITIVE"),"Consistent",IF(AND(D43=1,B43="NEGATIVE"),"Consistent",IF(AND(D43=4,B43="POSITIVE"),"Partially Consistent",IF(AND(D43=2,B43="NEGATIVE"),"Partially Consistent","Inconsistent"))))))</f>
        <v/>
      </c>
      <c r="F43">
        <f>IF(C43="TS","High","Low")</f>
        <v/>
      </c>
      <c r="G43">
        <f>IF(AND(B43="NEUTRAL",F43="Low"),"LOW",IF(AND(C43="TS",F43="High",D43=3),"HIGH",IF(AND(C43="TS",F43="High",OR(D43=2,D43=4)),"HIGH",IF(AND(C43="TS",F43="High",OR(D43=1,D43=5)),"MODERATE",IF(AND(C43="OS",E43="Consistent",OR(D43=1,D43=5)),"MODERATE",IF(AND(C43="OS",E43="Partially Consistent",OR(D43=2,D43=4)),"MODERATE","LOW"))))))</f>
        <v/>
      </c>
      <c r="H43" t="inlineStr"/>
      <c r="I43" t="inlineStr"/>
      <c r="J43" t="inlineStr"/>
      <c r="K43" t="inlineStr"/>
      <c r="L43" t="inlineStr"/>
    </row>
    <row r="44">
      <c r="A44" t="inlineStr">
        <is>
          <t>only received 6 instead of 7. inquired to customer service kung ganon ba talaga pero walang matinong sagot. filed for a refund pero rejected. sana kung 6 lang talaga nag laman ng box, i-update nyo yung product photo/ listing para di mag expect ang customer.</t>
        </is>
      </c>
      <c r="B44" t="inlineStr">
        <is>
          <t>NEGATIVE</t>
        </is>
      </c>
      <c r="C44">
        <f>IF(B44="NEUTRAL","TS","OS")</f>
        <v/>
      </c>
      <c r="D44" t="n">
        <v>1</v>
      </c>
      <c r="E44">
        <f>IF(C44="TS",IF(D44=3,"Consistent",IF(OR(D44=2,D44=4),"Partially Consistent","Inconsistent")),IF(D44=3,"Inconsistent",IF(AND(D44=5,B44="POSITIVE"),"Consistent",IF(AND(D44=1,B44="NEGATIVE"),"Consistent",IF(AND(D44=4,B44="POSITIVE"),"Partially Consistent",IF(AND(D44=2,B44="NEGATIVE"),"Partially Consistent","Inconsistent"))))))</f>
        <v/>
      </c>
      <c r="F44">
        <f>IF(C44="TS","High","Low")</f>
        <v/>
      </c>
      <c r="G44">
        <f>IF(AND(B44="NEUTRAL",F44="Low"),"LOW",IF(AND(C44="TS",F44="High",D44=3),"HIGH",IF(AND(C44="TS",F44="High",OR(D44=2,D44=4)),"HIGH",IF(AND(C44="TS",F44="High",OR(D44=1,D44=5)),"MODERATE",IF(AND(C44="OS",E44="Consistent",OR(D44=1,D44=5)),"MODERATE",IF(AND(C44="OS",E44="Partially Consistent",OR(D44=2,D44=4)),"MODERATE","LOW"))))))</f>
        <v/>
      </c>
      <c r="H44" t="inlineStr"/>
      <c r="I44" t="inlineStr"/>
      <c r="J44" t="inlineStr"/>
      <c r="K44" t="inlineStr"/>
      <c r="L44" t="inlineStr"/>
    </row>
    <row r="45">
      <c r="A45" t="inlineStr">
        <is>
          <t>ok</t>
        </is>
      </c>
      <c r="B45" t="inlineStr">
        <is>
          <t>NEUTRAL</t>
        </is>
      </c>
      <c r="C45">
        <f>IF(B45="NEUTRAL","TS","OS")</f>
        <v/>
      </c>
      <c r="D45" t="n">
        <v>1</v>
      </c>
      <c r="E45">
        <f>IF(C45="TS",IF(D45=3,"Consistent",IF(OR(D45=2,D45=4),"Partially Consistent","Inconsistent")),IF(D45=3,"Inconsistent",IF(AND(D45=5,B45="POSITIVE"),"Consistent",IF(AND(D45=1,B45="NEGATIVE"),"Consistent",IF(AND(D45=4,B45="POSITIVE"),"Partially Consistent",IF(AND(D45=2,B45="NEGATIVE"),"Partially Consistent","Inconsistent"))))))</f>
        <v/>
      </c>
      <c r="F45">
        <f>IF(C45="TS","High","Low")</f>
        <v/>
      </c>
      <c r="G45">
        <f>IF(AND(B45="NEUTRAL",F45="Low"),"LOW",IF(AND(C45="TS",F45="High",D45=3),"HIGH",IF(AND(C45="TS",F45="High",OR(D45=2,D45=4)),"HIGH",IF(AND(C45="TS",F45="High",OR(D45=1,D45=5)),"MODERATE",IF(AND(C45="OS",E45="Consistent",OR(D45=1,D45=5)),"MODERATE",IF(AND(C45="OS",E45="Partially Consistent",OR(D45=2,D45=4)),"MODERATE","LOW"))))))</f>
        <v/>
      </c>
      <c r="H45" t="inlineStr"/>
      <c r="I45" t="inlineStr"/>
      <c r="J45" t="inlineStr"/>
      <c r="K45" t="inlineStr"/>
      <c r="L45" t="inlineStr"/>
    </row>
    <row r="46">
      <c r="A46" t="inlineStr">
        <is>
          <t>description need to adjust. it is literally confusingggggggggggggggggg</t>
        </is>
      </c>
      <c r="B46" t="inlineStr">
        <is>
          <t>NEUTRAL</t>
        </is>
      </c>
      <c r="C46">
        <f>IF(B46="NEUTRAL","TS","OS")</f>
        <v/>
      </c>
      <c r="D46" t="n">
        <v>1</v>
      </c>
      <c r="E46">
        <f>IF(C46="TS",IF(D46=3,"Consistent",IF(OR(D46=2,D46=4),"Partially Consistent","Inconsistent")),IF(D46=3,"Inconsistent",IF(AND(D46=5,B46="POSITIVE"),"Consistent",IF(AND(D46=1,B46="NEGATIVE"),"Consistent",IF(AND(D46=4,B46="POSITIVE"),"Partially Consistent",IF(AND(D46=2,B46="NEGATIVE"),"Partially Consistent","Inconsistent"))))))</f>
        <v/>
      </c>
      <c r="F46">
        <f>IF(C46="TS","High","Low")</f>
        <v/>
      </c>
      <c r="G46">
        <f>IF(AND(B46="NEUTRAL",F46="Low"),"LOW",IF(AND(C46="TS",F46="High",D46=3),"HIGH",IF(AND(C46="TS",F46="High",OR(D46=2,D46=4)),"HIGH",IF(AND(C46="TS",F46="High",OR(D46=1,D46=5)),"MODERATE",IF(AND(C46="OS",E46="Consistent",OR(D46=1,D46=5)),"MODERATE",IF(AND(C46="OS",E46="Partially Consistent",OR(D46=2,D46=4)),"MODERATE","LOW"))))))</f>
        <v/>
      </c>
      <c r="H46" t="inlineStr"/>
      <c r="I46" t="inlineStr"/>
      <c r="J46" t="inlineStr"/>
      <c r="K46" t="inlineStr"/>
      <c r="L46" t="inlineStr"/>
    </row>
    <row r="47">
      <c r="A47" t="inlineStr">
        <is>
          <t>lightweight and portable, easy to apply and reapply, a must-have in your daily routine, e</t>
        </is>
      </c>
      <c r="B47" t="inlineStr">
        <is>
          <t>POSITIVE</t>
        </is>
      </c>
      <c r="C47">
        <f>IF(B47="NEUTRAL","TS","OS")</f>
        <v/>
      </c>
      <c r="D47" t="n">
        <v>1</v>
      </c>
      <c r="E47">
        <f>IF(C47="TS",IF(D47=3,"Consistent",IF(OR(D47=2,D47=4),"Partially Consistent","Inconsistent")),IF(D47=3,"Inconsistent",IF(AND(D47=5,B47="POSITIVE"),"Consistent",IF(AND(D47=1,B47="NEGATIVE"),"Consistent",IF(AND(D47=4,B47="POSITIVE"),"Partially Consistent",IF(AND(D47=2,B47="NEGATIVE"),"Partially Consistent","Inconsistent"))))))</f>
        <v/>
      </c>
      <c r="F47">
        <f>IF(C47="TS","High","Low")</f>
        <v/>
      </c>
      <c r="G47">
        <f>IF(AND(B47="NEUTRAL",F47="Low"),"LOW",IF(AND(C47="TS",F47="High",D47=3),"HIGH",IF(AND(C47="TS",F47="High",OR(D47=2,D47=4)),"HIGH",IF(AND(C47="TS",F47="High",OR(D47=1,D47=5)),"MODERATE",IF(AND(C47="OS",E47="Consistent",OR(D47=1,D47=5)),"MODERATE",IF(AND(C47="OS",E47="Partially Consistent",OR(D47=2,D47=4)),"MODERATE","LOW"))))))</f>
        <v/>
      </c>
      <c r="H47" t="inlineStr"/>
      <c r="I47" t="inlineStr"/>
      <c r="J47" t="inlineStr"/>
      <c r="K47" t="inlineStr"/>
      <c r="L47" t="inlineStr"/>
    </row>
    <row r="48">
      <c r="A48" t="inlineStr">
        <is>
          <t>sana pag nagpost kayo maging legitvnmn po yungvitem para di umaasa yung bibili</t>
        </is>
      </c>
      <c r="B48" t="inlineStr">
        <is>
          <t>NEGATIVE</t>
        </is>
      </c>
      <c r="C48">
        <f>IF(B48="NEUTRAL","TS","OS")</f>
        <v/>
      </c>
      <c r="D48" t="n">
        <v>1</v>
      </c>
      <c r="E48">
        <f>IF(C48="TS",IF(D48=3,"Consistent",IF(OR(D48=2,D48=4),"Partially Consistent","Inconsistent")),IF(D48=3,"Inconsistent",IF(AND(D48=5,B48="POSITIVE"),"Consistent",IF(AND(D48=1,B48="NEGATIVE"),"Consistent",IF(AND(D48=4,B48="POSITIVE"),"Partially Consistent",IF(AND(D48=2,B48="NEGATIVE"),"Partially Consistent","Inconsistent"))))))</f>
        <v/>
      </c>
      <c r="F48">
        <f>IF(C48="TS","High","Low")</f>
        <v/>
      </c>
      <c r="G48">
        <f>IF(AND(B48="NEUTRAL",F48="Low"),"LOW",IF(AND(C48="TS",F48="High",D48=3),"HIGH",IF(AND(C48="TS",F48="High",OR(D48=2,D48=4)),"HIGH",IF(AND(C48="TS",F48="High",OR(D48=1,D48=5)),"MODERATE",IF(AND(C48="OS",E48="Consistent",OR(D48=1,D48=5)),"MODERATE",IF(AND(C48="OS",E48="Partially Consistent",OR(D48=2,D48=4)),"MODERATE","LOW"))))))</f>
        <v/>
      </c>
      <c r="H48" t="inlineStr"/>
      <c r="I48" t="inlineStr"/>
      <c r="J48" t="inlineStr"/>
      <c r="K48" t="inlineStr"/>
      <c r="L48" t="inlineStr"/>
    </row>
    <row r="49">
      <c r="A49" t="inlineStr">
        <is>
          <t>sobrang nagustuhan kooo, at legit anim na piraso</t>
        </is>
      </c>
      <c r="B49" t="inlineStr">
        <is>
          <t>POSITIVE</t>
        </is>
      </c>
      <c r="C49">
        <f>IF(B49="NEUTRAL","TS","OS")</f>
        <v/>
      </c>
      <c r="D49" t="n">
        <v>1</v>
      </c>
      <c r="E49">
        <f>IF(C49="TS",IF(D49=3,"Consistent",IF(OR(D49=2,D49=4),"Partially Consistent","Inconsistent")),IF(D49=3,"Inconsistent",IF(AND(D49=5,B49="POSITIVE"),"Consistent",IF(AND(D49=1,B49="NEGATIVE"),"Consistent",IF(AND(D49=4,B49="POSITIVE"),"Partially Consistent",IF(AND(D49=2,B49="NEGATIVE"),"Partially Consistent","Inconsistent"))))))</f>
        <v/>
      </c>
      <c r="F49">
        <f>IF(C49="TS","High","Low")</f>
        <v/>
      </c>
      <c r="G49">
        <f>IF(AND(B49="NEUTRAL",F49="Low"),"LOW",IF(AND(C49="TS",F49="High",D49=3),"HIGH",IF(AND(C49="TS",F49="High",OR(D49=2,D49=4)),"HIGH",IF(AND(C49="TS",F49="High",OR(D49=1,D49=5)),"MODERATE",IF(AND(C49="OS",E49="Consistent",OR(D49=1,D49=5)),"MODERATE",IF(AND(C49="OS",E49="Partially Consistent",OR(D49=2,D49=4)),"MODERATE","LOW"))))))</f>
        <v/>
      </c>
      <c r="H49" t="inlineStr"/>
      <c r="I49" t="inlineStr"/>
      <c r="J49" t="inlineStr"/>
      <c r="K49" t="inlineStr"/>
      <c r="L49" t="inlineStr"/>
    </row>
    <row r="50">
      <c r="A50" t="inlineStr">
        <is>
          <t>di manlang nilagyan ng bubble wrap. useless natapon lahat! !</t>
        </is>
      </c>
      <c r="B50" t="inlineStr">
        <is>
          <t>NEGATIVE</t>
        </is>
      </c>
      <c r="C50">
        <f>IF(B50="NEUTRAL","TS","OS")</f>
        <v/>
      </c>
      <c r="D50" t="n">
        <v>1</v>
      </c>
      <c r="E50">
        <f>IF(C50="TS",IF(D50=3,"Consistent",IF(OR(D50=2,D50=4),"Partially Consistent","Inconsistent")),IF(D50=3,"Inconsistent",IF(AND(D50=5,B50="POSITIVE"),"Consistent",IF(AND(D50=1,B50="NEGATIVE"),"Consistent",IF(AND(D50=4,B50="POSITIVE"),"Partially Consistent",IF(AND(D50=2,B50="NEGATIVE"),"Partially Consistent","Inconsistent"))))))</f>
        <v/>
      </c>
      <c r="F50">
        <f>IF(C50="TS","High","Low")</f>
        <v/>
      </c>
      <c r="G50">
        <f>IF(AND(B50="NEUTRAL",F50="Low"),"LOW",IF(AND(C50="TS",F50="High",D50=3),"HIGH",IF(AND(C50="TS",F50="High",OR(D50=2,D50=4)),"HIGH",IF(AND(C50="TS",F50="High",OR(D50=1,D50=5)),"MODERATE",IF(AND(C50="OS",E50="Consistent",OR(D50=1,D50=5)),"MODERATE",IF(AND(C50="OS",E50="Partially Consistent",OR(D50=2,D50=4)),"MODERATE","LOW"))))))</f>
        <v/>
      </c>
      <c r="H50" t="inlineStr"/>
      <c r="I50" t="inlineStr"/>
      <c r="J50" t="inlineStr"/>
      <c r="K50" t="inlineStr"/>
      <c r="L50" t="inlineStr"/>
    </row>
    <row r="51">
      <c r="A51" t="inlineStr">
        <is>
          <t>iyakin rider</t>
        </is>
      </c>
      <c r="B51" t="inlineStr">
        <is>
          <t>NEUTRAL</t>
        </is>
      </c>
      <c r="C51">
        <f>IF(B51="NEUTRAL","TS","OS")</f>
        <v/>
      </c>
      <c r="D51" t="n">
        <v>1</v>
      </c>
      <c r="E51">
        <f>IF(C51="TS",IF(D51=3,"Consistent",IF(OR(D51=2,D51=4),"Partially Consistent","Inconsistent")),IF(D51=3,"Inconsistent",IF(AND(D51=5,B51="POSITIVE"),"Consistent",IF(AND(D51=1,B51="NEGATIVE"),"Consistent",IF(AND(D51=4,B51="POSITIVE"),"Partially Consistent",IF(AND(D51=2,B51="NEGATIVE"),"Partially Consistent","Inconsistent"))))))</f>
        <v/>
      </c>
      <c r="F51">
        <f>IF(C51="TS","High","Low")</f>
        <v/>
      </c>
      <c r="G51">
        <f>IF(AND(B51="NEUTRAL",F51="Low"),"LOW",IF(AND(C51="TS",F51="High",D51=3),"HIGH",IF(AND(C51="TS",F51="High",OR(D51=2,D51=4)),"HIGH",IF(AND(C51="TS",F51="High",OR(D51=1,D51=5)),"MODERATE",IF(AND(C51="OS",E51="Consistent",OR(D51=1,D51=5)),"MODERATE",IF(AND(C51="OS",E51="Partially Consistent",OR(D51=2,D51=4)),"MODERATE","LOW"))))))</f>
        <v/>
      </c>
      <c r="H51" t="inlineStr"/>
      <c r="I51" t="inlineStr"/>
      <c r="J51" t="inlineStr"/>
      <c r="K51" t="inlineStr"/>
      <c r="L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2025-05-23T05:24:17Z</dcterms:created>
  <dcterms:modified xsi:type="dcterms:W3CDTF">2025-05-23T05:24:17Z</dcterms:modified>
</cp:coreProperties>
</file>