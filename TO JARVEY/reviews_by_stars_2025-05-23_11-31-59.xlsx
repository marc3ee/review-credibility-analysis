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1"/>
  <sheetViews>
    <sheetView workbookViewId="0">
      <selection activeCell="A1" sqref="A1"/>
    </sheetView>
  </sheetViews>
  <sheetFormatPr baseColWidth="8" defaultRowHeight="15"/>
  <sheetData>
    <row r="1">
      <c r="A1" s="1" t="inlineStr">
        <is>
          <t>Review</t>
        </is>
      </c>
      <c r="B1" s="1" t="inlineStr">
        <is>
          <t>Sentiment</t>
        </is>
      </c>
      <c r="C1" s="1" t="inlineStr">
        <is>
          <t>Sidedness</t>
        </is>
      </c>
      <c r="D1" s="1" t="inlineStr">
        <is>
          <t>Star Rating</t>
        </is>
      </c>
      <c r="E1" s="1" t="inlineStr">
        <is>
          <t>Consistency</t>
        </is>
      </c>
      <c r="F1" s="1" t="inlineStr">
        <is>
          <t>Info Diversity</t>
        </is>
      </c>
      <c r="G1" s="1" t="inlineStr">
        <is>
          <t>PERCEIVED HELPFULNESS</t>
        </is>
      </c>
      <c r="H1" s="1" t="inlineStr">
        <is>
          <t>PD_F</t>
        </is>
      </c>
      <c r="I1" s="1" t="inlineStr">
        <is>
          <t>PD_F_TMP</t>
        </is>
      </c>
      <c r="J1" s="1" t="inlineStr">
        <is>
          <t>MAN_UI</t>
        </is>
      </c>
      <c r="K1" s="1" t="inlineStr">
        <is>
          <t>SPM</t>
        </is>
      </c>
      <c r="L1" s="1" t="inlineStr">
        <is>
          <t>CREDIBILITY</t>
        </is>
      </c>
    </row>
    <row r="2">
      <c r="A2" t="inlineStr">
        <is>
          <t>the usb connection is convenient and reliable. , the laser technology enhances accuracy. , the design is sleek and stylish. , the upgraded version is amazing! ,</t>
        </is>
      </c>
      <c r="B2" t="inlineStr">
        <is>
          <t>NEUTRAL</t>
        </is>
      </c>
      <c r="C2">
        <f>IF(B2="NEUTRAL","TS","OS")</f>
        <v/>
      </c>
      <c r="D2" t="n">
        <v>5</v>
      </c>
      <c r="E2">
        <f>IF(C2="TS",IF(D2=3,"Consistent",IF(OR(D2=2,D2=4),"Partially Consistent","Inconsistent")),IF(D2=3,"Inconsistent",IF(AND(D2=5,B2="POSITIVE"),"Consistent",IF(AND(D2=1,B2="NEGATIVE"),"Consistent",IF(AND(D2=4,B2="POSITIVE"),"Partially Consistent",IF(AND(D2=2,B2="NEGATIVE"),"Partially Consistent","Inconsistent"))))))</f>
        <v/>
      </c>
      <c r="F2">
        <f>IF(C2="TS","High","Low")</f>
        <v/>
      </c>
      <c r="G2">
        <f>IF(AND(B2="NEUTRAL",F2="Low"),"LOW",IF(AND(C2="TS",F2="High",D2=3),"HIGH",IF(AND(C2="TS",F2="High",OR(D2=2,D2=4)),"HIGH",IF(AND(C2="TS",F2="High",OR(D2=1,D2=5)),"MODERATE",IF(AND(C2="OS",E2="Consistent",OR(D2=1,D2=5)),"MODERATE",IF(AND(C2="OS",E2="Partially Consistent",OR(D2=2,D2=4)),"MODERATE","LOW"))))))</f>
        <v/>
      </c>
      <c r="H2" t="inlineStr"/>
      <c r="I2" t="inlineStr"/>
      <c r="J2" t="inlineStr"/>
      <c r="K2" t="inlineStr"/>
      <c r="L2" t="inlineStr"/>
    </row>
    <row r="3">
      <c r="A3" t="inlineStr">
        <is>
          <t>the design is sleek and stylish. , the 7-day warranty gives peace of mind. , love the rgb backlight! , the upgraded version is amazing! , the laser technology enhances accuracy. , the usb connection is convenient and reliable. ,</t>
        </is>
      </c>
      <c r="B3" t="inlineStr">
        <is>
          <t>NEUTRAL</t>
        </is>
      </c>
      <c r="C3">
        <f>IF(B3="NEUTRAL","TS","OS")</f>
        <v/>
      </c>
      <c r="D3" t="n">
        <v>5</v>
      </c>
      <c r="E3">
        <f>IF(C3="TS",IF(D3=3,"Consistent",IF(OR(D3=2,D3=4),"Partially Consistent","Inconsistent")),IF(D3=3,"Inconsistent",IF(AND(D3=5,B3="POSITIVE"),"Consistent",IF(AND(D3=1,B3="NEGATIVE"),"Consistent",IF(AND(D3=4,B3="POSITIVE"),"Partially Consistent",IF(AND(D3=2,B3="NEGATIVE"),"Partially Consistent","Inconsistent"))))))</f>
        <v/>
      </c>
      <c r="F3">
        <f>IF(C3="TS","High","Low")</f>
        <v/>
      </c>
      <c r="G3">
        <f>IF(AND(B3="NEUTRAL",F3="Low"),"LOW",IF(AND(C3="TS",F3="High",D3=3),"HIGH",IF(AND(C3="TS",F3="High",OR(D3=2,D3=4)),"HIGH",IF(AND(C3="TS",F3="High",OR(D3=1,D3=5)),"MODERATE",IF(AND(C3="OS",E3="Consistent",OR(D3=1,D3=5)),"MODERATE",IF(AND(C3="OS",E3="Partially Consistent",OR(D3=2,D3=4)),"MODERATE","LOW"))))))</f>
        <v/>
      </c>
      <c r="H3" t="inlineStr"/>
      <c r="I3" t="inlineStr"/>
      <c r="J3" t="inlineStr"/>
      <c r="K3" t="inlineStr"/>
      <c r="L3" t="inlineStr"/>
    </row>
    <row r="4">
      <c r="A4" t="inlineStr">
        <is>
          <t>precision: fits user' s preference ergonomics: comfortable customization: can turn off rgb when wanted, love the rgb backlight! surprisingly smooth, dpi is legit, and the wire doesn' t get in the way. unless you want a silent mouse, i' d recommend you buying this one.</t>
        </is>
      </c>
      <c r="B4" t="inlineStr">
        <is>
          <t>POSITIVE</t>
        </is>
      </c>
      <c r="C4">
        <f>IF(B4="NEUTRAL","TS","OS")</f>
        <v/>
      </c>
      <c r="D4" t="n">
        <v>5</v>
      </c>
      <c r="E4">
        <f>IF(C4="TS",IF(D4=3,"Consistent",IF(OR(D4=2,D4=4),"Partially Consistent","Inconsistent")),IF(D4=3,"Inconsistent",IF(AND(D4=5,B4="POSITIVE"),"Consistent",IF(AND(D4=1,B4="NEGATIVE"),"Consistent",IF(AND(D4=4,B4="POSITIVE"),"Partially Consistent",IF(AND(D4=2,B4="NEGATIVE"),"Partially Consistent","Inconsistent"))))))</f>
        <v/>
      </c>
      <c r="F4">
        <f>IF(C4="TS","High","Low")</f>
        <v/>
      </c>
      <c r="G4">
        <f>IF(AND(B4="NEUTRAL",F4="Low"),"LOW",IF(AND(C4="TS",F4="High",D4=3),"HIGH",IF(AND(C4="TS",F4="High",OR(D4=2,D4=4)),"HIGH",IF(AND(C4="TS",F4="High",OR(D4=1,D4=5)),"MODERATE",IF(AND(C4="OS",E4="Consistent",OR(D4=1,D4=5)),"MODERATE",IF(AND(C4="OS",E4="Partially Consistent",OR(D4=2,D4=4)),"MODERATE","LOW"))))))</f>
        <v/>
      </c>
      <c r="H4" t="inlineStr"/>
      <c r="I4" t="inlineStr"/>
      <c r="J4" t="inlineStr"/>
      <c r="K4" t="inlineStr"/>
      <c r="L4" t="inlineStr"/>
    </row>
    <row r="5">
      <c r="A5" t="inlineStr">
        <is>
          <t>the 7-day warranty gives peace of mind. , the 7-day warranty gives peace of mind. , the beez-hive shape provides a comfortable grip. , the design is sleek and stylish. , the laser technology enhances accuracy. , the upgraded version is amazing! , the usb connection is convenient and reliable. , love the rgb backlight! ,</t>
        </is>
      </c>
      <c r="B5" t="inlineStr">
        <is>
          <t>NEUTRAL</t>
        </is>
      </c>
      <c r="C5">
        <f>IF(B5="NEUTRAL","TS","OS")</f>
        <v/>
      </c>
      <c r="D5" t="n">
        <v>5</v>
      </c>
      <c r="E5">
        <f>IF(C5="TS",IF(D5=3,"Consistent",IF(OR(D5=2,D5=4),"Partially Consistent","Inconsistent")),IF(D5=3,"Inconsistent",IF(AND(D5=5,B5="POSITIVE"),"Consistent",IF(AND(D5=1,B5="NEGATIVE"),"Consistent",IF(AND(D5=4,B5="POSITIVE"),"Partially Consistent",IF(AND(D5=2,B5="NEGATIVE"),"Partially Consistent","Inconsistent"))))))</f>
        <v/>
      </c>
      <c r="F5">
        <f>IF(C5="TS","High","Low")</f>
        <v/>
      </c>
      <c r="G5">
        <f>IF(AND(B5="NEUTRAL",F5="Low"),"LOW",IF(AND(C5="TS",F5="High",D5=3),"HIGH",IF(AND(C5="TS",F5="High",OR(D5=2,D5=4)),"HIGH",IF(AND(C5="TS",F5="High",OR(D5=1,D5=5)),"MODERATE",IF(AND(C5="OS",E5="Consistent",OR(D5=1,D5=5)),"MODERATE",IF(AND(C5="OS",E5="Partially Consistent",OR(D5=2,D5=4)),"MODERATE","LOW"))))))</f>
        <v/>
      </c>
      <c r="H5" t="inlineStr"/>
      <c r="I5" t="inlineStr"/>
      <c r="J5" t="inlineStr"/>
      <c r="K5" t="inlineStr"/>
      <c r="L5" t="inlineStr"/>
    </row>
    <row r="6">
      <c r="A6" t="inlineStr">
        <is>
          <t>no bubble wrap, poor item safety that' s why it got broke during delivery</t>
        </is>
      </c>
      <c r="B6" t="inlineStr">
        <is>
          <t>NEGATIVE</t>
        </is>
      </c>
      <c r="C6">
        <f>IF(B6="NEUTRAL","TS","OS")</f>
        <v/>
      </c>
      <c r="D6" t="n">
        <v>5</v>
      </c>
      <c r="E6">
        <f>IF(C6="TS",IF(D6=3,"Consistent",IF(OR(D6=2,D6=4),"Partially Consistent","Inconsistent")),IF(D6=3,"Inconsistent",IF(AND(D6=5,B6="POSITIVE"),"Consistent",IF(AND(D6=1,B6="NEGATIVE"),"Consistent",IF(AND(D6=4,B6="POSITIVE"),"Partially Consistent",IF(AND(D6=2,B6="NEGATIVE"),"Partially Consistent","Inconsistent"))))))</f>
        <v/>
      </c>
      <c r="F6">
        <f>IF(C6="TS","High","Low")</f>
        <v/>
      </c>
      <c r="G6">
        <f>IF(AND(B6="NEUTRAL",F6="Low"),"LOW",IF(AND(C6="TS",F6="High",D6=3),"HIGH",IF(AND(C6="TS",F6="High",OR(D6=2,D6=4)),"HIGH",IF(AND(C6="TS",F6="High",OR(D6=1,D6=5)),"MODERATE",IF(AND(C6="OS",E6="Consistent",OR(D6=1,D6=5)),"MODERATE",IF(AND(C6="OS",E6="Partially Consistent",OR(D6=2,D6=4)),"MODERATE","LOW"))))))</f>
        <v/>
      </c>
      <c r="H6" t="inlineStr"/>
      <c r="I6" t="inlineStr"/>
      <c r="J6" t="inlineStr"/>
      <c r="K6" t="inlineStr"/>
      <c r="L6" t="inlineStr"/>
    </row>
    <row r="7">
      <c r="A7" t="inlineStr">
        <is>
          <t>love the rgb backlight! , the upgraded version is amazing! , the design is sleek and stylish. , the beez-hive shape provides a comfortable grip. ,</t>
        </is>
      </c>
      <c r="B7" t="inlineStr">
        <is>
          <t>NEUTRAL</t>
        </is>
      </c>
      <c r="C7">
        <f>IF(B7="NEUTRAL","TS","OS")</f>
        <v/>
      </c>
      <c r="D7" t="n">
        <v>5</v>
      </c>
      <c r="E7">
        <f>IF(C7="TS",IF(D7=3,"Consistent",IF(OR(D7=2,D7=4),"Partially Consistent","Inconsistent")),IF(D7=3,"Inconsistent",IF(AND(D7=5,B7="POSITIVE"),"Consistent",IF(AND(D7=1,B7="NEGATIVE"),"Consistent",IF(AND(D7=4,B7="POSITIVE"),"Partially Consistent",IF(AND(D7=2,B7="NEGATIVE"),"Partially Consistent","Inconsistent"))))))</f>
        <v/>
      </c>
      <c r="F7">
        <f>IF(C7="TS","High","Low")</f>
        <v/>
      </c>
      <c r="G7">
        <f>IF(AND(B7="NEUTRAL",F7="Low"),"LOW",IF(AND(C7="TS",F7="High",D7=3),"HIGH",IF(AND(C7="TS",F7="High",OR(D7=2,D7=4)),"HIGH",IF(AND(C7="TS",F7="High",OR(D7=1,D7=5)),"MODERATE",IF(AND(C7="OS",E7="Consistent",OR(D7=1,D7=5)),"MODERATE",IF(AND(C7="OS",E7="Partially Consistent",OR(D7=2,D7=4)),"MODERATE","LOW"))))))</f>
        <v/>
      </c>
      <c r="H7" t="inlineStr"/>
      <c r="I7" t="inlineStr"/>
      <c r="J7" t="inlineStr"/>
      <c r="K7" t="inlineStr"/>
      <c r="L7" t="inlineStr"/>
    </row>
    <row r="8">
      <c r="A8" t="inlineStr">
        <is>
          <t>love the rgb backlight! , the laser technology enhances accuracy. , the design is sleek and stylish. , the upgraded version is amazing! ,</t>
        </is>
      </c>
      <c r="B8" t="inlineStr">
        <is>
          <t>NEUTRAL</t>
        </is>
      </c>
      <c r="C8">
        <f>IF(B8="NEUTRAL","TS","OS")</f>
        <v/>
      </c>
      <c r="D8" t="n">
        <v>5</v>
      </c>
      <c r="E8">
        <f>IF(C8="TS",IF(D8=3,"Consistent",IF(OR(D8=2,D8=4),"Partially Consistent","Inconsistent")),IF(D8=3,"Inconsistent",IF(AND(D8=5,B8="POSITIVE"),"Consistent",IF(AND(D8=1,B8="NEGATIVE"),"Consistent",IF(AND(D8=4,B8="POSITIVE"),"Partially Consistent",IF(AND(D8=2,B8="NEGATIVE"),"Partially Consistent","Inconsistent"))))))</f>
        <v/>
      </c>
      <c r="F8">
        <f>IF(C8="TS","High","Low")</f>
        <v/>
      </c>
      <c r="G8">
        <f>IF(AND(B8="NEUTRAL",F8="Low"),"LOW",IF(AND(C8="TS",F8="High",D8=3),"HIGH",IF(AND(C8="TS",F8="High",OR(D8=2,D8=4)),"HIGH",IF(AND(C8="TS",F8="High",OR(D8=1,D8=5)),"MODERATE",IF(AND(C8="OS",E8="Consistent",OR(D8=1,D8=5)),"MODERATE",IF(AND(C8="OS",E8="Partially Consistent",OR(D8=2,D8=4)),"MODERATE","LOW"))))))</f>
        <v/>
      </c>
      <c r="H8" t="inlineStr"/>
      <c r="I8" t="inlineStr"/>
      <c r="J8" t="inlineStr"/>
      <c r="K8" t="inlineStr"/>
      <c r="L8" t="inlineStr"/>
    </row>
    <row r="9">
      <c r="A9" t="inlineStr">
        <is>
          <t>love the rgb backlight! , the beez-hive shape provides a comfortable grip. , precision: 10/10 ergonomics: 10/10 customization: 10/10</t>
        </is>
      </c>
      <c r="B9" t="inlineStr">
        <is>
          <t>POSITIVE</t>
        </is>
      </c>
      <c r="C9">
        <f>IF(B9="NEUTRAL","TS","OS")</f>
        <v/>
      </c>
      <c r="D9" t="n">
        <v>5</v>
      </c>
      <c r="E9">
        <f>IF(C9="TS",IF(D9=3,"Consistent",IF(OR(D9=2,D9=4),"Partially Consistent","Inconsistent")),IF(D9=3,"Inconsistent",IF(AND(D9=5,B9="POSITIVE"),"Consistent",IF(AND(D9=1,B9="NEGATIVE"),"Consistent",IF(AND(D9=4,B9="POSITIVE"),"Partially Consistent",IF(AND(D9=2,B9="NEGATIVE"),"Partially Consistent","Inconsistent"))))))</f>
        <v/>
      </c>
      <c r="F9">
        <f>IF(C9="TS","High","Low")</f>
        <v/>
      </c>
      <c r="G9">
        <f>IF(AND(B9="NEUTRAL",F9="Low"),"LOW",IF(AND(C9="TS",F9="High",D9=3),"HIGH",IF(AND(C9="TS",F9="High",OR(D9=2,D9=4)),"HIGH",IF(AND(C9="TS",F9="High",OR(D9=1,D9=5)),"MODERATE",IF(AND(C9="OS",E9="Consistent",OR(D9=1,D9=5)),"MODERATE",IF(AND(C9="OS",E9="Partially Consistent",OR(D9=2,D9=4)),"MODERATE","LOW"))))))</f>
        <v/>
      </c>
      <c r="H9" t="inlineStr"/>
      <c r="I9" t="inlineStr"/>
      <c r="J9" t="inlineStr"/>
      <c r="K9" t="inlineStr"/>
      <c r="L9" t="inlineStr"/>
    </row>
    <row r="10">
      <c r="A10" t="inlineStr">
        <is>
          <t>the upgraded version is amazing! , the beez-hive shape provides a comfortable grip. , the design is sleek and stylish. ,</t>
        </is>
      </c>
      <c r="B10" t="inlineStr">
        <is>
          <t>NEUTRAL</t>
        </is>
      </c>
      <c r="C10">
        <f>IF(B10="NEUTRAL","TS","OS")</f>
        <v/>
      </c>
      <c r="D10" t="n">
        <v>5</v>
      </c>
      <c r="E10">
        <f>IF(C10="TS",IF(D10=3,"Consistent",IF(OR(D10=2,D10=4),"Partially Consistent","Inconsistent")),IF(D10=3,"Inconsistent",IF(AND(D10=5,B10="POSITIVE"),"Consistent",IF(AND(D10=1,B10="NEGATIVE"),"Consistent",IF(AND(D10=4,B10="POSITIVE"),"Partially Consistent",IF(AND(D10=2,B10="NEGATIVE"),"Partially Consistent","Inconsistent"))))))</f>
        <v/>
      </c>
      <c r="F10">
        <f>IF(C10="TS","High","Low")</f>
        <v/>
      </c>
      <c r="G10">
        <f>IF(AND(B10="NEUTRAL",F10="Low"),"LOW",IF(AND(C10="TS",F10="High",D10=3),"HIGH",IF(AND(C10="TS",F10="High",OR(D10=2,D10=4)),"HIGH",IF(AND(C10="TS",F10="High",OR(D10=1,D10=5)),"MODERATE",IF(AND(C10="OS",E10="Consistent",OR(D10=1,D10=5)),"MODERATE",IF(AND(C10="OS",E10="Partially Consistent",OR(D10=2,D10=4)),"MODERATE","LOW"))))))</f>
        <v/>
      </c>
      <c r="H10" t="inlineStr"/>
      <c r="I10" t="inlineStr"/>
      <c r="J10" t="inlineStr"/>
      <c r="K10" t="inlineStr"/>
      <c r="L10" t="inlineStr"/>
    </row>
    <row r="11">
      <c r="A11" t="inlineStr">
        <is>
          <t>magaan yung mouse maganda din yung wired cover kahit siguro maiipit di basta maddamage yung cord</t>
        </is>
      </c>
      <c r="B11" t="inlineStr">
        <is>
          <t>NEUTRAL</t>
        </is>
      </c>
      <c r="C11">
        <f>IF(B11="NEUTRAL","TS","OS")</f>
        <v/>
      </c>
      <c r="D11" t="n">
        <v>5</v>
      </c>
      <c r="E11">
        <f>IF(C11="TS",IF(D11=3,"Consistent",IF(OR(D11=2,D11=4),"Partially Consistent","Inconsistent")),IF(D11=3,"Inconsistent",IF(AND(D11=5,B11="POSITIVE"),"Consistent",IF(AND(D11=1,B11="NEGATIVE"),"Consistent",IF(AND(D11=4,B11="POSITIVE"),"Partially Consistent",IF(AND(D11=2,B11="NEGATIVE"),"Partially Consistent","Inconsistent"))))))</f>
        <v/>
      </c>
      <c r="F11">
        <f>IF(C11="TS","High","Low")</f>
        <v/>
      </c>
      <c r="G11">
        <f>IF(AND(B11="NEUTRAL",F11="Low"),"LOW",IF(AND(C11="TS",F11="High",D11=3),"HIGH",IF(AND(C11="TS",F11="High",OR(D11=2,D11=4)),"HIGH",IF(AND(C11="TS",F11="High",OR(D11=1,D11=5)),"MODERATE",IF(AND(C11="OS",E11="Consistent",OR(D11=1,D11=5)),"MODERATE",IF(AND(C11="OS",E11="Partially Consistent",OR(D11=2,D11=4)),"MODERATE","LOW"))))))</f>
        <v/>
      </c>
      <c r="H11" t="inlineStr"/>
      <c r="I11" t="inlineStr"/>
      <c r="J11" t="inlineStr"/>
      <c r="K11" t="inlineStr"/>
      <c r="L11" t="inlineStr"/>
    </row>
    <row r="12">
      <c r="A12" t="inlineStr">
        <is>
          <t>mabait driver, sulit pero nasira agad in 2 days. siguro malakas lng tlga ko mag butterfly click pero di na nagreregjster left click tas right click madalas double click. overall maganda mouse pero dapat ingatan pag click.</t>
        </is>
      </c>
      <c r="B12" t="inlineStr">
        <is>
          <t>NEUTRAL</t>
        </is>
      </c>
      <c r="C12">
        <f>IF(B12="NEUTRAL","TS","OS")</f>
        <v/>
      </c>
      <c r="D12" t="n">
        <v>4</v>
      </c>
      <c r="E12">
        <f>IF(C12="TS",IF(D12=3,"Consistent",IF(OR(D12=2,D12=4),"Partially Consistent","Inconsistent")),IF(D12=3,"Inconsistent",IF(AND(D12=5,B12="POSITIVE"),"Consistent",IF(AND(D12=1,B12="NEGATIVE"),"Consistent",IF(AND(D12=4,B12="POSITIVE"),"Partially Consistent",IF(AND(D12=2,B12="NEGATIVE"),"Partially Consistent","Inconsistent"))))))</f>
        <v/>
      </c>
      <c r="F12">
        <f>IF(C12="TS","High","Low")</f>
        <v/>
      </c>
      <c r="G12">
        <f>IF(AND(B12="NEUTRAL",F12="Low"),"LOW",IF(AND(C12="TS",F12="High",D12=3),"HIGH",IF(AND(C12="TS",F12="High",OR(D12=2,D12=4)),"HIGH",IF(AND(C12="TS",F12="High",OR(D12=1,D12=5)),"MODERATE",IF(AND(C12="OS",E12="Consistent",OR(D12=1,D12=5)),"MODERATE",IF(AND(C12="OS",E12="Partially Consistent",OR(D12=2,D12=4)),"MODERATE","LOW"))))))</f>
        <v/>
      </c>
      <c r="H12" t="inlineStr"/>
      <c r="I12" t="inlineStr"/>
      <c r="J12" t="inlineStr"/>
      <c r="K12" t="inlineStr"/>
      <c r="L12" t="inlineStr"/>
    </row>
    <row r="13">
      <c r="A13" t="inlineStr">
        <is>
          <t>its good ngl, but i' ll give it a 4 star rating just because my order wasn' t wrapped with bubble wrap so the packaging is all dented and crumpled, that said the product still works.</t>
        </is>
      </c>
      <c r="B13" t="inlineStr">
        <is>
          <t>NEUTRAL</t>
        </is>
      </c>
      <c r="C13">
        <f>IF(B13="NEUTRAL","TS","OS")</f>
        <v/>
      </c>
      <c r="D13" t="n">
        <v>4</v>
      </c>
      <c r="E13">
        <f>IF(C13="TS",IF(D13=3,"Consistent",IF(OR(D13=2,D13=4),"Partially Consistent","Inconsistent")),IF(D13=3,"Inconsistent",IF(AND(D13=5,B13="POSITIVE"),"Consistent",IF(AND(D13=1,B13="NEGATIVE"),"Consistent",IF(AND(D13=4,B13="POSITIVE"),"Partially Consistent",IF(AND(D13=2,B13="NEGATIVE"),"Partially Consistent","Inconsistent"))))))</f>
        <v/>
      </c>
      <c r="F13">
        <f>IF(C13="TS","High","Low")</f>
        <v/>
      </c>
      <c r="G13">
        <f>IF(AND(B13="NEUTRAL",F13="Low"),"LOW",IF(AND(C13="TS",F13="High",D13=3),"HIGH",IF(AND(C13="TS",F13="High",OR(D13=2,D13=4)),"HIGH",IF(AND(C13="TS",F13="High",OR(D13=1,D13=5)),"MODERATE",IF(AND(C13="OS",E13="Consistent",OR(D13=1,D13=5)),"MODERATE",IF(AND(C13="OS",E13="Partially Consistent",OR(D13=2,D13=4)),"MODERATE","LOW"))))))</f>
        <v/>
      </c>
      <c r="H13" t="inlineStr"/>
      <c r="I13" t="inlineStr"/>
      <c r="J13" t="inlineStr"/>
      <c r="K13" t="inlineStr"/>
      <c r="L13" t="inlineStr"/>
    </row>
    <row r="14">
      <c r="A14" t="inlineStr">
        <is>
          <t>functionality: meowiejowiwjsjjsjwiqiueudhhajajheqoqouwhehwjwiiwueuehwhmissumyk/ quality: goods material: fine ahh</t>
        </is>
      </c>
      <c r="B14" t="inlineStr">
        <is>
          <t>NEUTRAL</t>
        </is>
      </c>
      <c r="C14">
        <f>IF(B14="NEUTRAL","TS","OS")</f>
        <v/>
      </c>
      <c r="D14" t="n">
        <v>4</v>
      </c>
      <c r="E14">
        <f>IF(C14="TS",IF(D14=3,"Consistent",IF(OR(D14=2,D14=4),"Partially Consistent","Inconsistent")),IF(D14=3,"Inconsistent",IF(AND(D14=5,B14="POSITIVE"),"Consistent",IF(AND(D14=1,B14="NEGATIVE"),"Consistent",IF(AND(D14=4,B14="POSITIVE"),"Partially Consistent",IF(AND(D14=2,B14="NEGATIVE"),"Partially Consistent","Inconsistent"))))))</f>
        <v/>
      </c>
      <c r="F14">
        <f>IF(C14="TS","High","Low")</f>
        <v/>
      </c>
      <c r="G14">
        <f>IF(AND(B14="NEUTRAL",F14="Low"),"LOW",IF(AND(C14="TS",F14="High",D14=3),"HIGH",IF(AND(C14="TS",F14="High",OR(D14=2,D14=4)),"HIGH",IF(AND(C14="TS",F14="High",OR(D14=1,D14=5)),"MODERATE",IF(AND(C14="OS",E14="Consistent",OR(D14=1,D14=5)),"MODERATE",IF(AND(C14="OS",E14="Partially Consistent",OR(D14=2,D14=4)),"MODERATE","LOW"))))))</f>
        <v/>
      </c>
      <c r="H14" t="inlineStr"/>
      <c r="I14" t="inlineStr"/>
      <c r="J14" t="inlineStr"/>
      <c r="K14" t="inlineStr"/>
      <c r="L14" t="inlineStr"/>
    </row>
    <row r="15">
      <c r="A15" t="inlineStr">
        <is>
          <t>maganda naman. may color changer din at dpi good for gaming. sakto lang din sa kamay at may butas design maganda iwas finger print. matagal ngalang delivery so 4. what you see what you get.</t>
        </is>
      </c>
      <c r="B15" t="inlineStr">
        <is>
          <t>POSITIVE</t>
        </is>
      </c>
      <c r="C15">
        <f>IF(B15="NEUTRAL","TS","OS")</f>
        <v/>
      </c>
      <c r="D15" t="n">
        <v>4</v>
      </c>
      <c r="E15">
        <f>IF(C15="TS",IF(D15=3,"Consistent",IF(OR(D15=2,D15=4),"Partially Consistent","Inconsistent")),IF(D15=3,"Inconsistent",IF(AND(D15=5,B15="POSITIVE"),"Consistent",IF(AND(D15=1,B15="NEGATIVE"),"Consistent",IF(AND(D15=4,B15="POSITIVE"),"Partially Consistent",IF(AND(D15=2,B15="NEGATIVE"),"Partially Consistent","Inconsistent"))))))</f>
        <v/>
      </c>
      <c r="F15">
        <f>IF(C15="TS","High","Low")</f>
        <v/>
      </c>
      <c r="G15">
        <f>IF(AND(B15="NEUTRAL",F15="Low"),"LOW",IF(AND(C15="TS",F15="High",D15=3),"HIGH",IF(AND(C15="TS",F15="High",OR(D15=2,D15=4)),"HIGH",IF(AND(C15="TS",F15="High",OR(D15=1,D15=5)),"MODERATE",IF(AND(C15="OS",E15="Consistent",OR(D15=1,D15=5)),"MODERATE",IF(AND(C15="OS",E15="Partially Consistent",OR(D15=2,D15=4)),"MODERATE","LOW"))))))</f>
        <v/>
      </c>
      <c r="H15" t="inlineStr"/>
      <c r="I15" t="inlineStr"/>
      <c r="J15" t="inlineStr"/>
      <c r="K15" t="inlineStr"/>
      <c r="L15" t="inlineStr"/>
    </row>
    <row r="16">
      <c r="A16" t="inlineStr">
        <is>
          <t>the overall product is good but the scroll wheel button doesn' t function quite well functionality: doesn' t scroll properly quality: good material: good</t>
        </is>
      </c>
      <c r="B16" t="inlineStr">
        <is>
          <t>NEUTRAL</t>
        </is>
      </c>
      <c r="C16">
        <f>IF(B16="NEUTRAL","TS","OS")</f>
        <v/>
      </c>
      <c r="D16" t="n">
        <v>4</v>
      </c>
      <c r="E16">
        <f>IF(C16="TS",IF(D16=3,"Consistent",IF(OR(D16=2,D16=4),"Partially Consistent","Inconsistent")),IF(D16=3,"Inconsistent",IF(AND(D16=5,B16="POSITIVE"),"Consistent",IF(AND(D16=1,B16="NEGATIVE"),"Consistent",IF(AND(D16=4,B16="POSITIVE"),"Partially Consistent",IF(AND(D16=2,B16="NEGATIVE"),"Partially Consistent","Inconsistent"))))))</f>
        <v/>
      </c>
      <c r="F16">
        <f>IF(C16="TS","High","Low")</f>
        <v/>
      </c>
      <c r="G16">
        <f>IF(AND(B16="NEUTRAL",F16="Low"),"LOW",IF(AND(C16="TS",F16="High",D16=3),"HIGH",IF(AND(C16="TS",F16="High",OR(D16=2,D16=4)),"HIGH",IF(AND(C16="TS",F16="High",OR(D16=1,D16=5)),"MODERATE",IF(AND(C16="OS",E16="Consistent",OR(D16=1,D16=5)),"MODERATE",IF(AND(C16="OS",E16="Partially Consistent",OR(D16=2,D16=4)),"MODERATE","LOW"))))))</f>
        <v/>
      </c>
      <c r="H16" t="inlineStr"/>
      <c r="I16" t="inlineStr"/>
      <c r="J16" t="inlineStr"/>
      <c r="K16" t="inlineStr"/>
      <c r="L16" t="inlineStr"/>
    </row>
    <row r="17">
      <c r="A17" t="inlineStr">
        <is>
          <t>quality: good quality, lightweight mouse. good for gaming with high dps alongside it</t>
        </is>
      </c>
      <c r="B17" t="inlineStr">
        <is>
          <t>POSITIVE</t>
        </is>
      </c>
      <c r="C17">
        <f>IF(B17="NEUTRAL","TS","OS")</f>
        <v/>
      </c>
      <c r="D17" t="n">
        <v>4</v>
      </c>
      <c r="E17">
        <f>IF(C17="TS",IF(D17=3,"Consistent",IF(OR(D17=2,D17=4),"Partially Consistent","Inconsistent")),IF(D17=3,"Inconsistent",IF(AND(D17=5,B17="POSITIVE"),"Consistent",IF(AND(D17=1,B17="NEGATIVE"),"Consistent",IF(AND(D17=4,B17="POSITIVE"),"Partially Consistent",IF(AND(D17=2,B17="NEGATIVE"),"Partially Consistent","Inconsistent"))))))</f>
        <v/>
      </c>
      <c r="F17">
        <f>IF(C17="TS","High","Low")</f>
        <v/>
      </c>
      <c r="G17">
        <f>IF(AND(B17="NEUTRAL",F17="Low"),"LOW",IF(AND(C17="TS",F17="High",D17=3),"HIGH",IF(AND(C17="TS",F17="High",OR(D17=2,D17=4)),"HIGH",IF(AND(C17="TS",F17="High",OR(D17=1,D17=5)),"MODERATE",IF(AND(C17="OS",E17="Consistent",OR(D17=1,D17=5)),"MODERATE",IF(AND(C17="OS",E17="Partially Consistent",OR(D17=2,D17=4)),"MODERATE","LOW"))))))</f>
        <v/>
      </c>
      <c r="H17" t="inlineStr"/>
      <c r="I17" t="inlineStr"/>
      <c r="J17" t="inlineStr"/>
      <c r="K17" t="inlineStr"/>
      <c r="L17" t="inlineStr"/>
    </row>
    <row r="18">
      <c r="A18" t="inlineStr">
        <is>
          <t>goods good</t>
        </is>
      </c>
      <c r="B18" t="inlineStr">
        <is>
          <t>POSITIVE</t>
        </is>
      </c>
      <c r="C18">
        <f>IF(B18="NEUTRAL","TS","OS")</f>
        <v/>
      </c>
      <c r="D18" t="n">
        <v>4</v>
      </c>
      <c r="E18">
        <f>IF(C18="TS",IF(D18=3,"Consistent",IF(OR(D18=2,D18=4),"Partially Consistent","Inconsistent")),IF(D18=3,"Inconsistent",IF(AND(D18=5,B18="POSITIVE"),"Consistent",IF(AND(D18=1,B18="NEGATIVE"),"Consistent",IF(AND(D18=4,B18="POSITIVE"),"Partially Consistent",IF(AND(D18=2,B18="NEGATIVE"),"Partially Consistent","Inconsistent"))))))</f>
        <v/>
      </c>
      <c r="F18">
        <f>IF(C18="TS","High","Low")</f>
        <v/>
      </c>
      <c r="G18">
        <f>IF(AND(B18="NEUTRAL",F18="Low"),"LOW",IF(AND(C18="TS",F18="High",D18=3),"HIGH",IF(AND(C18="TS",F18="High",OR(D18=2,D18=4)),"HIGH",IF(AND(C18="TS",F18="High",OR(D18=1,D18=5)),"MODERATE",IF(AND(C18="OS",E18="Consistent",OR(D18=1,D18=5)),"MODERATE",IF(AND(C18="OS",E18="Partially Consistent",OR(D18=2,D18=4)),"MODERATE","LOW"))))))</f>
        <v/>
      </c>
      <c r="H18" t="inlineStr"/>
      <c r="I18" t="inlineStr"/>
      <c r="J18" t="inlineStr"/>
      <c r="K18" t="inlineStr"/>
      <c r="L18" t="inlineStr"/>
    </row>
    <row r="19">
      <c r="A19" t="inlineStr">
        <is>
          <t>product working fine. wrong item received but used it anyways, we need mouse anyway. thank you</t>
        </is>
      </c>
      <c r="B19" t="inlineStr">
        <is>
          <t>NEUTRAL</t>
        </is>
      </c>
      <c r="C19">
        <f>IF(B19="NEUTRAL","TS","OS")</f>
        <v/>
      </c>
      <c r="D19" t="n">
        <v>4</v>
      </c>
      <c r="E19">
        <f>IF(C19="TS",IF(D19=3,"Consistent",IF(OR(D19=2,D19=4),"Partially Consistent","Inconsistent")),IF(D19=3,"Inconsistent",IF(AND(D19=5,B19="POSITIVE"),"Consistent",IF(AND(D19=1,B19="NEGATIVE"),"Consistent",IF(AND(D19=4,B19="POSITIVE"),"Partially Consistent",IF(AND(D19=2,B19="NEGATIVE"),"Partially Consistent","Inconsistent"))))))</f>
        <v/>
      </c>
      <c r="F19">
        <f>IF(C19="TS","High","Low")</f>
        <v/>
      </c>
      <c r="G19">
        <f>IF(AND(B19="NEUTRAL",F19="Low"),"LOW",IF(AND(C19="TS",F19="High",D19=3),"HIGH",IF(AND(C19="TS",F19="High",OR(D19=2,D19=4)),"HIGH",IF(AND(C19="TS",F19="High",OR(D19=1,D19=5)),"MODERATE",IF(AND(C19="OS",E19="Consistent",OR(D19=1,D19=5)),"MODERATE",IF(AND(C19="OS",E19="Partially Consistent",OR(D19=2,D19=4)),"MODERATE","LOW"))))))</f>
        <v/>
      </c>
      <c r="H19" t="inlineStr"/>
      <c r="I19" t="inlineStr"/>
      <c r="J19" t="inlineStr"/>
      <c r="K19" t="inlineStr"/>
      <c r="L19" t="inlineStr"/>
    </row>
    <row r="20">
      <c r="A20" t="inlineStr">
        <is>
          <t>legit. no scam. okay naman yung mouse, maganda, tama lang din yung rgb niya di ganun kabright. tapos konti lang yung color choice. malaki yung mouse, okay para sa malalaki yung kamay. (tho maliit lang kamay ko pero okay pa din naman)</t>
        </is>
      </c>
      <c r="B20" t="inlineStr">
        <is>
          <t>NEUTRAL</t>
        </is>
      </c>
      <c r="C20">
        <f>IF(B20="NEUTRAL","TS","OS")</f>
        <v/>
      </c>
      <c r="D20" t="n">
        <v>4</v>
      </c>
      <c r="E20">
        <f>IF(C20="TS",IF(D20=3,"Consistent",IF(OR(D20=2,D20=4),"Partially Consistent","Inconsistent")),IF(D20=3,"Inconsistent",IF(AND(D20=5,B20="POSITIVE"),"Consistent",IF(AND(D20=1,B20="NEGATIVE"),"Consistent",IF(AND(D20=4,B20="POSITIVE"),"Partially Consistent",IF(AND(D20=2,B20="NEGATIVE"),"Partially Consistent","Inconsistent"))))))</f>
        <v/>
      </c>
      <c r="F20">
        <f>IF(C20="TS","High","Low")</f>
        <v/>
      </c>
      <c r="G20">
        <f>IF(AND(B20="NEUTRAL",F20="Low"),"LOW",IF(AND(C20="TS",F20="High",D20=3),"HIGH",IF(AND(C20="TS",F20="High",OR(D20=2,D20=4)),"HIGH",IF(AND(C20="TS",F20="High",OR(D20=1,D20=5)),"MODERATE",IF(AND(C20="OS",E20="Consistent",OR(D20=1,D20=5)),"MODERATE",IF(AND(C20="OS",E20="Partially Consistent",OR(D20=2,D20=4)),"MODERATE","LOW"))))))</f>
        <v/>
      </c>
      <c r="H20" t="inlineStr"/>
      <c r="I20" t="inlineStr"/>
      <c r="J20" t="inlineStr"/>
      <c r="K20" t="inlineStr"/>
      <c r="L20" t="inlineStr"/>
    </row>
    <row r="21">
      <c r="A21" t="inlineStr">
        <is>
          <t>bat wlang bubble wrap? kahit one layer i mean oo sale pero well anyways it does its purpose tyaka ung sale kuno is not totally sale ganon tlaga price nya and its not the zeus one its a complete ripped off brand so if you' re trying to find a mouse na pang gaming tlga i suggest na taasan mona lng rin budget mo kung mga pang valo and such lalaruin mo ok na to pamalit malit sa mouse kong mamahalin it does it' s purpose pero wlang bubble wrap mabilis lng nadeliver</t>
        </is>
      </c>
      <c r="B21" t="inlineStr">
        <is>
          <t>NEUTRAL</t>
        </is>
      </c>
      <c r="C21">
        <f>IF(B21="NEUTRAL","TS","OS")</f>
        <v/>
      </c>
      <c r="D21" t="n">
        <v>4</v>
      </c>
      <c r="E21">
        <f>IF(C21="TS",IF(D21=3,"Consistent",IF(OR(D21=2,D21=4),"Partially Consistent","Inconsistent")),IF(D21=3,"Inconsistent",IF(AND(D21=5,B21="POSITIVE"),"Consistent",IF(AND(D21=1,B21="NEGATIVE"),"Consistent",IF(AND(D21=4,B21="POSITIVE"),"Partially Consistent",IF(AND(D21=2,B21="NEGATIVE"),"Partially Consistent","Inconsistent"))))))</f>
        <v/>
      </c>
      <c r="F21">
        <f>IF(C21="TS","High","Low")</f>
        <v/>
      </c>
      <c r="G21">
        <f>IF(AND(B21="NEUTRAL",F21="Low"),"LOW",IF(AND(C21="TS",F21="High",D21=3),"HIGH",IF(AND(C21="TS",F21="High",OR(D21=2,D21=4)),"HIGH",IF(AND(C21="TS",F21="High",OR(D21=1,D21=5)),"MODERATE",IF(AND(C21="OS",E21="Consistent",OR(D21=1,D21=5)),"MODERATE",IF(AND(C21="OS",E21="Partially Consistent",OR(D21=2,D21=4)),"MODERATE","LOW"))))))</f>
        <v/>
      </c>
      <c r="H21" t="inlineStr"/>
      <c r="I21" t="inlineStr"/>
      <c r="J21" t="inlineStr"/>
      <c r="K21" t="inlineStr"/>
      <c r="L21" t="inlineStr"/>
    </row>
    <row r="22">
      <c r="A22" t="inlineStr">
        <is>
          <t>the mouse quality was good but the packaging was bad, it arrived to me with the box partially destroyed and not even covered in bubble wrap. i even paid the 13 pesos item protection. . .</t>
        </is>
      </c>
      <c r="B22" t="inlineStr">
        <is>
          <t>NEUTRAL</t>
        </is>
      </c>
      <c r="C22">
        <f>IF(B22="NEUTRAL","TS","OS")</f>
        <v/>
      </c>
      <c r="D22" t="n">
        <v>3</v>
      </c>
      <c r="E22">
        <f>IF(C22="TS",IF(D22=3,"Consistent",IF(OR(D22=2,D22=4),"Partially Consistent","Inconsistent")),IF(D22=3,"Inconsistent",IF(AND(D22=5,B22="POSITIVE"),"Consistent",IF(AND(D22=1,B22="NEGATIVE"),"Consistent",IF(AND(D22=4,B22="POSITIVE"),"Partially Consistent",IF(AND(D22=2,B22="NEGATIVE"),"Partially Consistent","Inconsistent"))))))</f>
        <v/>
      </c>
      <c r="F22">
        <f>IF(C22="TS","High","Low")</f>
        <v/>
      </c>
      <c r="G22">
        <f>IF(AND(B22="NEUTRAL",F22="Low"),"LOW",IF(AND(C22="TS",F22="High",D22=3),"HIGH",IF(AND(C22="TS",F22="High",OR(D22=2,D22=4)),"HIGH",IF(AND(C22="TS",F22="High",OR(D22=1,D22=5)),"MODERATE",IF(AND(C22="OS",E22="Consistent",OR(D22=1,D22=5)),"MODERATE",IF(AND(C22="OS",E22="Partially Consistent",OR(D22=2,D22=4)),"MODERATE","LOW"))))))</f>
        <v/>
      </c>
      <c r="H22" t="inlineStr"/>
      <c r="I22" t="inlineStr"/>
      <c r="J22" t="inlineStr"/>
      <c r="K22" t="inlineStr"/>
      <c r="L22" t="inlineStr"/>
    </row>
    <row r="23">
      <c r="A23" t="inlineStr">
        <is>
          <t>open na yung nox nung pag bukas ko ng plastic. 1 week lang nakalipas sira na di maayos pag kaka kabit ng wire kaya mali mali sensitivity settings nya di magamit ng maayos kasi di naman sumusunod yung cursor kung saan sya dapat pumunta</t>
        </is>
      </c>
      <c r="B23" t="inlineStr">
        <is>
          <t>NEGATIVE</t>
        </is>
      </c>
      <c r="C23">
        <f>IF(B23="NEUTRAL","TS","OS")</f>
        <v/>
      </c>
      <c r="D23" t="n">
        <v>3</v>
      </c>
      <c r="E23">
        <f>IF(C23="TS",IF(D23=3,"Consistent",IF(OR(D23=2,D23=4),"Partially Consistent","Inconsistent")),IF(D23=3,"Inconsistent",IF(AND(D23=5,B23="POSITIVE"),"Consistent",IF(AND(D23=1,B23="NEGATIVE"),"Consistent",IF(AND(D23=4,B23="POSITIVE"),"Partially Consistent",IF(AND(D23=2,B23="NEGATIVE"),"Partially Consistent","Inconsistent"))))))</f>
        <v/>
      </c>
      <c r="F23">
        <f>IF(C23="TS","High","Low")</f>
        <v/>
      </c>
      <c r="G23">
        <f>IF(AND(B23="NEUTRAL",F23="Low"),"LOW",IF(AND(C23="TS",F23="High",D23=3),"HIGH",IF(AND(C23="TS",F23="High",OR(D23=2,D23=4)),"HIGH",IF(AND(C23="TS",F23="High",OR(D23=1,D23=5)),"MODERATE",IF(AND(C23="OS",E23="Consistent",OR(D23=1,D23=5)),"MODERATE",IF(AND(C23="OS",E23="Partially Consistent",OR(D23=2,D23=4)),"MODERATE","LOW"))))))</f>
        <v/>
      </c>
      <c r="H23" t="inlineStr"/>
      <c r="I23" t="inlineStr"/>
      <c r="J23" t="inlineStr"/>
      <c r="K23" t="inlineStr"/>
      <c r="L23" t="inlineStr"/>
    </row>
    <row r="24">
      <c r="A24" t="inlineStr">
        <is>
          <t>order received but gave me the wrong mouse but its better i guess</t>
        </is>
      </c>
      <c r="B24" t="inlineStr">
        <is>
          <t>NEUTRAL</t>
        </is>
      </c>
      <c r="C24">
        <f>IF(B24="NEUTRAL","TS","OS")</f>
        <v/>
      </c>
      <c r="D24" t="n">
        <v>3</v>
      </c>
      <c r="E24">
        <f>IF(C24="TS",IF(D24=3,"Consistent",IF(OR(D24=2,D24=4),"Partially Consistent","Inconsistent")),IF(D24=3,"Inconsistent",IF(AND(D24=5,B24="POSITIVE"),"Consistent",IF(AND(D24=1,B24="NEGATIVE"),"Consistent",IF(AND(D24=4,B24="POSITIVE"),"Partially Consistent",IF(AND(D24=2,B24="NEGATIVE"),"Partially Consistent","Inconsistent"))))))</f>
        <v/>
      </c>
      <c r="F24">
        <f>IF(C24="TS","High","Low")</f>
        <v/>
      </c>
      <c r="G24">
        <f>IF(AND(B24="NEUTRAL",F24="Low"),"LOW",IF(AND(C24="TS",F24="High",D24=3),"HIGH",IF(AND(C24="TS",F24="High",OR(D24=2,D24=4)),"HIGH",IF(AND(C24="TS",F24="High",OR(D24=1,D24=5)),"MODERATE",IF(AND(C24="OS",E24="Consistent",OR(D24=1,D24=5)),"MODERATE",IF(AND(C24="OS",E24="Partially Consistent",OR(D24=2,D24=4)),"MODERATE","LOW"))))))</f>
        <v/>
      </c>
      <c r="H24" t="inlineStr"/>
      <c r="I24" t="inlineStr"/>
      <c r="J24" t="inlineStr"/>
      <c r="K24" t="inlineStr"/>
      <c r="L24" t="inlineStr"/>
    </row>
    <row r="25">
      <c r="A25" t="inlineStr">
        <is>
          <t>material: bad material mesh gaspang masyado tapos sensitive kapag ang material kapag wet.</t>
        </is>
      </c>
      <c r="B25" t="inlineStr">
        <is>
          <t>NEGATIVE</t>
        </is>
      </c>
      <c r="C25">
        <f>IF(B25="NEUTRAL","TS","OS")</f>
        <v/>
      </c>
      <c r="D25" t="n">
        <v>3</v>
      </c>
      <c r="E25">
        <f>IF(C25="TS",IF(D25=3,"Consistent",IF(OR(D25=2,D25=4),"Partially Consistent","Inconsistent")),IF(D25=3,"Inconsistent",IF(AND(D25=5,B25="POSITIVE"),"Consistent",IF(AND(D25=1,B25="NEGATIVE"),"Consistent",IF(AND(D25=4,B25="POSITIVE"),"Partially Consistent",IF(AND(D25=2,B25="NEGATIVE"),"Partially Consistent","Inconsistent"))))))</f>
        <v/>
      </c>
      <c r="F25">
        <f>IF(C25="TS","High","Low")</f>
        <v/>
      </c>
      <c r="G25">
        <f>IF(AND(B25="NEUTRAL",F25="Low"),"LOW",IF(AND(C25="TS",F25="High",D25=3),"HIGH",IF(AND(C25="TS",F25="High",OR(D25=2,D25=4)),"HIGH",IF(AND(C25="TS",F25="High",OR(D25=1,D25=5)),"MODERATE",IF(AND(C25="OS",E25="Consistent",OR(D25=1,D25=5)),"MODERATE",IF(AND(C25="OS",E25="Partially Consistent",OR(D25=2,D25=4)),"MODERATE","LOW"))))))</f>
        <v/>
      </c>
      <c r="H25" t="inlineStr"/>
      <c r="I25" t="inlineStr"/>
      <c r="J25" t="inlineStr"/>
      <c r="K25" t="inlineStr"/>
      <c r="L25" t="inlineStr"/>
    </row>
    <row r="26">
      <c r="A26" t="inlineStr">
        <is>
          <t>nag dodouble click or pumapalya after 2 weeks of using</t>
        </is>
      </c>
      <c r="B26" t="inlineStr">
        <is>
          <t>NEGATIVE</t>
        </is>
      </c>
      <c r="C26">
        <f>IF(B26="NEUTRAL","TS","OS")</f>
        <v/>
      </c>
      <c r="D26" t="n">
        <v>3</v>
      </c>
      <c r="E26">
        <f>IF(C26="TS",IF(D26=3,"Consistent",IF(OR(D26=2,D26=4),"Partially Consistent","Inconsistent")),IF(D26=3,"Inconsistent",IF(AND(D26=5,B26="POSITIVE"),"Consistent",IF(AND(D26=1,B26="NEGATIVE"),"Consistent",IF(AND(D26=4,B26="POSITIVE"),"Partially Consistent",IF(AND(D26=2,B26="NEGATIVE"),"Partially Consistent","Inconsistent"))))))</f>
        <v/>
      </c>
      <c r="F26">
        <f>IF(C26="TS","High","Low")</f>
        <v/>
      </c>
      <c r="G26">
        <f>IF(AND(B26="NEUTRAL",F26="Low"),"LOW",IF(AND(C26="TS",F26="High",D26=3),"HIGH",IF(AND(C26="TS",F26="High",OR(D26=2,D26=4)),"HIGH",IF(AND(C26="TS",F26="High",OR(D26=1,D26=5)),"MODERATE",IF(AND(C26="OS",E26="Consistent",OR(D26=1,D26=5)),"MODERATE",IF(AND(C26="OS",E26="Partially Consistent",OR(D26=2,D26=4)),"MODERATE","LOW"))))))</f>
        <v/>
      </c>
      <c r="H26" t="inlineStr"/>
      <c r="I26" t="inlineStr"/>
      <c r="J26" t="inlineStr"/>
      <c r="K26" t="inlineStr"/>
      <c r="L26" t="inlineStr"/>
    </row>
    <row r="27">
      <c r="A27" t="inlineStr">
        <is>
          <t>received it immediately, bilis ng shipping. no bubble wrap, nilagay lang sa plastic yung box. pero gumagana naman nung tinest.</t>
        </is>
      </c>
      <c r="B27" t="inlineStr">
        <is>
          <t>NEUTRAL</t>
        </is>
      </c>
      <c r="C27">
        <f>IF(B27="NEUTRAL","TS","OS")</f>
        <v/>
      </c>
      <c r="D27" t="n">
        <v>3</v>
      </c>
      <c r="E27">
        <f>IF(C27="TS",IF(D27=3,"Consistent",IF(OR(D27=2,D27=4),"Partially Consistent","Inconsistent")),IF(D27=3,"Inconsistent",IF(AND(D27=5,B27="POSITIVE"),"Consistent",IF(AND(D27=1,B27="NEGATIVE"),"Consistent",IF(AND(D27=4,B27="POSITIVE"),"Partially Consistent",IF(AND(D27=2,B27="NEGATIVE"),"Partially Consistent","Inconsistent"))))))</f>
        <v/>
      </c>
      <c r="F27">
        <f>IF(C27="TS","High","Low")</f>
        <v/>
      </c>
      <c r="G27">
        <f>IF(AND(B27="NEUTRAL",F27="Low"),"LOW",IF(AND(C27="TS",F27="High",D27=3),"HIGH",IF(AND(C27="TS",F27="High",OR(D27=2,D27=4)),"HIGH",IF(AND(C27="TS",F27="High",OR(D27=1,D27=5)),"MODERATE",IF(AND(C27="OS",E27="Consistent",OR(D27=1,D27=5)),"MODERATE",IF(AND(C27="OS",E27="Partially Consistent",OR(D27=2,D27=4)),"MODERATE","LOW"))))))</f>
        <v/>
      </c>
      <c r="H27" t="inlineStr"/>
      <c r="I27" t="inlineStr"/>
      <c r="J27" t="inlineStr"/>
      <c r="K27" t="inlineStr"/>
      <c r="L27" t="inlineStr"/>
    </row>
    <row r="28">
      <c r="A28" t="inlineStr">
        <is>
          <t>mouse order ko hindi marakas! found a loose part inside. made sure the device is working before making this review.</t>
        </is>
      </c>
      <c r="B28" t="inlineStr">
        <is>
          <t>NEUTRAL</t>
        </is>
      </c>
      <c r="C28">
        <f>IF(B28="NEUTRAL","TS","OS")</f>
        <v/>
      </c>
      <c r="D28" t="n">
        <v>3</v>
      </c>
      <c r="E28">
        <f>IF(C28="TS",IF(D28=3,"Consistent",IF(OR(D28=2,D28=4),"Partially Consistent","Inconsistent")),IF(D28=3,"Inconsistent",IF(AND(D28=5,B28="POSITIVE"),"Consistent",IF(AND(D28=1,B28="NEGATIVE"),"Consistent",IF(AND(D28=4,B28="POSITIVE"),"Partially Consistent",IF(AND(D28=2,B28="NEGATIVE"),"Partially Consistent","Inconsistent"))))))</f>
        <v/>
      </c>
      <c r="F28">
        <f>IF(C28="TS","High","Low")</f>
        <v/>
      </c>
      <c r="G28">
        <f>IF(AND(B28="NEUTRAL",F28="Low"),"LOW",IF(AND(C28="TS",F28="High",D28=3),"HIGH",IF(AND(C28="TS",F28="High",OR(D28=2,D28=4)),"HIGH",IF(AND(C28="TS",F28="High",OR(D28=1,D28=5)),"MODERATE",IF(AND(C28="OS",E28="Consistent",OR(D28=1,D28=5)),"MODERATE",IF(AND(C28="OS",E28="Partially Consistent",OR(D28=2,D28=4)),"MODERATE","LOW"))))))</f>
        <v/>
      </c>
      <c r="H28" t="inlineStr"/>
      <c r="I28" t="inlineStr"/>
      <c r="J28" t="inlineStr"/>
      <c r="K28" t="inlineStr"/>
      <c r="L28" t="inlineStr"/>
    </row>
    <row r="29">
      <c r="A29" t="inlineStr">
        <is>
          <t>all goods naman yung item pero ang inorder ko yung beez hive. solid mouse yung na receceive ko bat kaya? ? ? pls response naman bat ganun</t>
        </is>
      </c>
      <c r="B29" t="inlineStr">
        <is>
          <t>NEUTRAL</t>
        </is>
      </c>
      <c r="C29">
        <f>IF(B29="NEUTRAL","TS","OS")</f>
        <v/>
      </c>
      <c r="D29" t="n">
        <v>3</v>
      </c>
      <c r="E29">
        <f>IF(C29="TS",IF(D29=3,"Consistent",IF(OR(D29=2,D29=4),"Partially Consistent","Inconsistent")),IF(D29=3,"Inconsistent",IF(AND(D29=5,B29="POSITIVE"),"Consistent",IF(AND(D29=1,B29="NEGATIVE"),"Consistent",IF(AND(D29=4,B29="POSITIVE"),"Partially Consistent",IF(AND(D29=2,B29="NEGATIVE"),"Partially Consistent","Inconsistent"))))))</f>
        <v/>
      </c>
      <c r="F29">
        <f>IF(C29="TS","High","Low")</f>
        <v/>
      </c>
      <c r="G29">
        <f>IF(AND(B29="NEUTRAL",F29="Low"),"LOW",IF(AND(C29="TS",F29="High",D29=3),"HIGH",IF(AND(C29="TS",F29="High",OR(D29=2,D29=4)),"HIGH",IF(AND(C29="TS",F29="High",OR(D29=1,D29=5)),"MODERATE",IF(AND(C29="OS",E29="Consistent",OR(D29=1,D29=5)),"MODERATE",IF(AND(C29="OS",E29="Partially Consistent",OR(D29=2,D29=4)),"MODERATE","LOW"))))))</f>
        <v/>
      </c>
      <c r="H29" t="inlineStr"/>
      <c r="I29" t="inlineStr"/>
      <c r="J29" t="inlineStr"/>
      <c r="K29" t="inlineStr"/>
      <c r="L29" t="inlineStr"/>
    </row>
    <row r="30">
      <c r="A30" t="inlineStr">
        <is>
          <t>received na naka-open at yupi ang box. may umaalog din sa loob, yun pala yung zeus cover ng led light sa loob. gumagana pa rin naman.</t>
        </is>
      </c>
      <c r="B30" t="inlineStr">
        <is>
          <t>NEGATIVE</t>
        </is>
      </c>
      <c r="C30">
        <f>IF(B30="NEUTRAL","TS","OS")</f>
        <v/>
      </c>
      <c r="D30" t="n">
        <v>3</v>
      </c>
      <c r="E30">
        <f>IF(C30="TS",IF(D30=3,"Consistent",IF(OR(D30=2,D30=4),"Partially Consistent","Inconsistent")),IF(D30=3,"Inconsistent",IF(AND(D30=5,B30="POSITIVE"),"Consistent",IF(AND(D30=1,B30="NEGATIVE"),"Consistent",IF(AND(D30=4,B30="POSITIVE"),"Partially Consistent",IF(AND(D30=2,B30="NEGATIVE"),"Partially Consistent","Inconsistent"))))))</f>
        <v/>
      </c>
      <c r="F30">
        <f>IF(C30="TS","High","Low")</f>
        <v/>
      </c>
      <c r="G30">
        <f>IF(AND(B30="NEUTRAL",F30="Low"),"LOW",IF(AND(C30="TS",F30="High",D30=3),"HIGH",IF(AND(C30="TS",F30="High",OR(D30=2,D30=4)),"HIGH",IF(AND(C30="TS",F30="High",OR(D30=1,D30=5)),"MODERATE",IF(AND(C30="OS",E30="Consistent",OR(D30=1,D30=5)),"MODERATE",IF(AND(C30="OS",E30="Partially Consistent",OR(D30=2,D30=4)),"MODERATE","LOW"))))))</f>
        <v/>
      </c>
      <c r="H30" t="inlineStr"/>
      <c r="I30" t="inlineStr"/>
      <c r="J30" t="inlineStr"/>
      <c r="K30" t="inlineStr"/>
      <c r="L30" t="inlineStr"/>
    </row>
    <row r="31">
      <c r="A31" t="inlineStr">
        <is>
          <t>sakto lang para sa price. yung mouse wheel di pala talaga umiiilaw kaya 3 stars lang kasi misleading yung pics nung products</t>
        </is>
      </c>
      <c r="B31" t="inlineStr">
        <is>
          <t>NEUTRAL</t>
        </is>
      </c>
      <c r="C31">
        <f>IF(B31="NEUTRAL","TS","OS")</f>
        <v/>
      </c>
      <c r="D31" t="n">
        <v>3</v>
      </c>
      <c r="E31">
        <f>IF(C31="TS",IF(D31=3,"Consistent",IF(OR(D31=2,D31=4),"Partially Consistent","Inconsistent")),IF(D31=3,"Inconsistent",IF(AND(D31=5,B31="POSITIVE"),"Consistent",IF(AND(D31=1,B31="NEGATIVE"),"Consistent",IF(AND(D31=4,B31="POSITIVE"),"Partially Consistent",IF(AND(D31=2,B31="NEGATIVE"),"Partially Consistent","Inconsistent"))))))</f>
        <v/>
      </c>
      <c r="F31">
        <f>IF(C31="TS","High","Low")</f>
        <v/>
      </c>
      <c r="G31">
        <f>IF(AND(B31="NEUTRAL",F31="Low"),"LOW",IF(AND(C31="TS",F31="High",D31=3),"HIGH",IF(AND(C31="TS",F31="High",OR(D31=2,D31=4)),"HIGH",IF(AND(C31="TS",F31="High",OR(D31=1,D31=5)),"MODERATE",IF(AND(C31="OS",E31="Consistent",OR(D31=1,D31=5)),"MODERATE",IF(AND(C31="OS",E31="Partially Consistent",OR(D31=2,D31=4)),"MODERATE","LOW"))))))</f>
        <v/>
      </c>
      <c r="H31" t="inlineStr"/>
      <c r="I31" t="inlineStr"/>
      <c r="J31" t="inlineStr"/>
      <c r="K31" t="inlineStr"/>
      <c r="L31" t="inlineStr"/>
    </row>
    <row r="32">
      <c r="A32" t="inlineStr">
        <is>
          <t>nakakawang ung left click nya kailangan pang diinan para maclick</t>
        </is>
      </c>
      <c r="B32" t="inlineStr">
        <is>
          <t>NEUTRAL</t>
        </is>
      </c>
      <c r="C32">
        <f>IF(B32="NEUTRAL","TS","OS")</f>
        <v/>
      </c>
      <c r="D32" t="n">
        <v>1</v>
      </c>
      <c r="E32">
        <f>IF(C32="TS",IF(D32=3,"Consistent",IF(OR(D32=2,D32=4),"Partially Consistent","Inconsistent")),IF(D32=3,"Inconsistent",IF(AND(D32=5,B32="POSITIVE"),"Consistent",IF(AND(D32=1,B32="NEGATIVE"),"Consistent",IF(AND(D32=4,B32="POSITIVE"),"Partially Consistent",IF(AND(D32=2,B32="NEGATIVE"),"Partially Consistent","Inconsistent"))))))</f>
        <v/>
      </c>
      <c r="F32">
        <f>IF(C32="TS","High","Low")</f>
        <v/>
      </c>
      <c r="G32">
        <f>IF(AND(B32="NEUTRAL",F32="Low"),"LOW",IF(AND(C32="TS",F32="High",D32=3),"HIGH",IF(AND(C32="TS",F32="High",OR(D32=2,D32=4)),"HIGH",IF(AND(C32="TS",F32="High",OR(D32=1,D32=5)),"MODERATE",IF(AND(C32="OS",E32="Consistent",OR(D32=1,D32=5)),"MODERATE",IF(AND(C32="OS",E32="Partially Consistent",OR(D32=2,D32=4)),"MODERATE","LOW"))))))</f>
        <v/>
      </c>
      <c r="H32" t="inlineStr"/>
      <c r="I32" t="inlineStr"/>
      <c r="J32" t="inlineStr"/>
      <c r="K32" t="inlineStr"/>
      <c r="L32" t="inlineStr"/>
    </row>
    <row r="33">
      <c r="A33" t="inlineStr">
        <is>
          <t>4 binili ko lahat may issue, double click / matigas e scroll. .</t>
        </is>
      </c>
      <c r="B33" t="inlineStr">
        <is>
          <t>NEGATIVE</t>
        </is>
      </c>
      <c r="C33">
        <f>IF(B33="NEUTRAL","TS","OS")</f>
        <v/>
      </c>
      <c r="D33" t="n">
        <v>1</v>
      </c>
      <c r="E33">
        <f>IF(C33="TS",IF(D33=3,"Consistent",IF(OR(D33=2,D33=4),"Partially Consistent","Inconsistent")),IF(D33=3,"Inconsistent",IF(AND(D33=5,B33="POSITIVE"),"Consistent",IF(AND(D33=1,B33="NEGATIVE"),"Consistent",IF(AND(D33=4,B33="POSITIVE"),"Partially Consistent",IF(AND(D33=2,B33="NEGATIVE"),"Partially Consistent","Inconsistent"))))))</f>
        <v/>
      </c>
      <c r="F33">
        <f>IF(C33="TS","High","Low")</f>
        <v/>
      </c>
      <c r="G33">
        <f>IF(AND(B33="NEUTRAL",F33="Low"),"LOW",IF(AND(C33="TS",F33="High",D33=3),"HIGH",IF(AND(C33="TS",F33="High",OR(D33=2,D33=4)),"HIGH",IF(AND(C33="TS",F33="High",OR(D33=1,D33=5)),"MODERATE",IF(AND(C33="OS",E33="Consistent",OR(D33=1,D33=5)),"MODERATE",IF(AND(C33="OS",E33="Partially Consistent",OR(D33=2,D33=4)),"MODERATE","LOW"))))))</f>
        <v/>
      </c>
      <c r="H33" t="inlineStr"/>
      <c r="I33" t="inlineStr"/>
      <c r="J33" t="inlineStr"/>
      <c r="K33" t="inlineStr"/>
      <c r="L33" t="inlineStr"/>
    </row>
    <row r="34">
      <c r="A34" t="inlineStr">
        <is>
          <t>qualityokay naman sya kaso kailangan ko pa sayang pindotin ng maraming beses para gumana. functionality</t>
        </is>
      </c>
      <c r="B34" t="inlineStr">
        <is>
          <t>NEUTRAL</t>
        </is>
      </c>
      <c r="C34">
        <f>IF(B34="NEUTRAL","TS","OS")</f>
        <v/>
      </c>
      <c r="D34" t="n">
        <v>1</v>
      </c>
      <c r="E34">
        <f>IF(C34="TS",IF(D34=3,"Consistent",IF(OR(D34=2,D34=4),"Partially Consistent","Inconsistent")),IF(D34=3,"Inconsistent",IF(AND(D34=5,B34="POSITIVE"),"Consistent",IF(AND(D34=1,B34="NEGATIVE"),"Consistent",IF(AND(D34=4,B34="POSITIVE"),"Partially Consistent",IF(AND(D34=2,B34="NEGATIVE"),"Partially Consistent","Inconsistent"))))))</f>
        <v/>
      </c>
      <c r="F34">
        <f>IF(C34="TS","High","Low")</f>
        <v/>
      </c>
      <c r="G34">
        <f>IF(AND(B34="NEUTRAL",F34="Low"),"LOW",IF(AND(C34="TS",F34="High",D34=3),"HIGH",IF(AND(C34="TS",F34="High",OR(D34=2,D34=4)),"HIGH",IF(AND(C34="TS",F34="High",OR(D34=1,D34=5)),"MODERATE",IF(AND(C34="OS",E34="Consistent",OR(D34=1,D34=5)),"MODERATE",IF(AND(C34="OS",E34="Partially Consistent",OR(D34=2,D34=4)),"MODERATE","LOW"))))))</f>
        <v/>
      </c>
      <c r="H34" t="inlineStr"/>
      <c r="I34" t="inlineStr"/>
      <c r="J34" t="inlineStr"/>
      <c r="K34" t="inlineStr"/>
      <c r="L34" t="inlineStr"/>
    </row>
    <row r="35">
      <c r="A35" t="inlineStr">
        <is>
          <t>iba yung isang binigay. ok lng sana pero di gumagana</t>
        </is>
      </c>
      <c r="B35" t="inlineStr">
        <is>
          <t>NEUTRAL</t>
        </is>
      </c>
      <c r="C35">
        <f>IF(B35="NEUTRAL","TS","OS")</f>
        <v/>
      </c>
      <c r="D35" t="n">
        <v>1</v>
      </c>
      <c r="E35">
        <f>IF(C35="TS",IF(D35=3,"Consistent",IF(OR(D35=2,D35=4),"Partially Consistent","Inconsistent")),IF(D35=3,"Inconsistent",IF(AND(D35=5,B35="POSITIVE"),"Consistent",IF(AND(D35=1,B35="NEGATIVE"),"Consistent",IF(AND(D35=4,B35="POSITIVE"),"Partially Consistent",IF(AND(D35=2,B35="NEGATIVE"),"Partially Consistent","Inconsistent"))))))</f>
        <v/>
      </c>
      <c r="F35">
        <f>IF(C35="TS","High","Low")</f>
        <v/>
      </c>
      <c r="G35">
        <f>IF(AND(B35="NEUTRAL",F35="Low"),"LOW",IF(AND(C35="TS",F35="High",D35=3),"HIGH",IF(AND(C35="TS",F35="High",OR(D35=2,D35=4)),"HIGH",IF(AND(C35="TS",F35="High",OR(D35=1,D35=5)),"MODERATE",IF(AND(C35="OS",E35="Consistent",OR(D35=1,D35=5)),"MODERATE",IF(AND(C35="OS",E35="Partially Consistent",OR(D35=2,D35=4)),"MODERATE","LOW"))))))</f>
        <v/>
      </c>
      <c r="H35" t="inlineStr"/>
      <c r="I35" t="inlineStr"/>
      <c r="J35" t="inlineStr"/>
      <c r="K35" t="inlineStr"/>
      <c r="L35" t="inlineStr"/>
    </row>
    <row r="36">
      <c r="A36" t="inlineStr">
        <is>
          <t>bilis mag miss click. lingo lng miss click na.</t>
        </is>
      </c>
      <c r="B36" t="inlineStr">
        <is>
          <t>NEGATIVE</t>
        </is>
      </c>
      <c r="C36">
        <f>IF(B36="NEUTRAL","TS","OS")</f>
        <v/>
      </c>
      <c r="D36" t="n">
        <v>1</v>
      </c>
      <c r="E36">
        <f>IF(C36="TS",IF(D36=3,"Consistent",IF(OR(D36=2,D36=4),"Partially Consistent","Inconsistent")),IF(D36=3,"Inconsistent",IF(AND(D36=5,B36="POSITIVE"),"Consistent",IF(AND(D36=1,B36="NEGATIVE"),"Consistent",IF(AND(D36=4,B36="POSITIVE"),"Partially Consistent",IF(AND(D36=2,B36="NEGATIVE"),"Partially Consistent","Inconsistent"))))))</f>
        <v/>
      </c>
      <c r="F36">
        <f>IF(C36="TS","High","Low")</f>
        <v/>
      </c>
      <c r="G36">
        <f>IF(AND(B36="NEUTRAL",F36="Low"),"LOW",IF(AND(C36="TS",F36="High",D36=3),"HIGH",IF(AND(C36="TS",F36="High",OR(D36=2,D36=4)),"HIGH",IF(AND(C36="TS",F36="High",OR(D36=1,D36=5)),"MODERATE",IF(AND(C36="OS",E36="Consistent",OR(D36=1,D36=5)),"MODERATE",IF(AND(C36="OS",E36="Partially Consistent",OR(D36=2,D36=4)),"MODERATE","LOW"))))))</f>
        <v/>
      </c>
      <c r="H36" t="inlineStr"/>
      <c r="I36" t="inlineStr"/>
      <c r="J36" t="inlineStr"/>
      <c r="K36" t="inlineStr"/>
      <c r="L36" t="inlineStr"/>
    </row>
    <row r="37">
      <c r="A37" t="inlineStr">
        <is>
          <t>wala pang 1week nag fefail na yung right click hahahaha</t>
        </is>
      </c>
      <c r="B37" t="inlineStr">
        <is>
          <t>NEGATIVE</t>
        </is>
      </c>
      <c r="C37">
        <f>IF(B37="NEUTRAL","TS","OS")</f>
        <v/>
      </c>
      <c r="D37" t="n">
        <v>1</v>
      </c>
      <c r="E37">
        <f>IF(C37="TS",IF(D37=3,"Consistent",IF(OR(D37=2,D37=4),"Partially Consistent","Inconsistent")),IF(D37=3,"Inconsistent",IF(AND(D37=5,B37="POSITIVE"),"Consistent",IF(AND(D37=1,B37="NEGATIVE"),"Consistent",IF(AND(D37=4,B37="POSITIVE"),"Partially Consistent",IF(AND(D37=2,B37="NEGATIVE"),"Partially Consistent","Inconsistent"))))))</f>
        <v/>
      </c>
      <c r="F37">
        <f>IF(C37="TS","High","Low")</f>
        <v/>
      </c>
      <c r="G37">
        <f>IF(AND(B37="NEUTRAL",F37="Low"),"LOW",IF(AND(C37="TS",F37="High",D37=3),"HIGH",IF(AND(C37="TS",F37="High",OR(D37=2,D37=4)),"HIGH",IF(AND(C37="TS",F37="High",OR(D37=1,D37=5)),"MODERATE",IF(AND(C37="OS",E37="Consistent",OR(D37=1,D37=5)),"MODERATE",IF(AND(C37="OS",E37="Partially Consistent",OR(D37=2,D37=4)),"MODERATE","LOW"))))))</f>
        <v/>
      </c>
      <c r="H37" t="inlineStr"/>
      <c r="I37" t="inlineStr"/>
      <c r="J37" t="inlineStr"/>
      <c r="K37" t="inlineStr"/>
      <c r="L37" t="inlineStr"/>
    </row>
    <row r="38">
      <c r="A38" t="inlineStr">
        <is>
          <t>pag inangat ung mouse nag wawala ung mouse.</t>
        </is>
      </c>
      <c r="B38" t="inlineStr">
        <is>
          <t>NEUTRAL</t>
        </is>
      </c>
      <c r="C38">
        <f>IF(B38="NEUTRAL","TS","OS")</f>
        <v/>
      </c>
      <c r="D38" t="n">
        <v>1</v>
      </c>
      <c r="E38">
        <f>IF(C38="TS",IF(D38=3,"Consistent",IF(OR(D38=2,D38=4),"Partially Consistent","Inconsistent")),IF(D38=3,"Inconsistent",IF(AND(D38=5,B38="POSITIVE"),"Consistent",IF(AND(D38=1,B38="NEGATIVE"),"Consistent",IF(AND(D38=4,B38="POSITIVE"),"Partially Consistent",IF(AND(D38=2,B38="NEGATIVE"),"Partially Consistent","Inconsistent"))))))</f>
        <v/>
      </c>
      <c r="F38">
        <f>IF(C38="TS","High","Low")</f>
        <v/>
      </c>
      <c r="G38">
        <f>IF(AND(B38="NEUTRAL",F38="Low"),"LOW",IF(AND(C38="TS",F38="High",D38=3),"HIGH",IF(AND(C38="TS",F38="High",OR(D38=2,D38=4)),"HIGH",IF(AND(C38="TS",F38="High",OR(D38=1,D38=5)),"MODERATE",IF(AND(C38="OS",E38="Consistent",OR(D38=1,D38=5)),"MODERATE",IF(AND(C38="OS",E38="Partially Consistent",OR(D38=2,D38=4)),"MODERATE","LOW"))))))</f>
        <v/>
      </c>
      <c r="H38" t="inlineStr"/>
      <c r="I38" t="inlineStr"/>
      <c r="J38" t="inlineStr"/>
      <c r="K38" t="inlineStr"/>
      <c r="L38" t="inlineStr"/>
    </row>
    <row r="39">
      <c r="A39" t="inlineStr">
        <is>
          <t>need for seller to deliver right item i ordered.</t>
        </is>
      </c>
      <c r="B39" t="inlineStr">
        <is>
          <t>POSITIVE</t>
        </is>
      </c>
      <c r="C39">
        <f>IF(B39="NEUTRAL","TS","OS")</f>
        <v/>
      </c>
      <c r="D39" t="n">
        <v>1</v>
      </c>
      <c r="E39">
        <f>IF(C39="TS",IF(D39=3,"Consistent",IF(OR(D39=2,D39=4),"Partially Consistent","Inconsistent")),IF(D39=3,"Inconsistent",IF(AND(D39=5,B39="POSITIVE"),"Consistent",IF(AND(D39=1,B39="NEGATIVE"),"Consistent",IF(AND(D39=4,B39="POSITIVE"),"Partially Consistent",IF(AND(D39=2,B39="NEGATIVE"),"Partially Consistent","Inconsistent"))))))</f>
        <v/>
      </c>
      <c r="F39">
        <f>IF(C39="TS","High","Low")</f>
        <v/>
      </c>
      <c r="G39">
        <f>IF(AND(B39="NEUTRAL",F39="Low"),"LOW",IF(AND(C39="TS",F39="High",D39=3),"HIGH",IF(AND(C39="TS",F39="High",OR(D39=2,D39=4)),"HIGH",IF(AND(C39="TS",F39="High",OR(D39=1,D39=5)),"MODERATE",IF(AND(C39="OS",E39="Consistent",OR(D39=1,D39=5)),"MODERATE",IF(AND(C39="OS",E39="Partially Consistent",OR(D39=2,D39=4)),"MODERATE","LOW"))))))</f>
        <v/>
      </c>
      <c r="H39" t="inlineStr"/>
      <c r="I39" t="inlineStr"/>
      <c r="J39" t="inlineStr"/>
      <c r="K39" t="inlineStr"/>
      <c r="L39" t="inlineStr"/>
    </row>
    <row r="40">
      <c r="A40" t="inlineStr">
        <is>
          <t>functionality: bad</t>
        </is>
      </c>
      <c r="B40" t="inlineStr">
        <is>
          <t>NEGATIVE</t>
        </is>
      </c>
      <c r="C40">
        <f>IF(B40="NEUTRAL","TS","OS")</f>
        <v/>
      </c>
      <c r="D40" t="n">
        <v>1</v>
      </c>
      <c r="E40">
        <f>IF(C40="TS",IF(D40=3,"Consistent",IF(OR(D40=2,D40=4),"Partially Consistent","Inconsistent")),IF(D40=3,"Inconsistent",IF(AND(D40=5,B40="POSITIVE"),"Consistent",IF(AND(D40=1,B40="NEGATIVE"),"Consistent",IF(AND(D40=4,B40="POSITIVE"),"Partially Consistent",IF(AND(D40=2,B40="NEGATIVE"),"Partially Consistent","Inconsistent"))))))</f>
        <v/>
      </c>
      <c r="F40">
        <f>IF(C40="TS","High","Low")</f>
        <v/>
      </c>
      <c r="G40">
        <f>IF(AND(B40="NEUTRAL",F40="Low"),"LOW",IF(AND(C40="TS",F40="High",D40=3),"HIGH",IF(AND(C40="TS",F40="High",OR(D40=2,D40=4)),"HIGH",IF(AND(C40="TS",F40="High",OR(D40=1,D40=5)),"MODERATE",IF(AND(C40="OS",E40="Consistent",OR(D40=1,D40=5)),"MODERATE",IF(AND(C40="OS",E40="Partially Consistent",OR(D40=2,D40=4)),"MODERATE","LOW"))))))</f>
        <v/>
      </c>
      <c r="H40" t="inlineStr"/>
      <c r="I40" t="inlineStr"/>
      <c r="J40" t="inlineStr"/>
      <c r="K40" t="inlineStr"/>
      <c r="L40" t="inlineStr"/>
    </row>
    <row r="41">
      <c r="A41" t="inlineStr">
        <is>
          <t>nung una 5 star eh kaso ngayon ko lang na pansin ewan ko kung saken lang ha pero kase yung pang 4th mode nung light effect nya may naiiwang part tulad dyan sa pic galing red mag fafade papuntang purple pero yung isang part red parin ganun din sa ibang kulay. update: nag malfuntion yung right button nya ewan ko kung dahil sa pag lalaro ko ng league pero kase hindi naman dapat ganon ka bilis masira kahit sabihin mong" pang fps lang sya" lol gusto ko sana ng replacement</t>
        </is>
      </c>
      <c r="B41" t="inlineStr">
        <is>
          <t>NEUTRAL</t>
        </is>
      </c>
      <c r="C41">
        <f>IF(B41="NEUTRAL","TS","OS")</f>
        <v/>
      </c>
      <c r="D41" t="n">
        <v>2</v>
      </c>
      <c r="E41">
        <f>IF(C41="TS",IF(D41=3,"Consistent",IF(OR(D41=2,D41=4),"Partially Consistent","Inconsistent")),IF(D41=3,"Inconsistent",IF(AND(D41=5,B41="POSITIVE"),"Consistent",IF(AND(D41=1,B41="NEGATIVE"),"Consistent",IF(AND(D41=4,B41="POSITIVE"),"Partially Consistent",IF(AND(D41=2,B41="NEGATIVE"),"Partially Consistent","Inconsistent"))))))</f>
        <v/>
      </c>
      <c r="F41">
        <f>IF(C41="TS","High","Low")</f>
        <v/>
      </c>
      <c r="G41">
        <f>IF(AND(B41="NEUTRAL",F41="Low"),"LOW",IF(AND(C41="TS",F41="High",D41=3),"HIGH",IF(AND(C41="TS",F41="High",OR(D41=2,D41=4)),"HIGH",IF(AND(C41="TS",F41="High",OR(D41=1,D41=5)),"MODERATE",IF(AND(C41="OS",E41="Consistent",OR(D41=1,D41=5)),"MODERATE",IF(AND(C41="OS",E41="Partially Consistent",OR(D41=2,D41=4)),"MODERATE","LOW"))))))</f>
        <v/>
      </c>
      <c r="H41" t="inlineStr"/>
      <c r="I41" t="inlineStr"/>
      <c r="J41" t="inlineStr"/>
      <c r="K41" t="inlineStr"/>
      <c r="L41" t="inlineStr"/>
    </row>
    <row r="42">
      <c r="A42" t="inlineStr">
        <is>
          <t>nakakawang ung left click nya kailangan pang diinan para maclick</t>
        </is>
      </c>
      <c r="B42" t="inlineStr">
        <is>
          <t>NEUTRAL</t>
        </is>
      </c>
      <c r="C42">
        <f>IF(B42="NEUTRAL","TS","OS")</f>
        <v/>
      </c>
      <c r="D42" t="n">
        <v>1</v>
      </c>
      <c r="E42">
        <f>IF(C42="TS",IF(D42=3,"Consistent",IF(OR(D42=2,D42=4),"Partially Consistent","Inconsistent")),IF(D42=3,"Inconsistent",IF(AND(D42=5,B42="POSITIVE"),"Consistent",IF(AND(D42=1,B42="NEGATIVE"),"Consistent",IF(AND(D42=4,B42="POSITIVE"),"Partially Consistent",IF(AND(D42=2,B42="NEGATIVE"),"Partially Consistent","Inconsistent"))))))</f>
        <v/>
      </c>
      <c r="F42">
        <f>IF(C42="TS","High","Low")</f>
        <v/>
      </c>
      <c r="G42">
        <f>IF(AND(B42="NEUTRAL",F42="Low"),"LOW",IF(AND(C42="TS",F42="High",D42=3),"HIGH",IF(AND(C42="TS",F42="High",OR(D42=2,D42=4)),"HIGH",IF(AND(C42="TS",F42="High",OR(D42=1,D42=5)),"MODERATE",IF(AND(C42="OS",E42="Consistent",OR(D42=1,D42=5)),"MODERATE",IF(AND(C42="OS",E42="Partially Consistent",OR(D42=2,D42=4)),"MODERATE","LOW"))))))</f>
        <v/>
      </c>
      <c r="H42" t="inlineStr"/>
      <c r="I42" t="inlineStr"/>
      <c r="J42" t="inlineStr"/>
      <c r="K42" t="inlineStr"/>
      <c r="L42" t="inlineStr"/>
    </row>
    <row r="43">
      <c r="A43" t="inlineStr">
        <is>
          <t>4 binili ko lahat may issue, double click / matigas e scroll. .</t>
        </is>
      </c>
      <c r="B43" t="inlineStr">
        <is>
          <t>NEGATIVE</t>
        </is>
      </c>
      <c r="C43">
        <f>IF(B43="NEUTRAL","TS","OS")</f>
        <v/>
      </c>
      <c r="D43" t="n">
        <v>1</v>
      </c>
      <c r="E43">
        <f>IF(C43="TS",IF(D43=3,"Consistent",IF(OR(D43=2,D43=4),"Partially Consistent","Inconsistent")),IF(D43=3,"Inconsistent",IF(AND(D43=5,B43="POSITIVE"),"Consistent",IF(AND(D43=1,B43="NEGATIVE"),"Consistent",IF(AND(D43=4,B43="POSITIVE"),"Partially Consistent",IF(AND(D43=2,B43="NEGATIVE"),"Partially Consistent","Inconsistent"))))))</f>
        <v/>
      </c>
      <c r="F43">
        <f>IF(C43="TS","High","Low")</f>
        <v/>
      </c>
      <c r="G43">
        <f>IF(AND(B43="NEUTRAL",F43="Low"),"LOW",IF(AND(C43="TS",F43="High",D43=3),"HIGH",IF(AND(C43="TS",F43="High",OR(D43=2,D43=4)),"HIGH",IF(AND(C43="TS",F43="High",OR(D43=1,D43=5)),"MODERATE",IF(AND(C43="OS",E43="Consistent",OR(D43=1,D43=5)),"MODERATE",IF(AND(C43="OS",E43="Partially Consistent",OR(D43=2,D43=4)),"MODERATE","LOW"))))))</f>
        <v/>
      </c>
      <c r="H43" t="inlineStr"/>
      <c r="I43" t="inlineStr"/>
      <c r="J43" t="inlineStr"/>
      <c r="K43" t="inlineStr"/>
      <c r="L43" t="inlineStr"/>
    </row>
    <row r="44">
      <c r="A44" t="inlineStr">
        <is>
          <t>qualityokay naman sya kaso kailangan ko pa sayang pindotin ng maraming beses para gumana. functionality</t>
        </is>
      </c>
      <c r="B44" t="inlineStr">
        <is>
          <t>NEUTRAL</t>
        </is>
      </c>
      <c r="C44">
        <f>IF(B44="NEUTRAL","TS","OS")</f>
        <v/>
      </c>
      <c r="D44" t="n">
        <v>1</v>
      </c>
      <c r="E44">
        <f>IF(C44="TS",IF(D44=3,"Consistent",IF(OR(D44=2,D44=4),"Partially Consistent","Inconsistent")),IF(D44=3,"Inconsistent",IF(AND(D44=5,B44="POSITIVE"),"Consistent",IF(AND(D44=1,B44="NEGATIVE"),"Consistent",IF(AND(D44=4,B44="POSITIVE"),"Partially Consistent",IF(AND(D44=2,B44="NEGATIVE"),"Partially Consistent","Inconsistent"))))))</f>
        <v/>
      </c>
      <c r="F44">
        <f>IF(C44="TS","High","Low")</f>
        <v/>
      </c>
      <c r="G44">
        <f>IF(AND(B44="NEUTRAL",F44="Low"),"LOW",IF(AND(C44="TS",F44="High",D44=3),"HIGH",IF(AND(C44="TS",F44="High",OR(D44=2,D44=4)),"HIGH",IF(AND(C44="TS",F44="High",OR(D44=1,D44=5)),"MODERATE",IF(AND(C44="OS",E44="Consistent",OR(D44=1,D44=5)),"MODERATE",IF(AND(C44="OS",E44="Partially Consistent",OR(D44=2,D44=4)),"MODERATE","LOW"))))))</f>
        <v/>
      </c>
      <c r="H44" t="inlineStr"/>
      <c r="I44" t="inlineStr"/>
      <c r="J44" t="inlineStr"/>
      <c r="K44" t="inlineStr"/>
      <c r="L44" t="inlineStr"/>
    </row>
    <row r="45">
      <c r="A45" t="inlineStr">
        <is>
          <t>iba yung isang binigay. ok lng sana pero di gumagana</t>
        </is>
      </c>
      <c r="B45" t="inlineStr">
        <is>
          <t>NEUTRAL</t>
        </is>
      </c>
      <c r="C45">
        <f>IF(B45="NEUTRAL","TS","OS")</f>
        <v/>
      </c>
      <c r="D45" t="n">
        <v>1</v>
      </c>
      <c r="E45">
        <f>IF(C45="TS",IF(D45=3,"Consistent",IF(OR(D45=2,D45=4),"Partially Consistent","Inconsistent")),IF(D45=3,"Inconsistent",IF(AND(D45=5,B45="POSITIVE"),"Consistent",IF(AND(D45=1,B45="NEGATIVE"),"Consistent",IF(AND(D45=4,B45="POSITIVE"),"Partially Consistent",IF(AND(D45=2,B45="NEGATIVE"),"Partially Consistent","Inconsistent"))))))</f>
        <v/>
      </c>
      <c r="F45">
        <f>IF(C45="TS","High","Low")</f>
        <v/>
      </c>
      <c r="G45">
        <f>IF(AND(B45="NEUTRAL",F45="Low"),"LOW",IF(AND(C45="TS",F45="High",D45=3),"HIGH",IF(AND(C45="TS",F45="High",OR(D45=2,D45=4)),"HIGH",IF(AND(C45="TS",F45="High",OR(D45=1,D45=5)),"MODERATE",IF(AND(C45="OS",E45="Consistent",OR(D45=1,D45=5)),"MODERATE",IF(AND(C45="OS",E45="Partially Consistent",OR(D45=2,D45=4)),"MODERATE","LOW"))))))</f>
        <v/>
      </c>
      <c r="H45" t="inlineStr"/>
      <c r="I45" t="inlineStr"/>
      <c r="J45" t="inlineStr"/>
      <c r="K45" t="inlineStr"/>
      <c r="L45" t="inlineStr"/>
    </row>
    <row r="46">
      <c r="A46" t="inlineStr">
        <is>
          <t>bilis mag miss click. lingo lng miss click na.</t>
        </is>
      </c>
      <c r="B46" t="inlineStr">
        <is>
          <t>NEGATIVE</t>
        </is>
      </c>
      <c r="C46">
        <f>IF(B46="NEUTRAL","TS","OS")</f>
        <v/>
      </c>
      <c r="D46" t="n">
        <v>1</v>
      </c>
      <c r="E46">
        <f>IF(C46="TS",IF(D46=3,"Consistent",IF(OR(D46=2,D46=4),"Partially Consistent","Inconsistent")),IF(D46=3,"Inconsistent",IF(AND(D46=5,B46="POSITIVE"),"Consistent",IF(AND(D46=1,B46="NEGATIVE"),"Consistent",IF(AND(D46=4,B46="POSITIVE"),"Partially Consistent",IF(AND(D46=2,B46="NEGATIVE"),"Partially Consistent","Inconsistent"))))))</f>
        <v/>
      </c>
      <c r="F46">
        <f>IF(C46="TS","High","Low")</f>
        <v/>
      </c>
      <c r="G46">
        <f>IF(AND(B46="NEUTRAL",F46="Low"),"LOW",IF(AND(C46="TS",F46="High",D46=3),"HIGH",IF(AND(C46="TS",F46="High",OR(D46=2,D46=4)),"HIGH",IF(AND(C46="TS",F46="High",OR(D46=1,D46=5)),"MODERATE",IF(AND(C46="OS",E46="Consistent",OR(D46=1,D46=5)),"MODERATE",IF(AND(C46="OS",E46="Partially Consistent",OR(D46=2,D46=4)),"MODERATE","LOW"))))))</f>
        <v/>
      </c>
      <c r="H46" t="inlineStr"/>
      <c r="I46" t="inlineStr"/>
      <c r="J46" t="inlineStr"/>
      <c r="K46" t="inlineStr"/>
      <c r="L46" t="inlineStr"/>
    </row>
    <row r="47">
      <c r="A47" t="inlineStr">
        <is>
          <t>wala pang 1week nag fefail na yung right click hahahaha</t>
        </is>
      </c>
      <c r="B47" t="inlineStr">
        <is>
          <t>NEGATIVE</t>
        </is>
      </c>
      <c r="C47">
        <f>IF(B47="NEUTRAL","TS","OS")</f>
        <v/>
      </c>
      <c r="D47" t="n">
        <v>1</v>
      </c>
      <c r="E47">
        <f>IF(C47="TS",IF(D47=3,"Consistent",IF(OR(D47=2,D47=4),"Partially Consistent","Inconsistent")),IF(D47=3,"Inconsistent",IF(AND(D47=5,B47="POSITIVE"),"Consistent",IF(AND(D47=1,B47="NEGATIVE"),"Consistent",IF(AND(D47=4,B47="POSITIVE"),"Partially Consistent",IF(AND(D47=2,B47="NEGATIVE"),"Partially Consistent","Inconsistent"))))))</f>
        <v/>
      </c>
      <c r="F47">
        <f>IF(C47="TS","High","Low")</f>
        <v/>
      </c>
      <c r="G47">
        <f>IF(AND(B47="NEUTRAL",F47="Low"),"LOW",IF(AND(C47="TS",F47="High",D47=3),"HIGH",IF(AND(C47="TS",F47="High",OR(D47=2,D47=4)),"HIGH",IF(AND(C47="TS",F47="High",OR(D47=1,D47=5)),"MODERATE",IF(AND(C47="OS",E47="Consistent",OR(D47=1,D47=5)),"MODERATE",IF(AND(C47="OS",E47="Partially Consistent",OR(D47=2,D47=4)),"MODERATE","LOW"))))))</f>
        <v/>
      </c>
      <c r="H47" t="inlineStr"/>
      <c r="I47" t="inlineStr"/>
      <c r="J47" t="inlineStr"/>
      <c r="K47" t="inlineStr"/>
      <c r="L47" t="inlineStr"/>
    </row>
    <row r="48">
      <c r="A48" t="inlineStr">
        <is>
          <t>pag inangat ung mouse nag wawala ung mouse.</t>
        </is>
      </c>
      <c r="B48" t="inlineStr">
        <is>
          <t>NEUTRAL</t>
        </is>
      </c>
      <c r="C48">
        <f>IF(B48="NEUTRAL","TS","OS")</f>
        <v/>
      </c>
      <c r="D48" t="n">
        <v>1</v>
      </c>
      <c r="E48">
        <f>IF(C48="TS",IF(D48=3,"Consistent",IF(OR(D48=2,D48=4),"Partially Consistent","Inconsistent")),IF(D48=3,"Inconsistent",IF(AND(D48=5,B48="POSITIVE"),"Consistent",IF(AND(D48=1,B48="NEGATIVE"),"Consistent",IF(AND(D48=4,B48="POSITIVE"),"Partially Consistent",IF(AND(D48=2,B48="NEGATIVE"),"Partially Consistent","Inconsistent"))))))</f>
        <v/>
      </c>
      <c r="F48">
        <f>IF(C48="TS","High","Low")</f>
        <v/>
      </c>
      <c r="G48">
        <f>IF(AND(B48="NEUTRAL",F48="Low"),"LOW",IF(AND(C48="TS",F48="High",D48=3),"HIGH",IF(AND(C48="TS",F48="High",OR(D48=2,D48=4)),"HIGH",IF(AND(C48="TS",F48="High",OR(D48=1,D48=5)),"MODERATE",IF(AND(C48="OS",E48="Consistent",OR(D48=1,D48=5)),"MODERATE",IF(AND(C48="OS",E48="Partially Consistent",OR(D48=2,D48=4)),"MODERATE","LOW"))))))</f>
        <v/>
      </c>
      <c r="H48" t="inlineStr"/>
      <c r="I48" t="inlineStr"/>
      <c r="J48" t="inlineStr"/>
      <c r="K48" t="inlineStr"/>
      <c r="L48" t="inlineStr"/>
    </row>
    <row r="49">
      <c r="A49" t="inlineStr">
        <is>
          <t>need for seller to deliver right item i ordered.</t>
        </is>
      </c>
      <c r="B49" t="inlineStr">
        <is>
          <t>POSITIVE</t>
        </is>
      </c>
      <c r="C49">
        <f>IF(B49="NEUTRAL","TS","OS")</f>
        <v/>
      </c>
      <c r="D49" t="n">
        <v>1</v>
      </c>
      <c r="E49">
        <f>IF(C49="TS",IF(D49=3,"Consistent",IF(OR(D49=2,D49=4),"Partially Consistent","Inconsistent")),IF(D49=3,"Inconsistent",IF(AND(D49=5,B49="POSITIVE"),"Consistent",IF(AND(D49=1,B49="NEGATIVE"),"Consistent",IF(AND(D49=4,B49="POSITIVE"),"Partially Consistent",IF(AND(D49=2,B49="NEGATIVE"),"Partially Consistent","Inconsistent"))))))</f>
        <v/>
      </c>
      <c r="F49">
        <f>IF(C49="TS","High","Low")</f>
        <v/>
      </c>
      <c r="G49">
        <f>IF(AND(B49="NEUTRAL",F49="Low"),"LOW",IF(AND(C49="TS",F49="High",D49=3),"HIGH",IF(AND(C49="TS",F49="High",OR(D49=2,D49=4)),"HIGH",IF(AND(C49="TS",F49="High",OR(D49=1,D49=5)),"MODERATE",IF(AND(C49="OS",E49="Consistent",OR(D49=1,D49=5)),"MODERATE",IF(AND(C49="OS",E49="Partially Consistent",OR(D49=2,D49=4)),"MODERATE","LOW"))))))</f>
        <v/>
      </c>
      <c r="H49" t="inlineStr"/>
      <c r="I49" t="inlineStr"/>
      <c r="J49" t="inlineStr"/>
      <c r="K49" t="inlineStr"/>
      <c r="L49" t="inlineStr"/>
    </row>
    <row r="50">
      <c r="A50" t="inlineStr">
        <is>
          <t>functionality: bad</t>
        </is>
      </c>
      <c r="B50" t="inlineStr">
        <is>
          <t>NEGATIVE</t>
        </is>
      </c>
      <c r="C50">
        <f>IF(B50="NEUTRAL","TS","OS")</f>
        <v/>
      </c>
      <c r="D50" t="n">
        <v>1</v>
      </c>
      <c r="E50">
        <f>IF(C50="TS",IF(D50=3,"Consistent",IF(OR(D50=2,D50=4),"Partially Consistent","Inconsistent")),IF(D50=3,"Inconsistent",IF(AND(D50=5,B50="POSITIVE"),"Consistent",IF(AND(D50=1,B50="NEGATIVE"),"Consistent",IF(AND(D50=4,B50="POSITIVE"),"Partially Consistent",IF(AND(D50=2,B50="NEGATIVE"),"Partially Consistent","Inconsistent"))))))</f>
        <v/>
      </c>
      <c r="F50">
        <f>IF(C50="TS","High","Low")</f>
        <v/>
      </c>
      <c r="G50">
        <f>IF(AND(B50="NEUTRAL",F50="Low"),"LOW",IF(AND(C50="TS",F50="High",D50=3),"HIGH",IF(AND(C50="TS",F50="High",OR(D50=2,D50=4)),"HIGH",IF(AND(C50="TS",F50="High",OR(D50=1,D50=5)),"MODERATE",IF(AND(C50="OS",E50="Consistent",OR(D50=1,D50=5)),"MODERATE",IF(AND(C50="OS",E50="Partially Consistent",OR(D50=2,D50=4)),"MODERATE","LOW"))))))</f>
        <v/>
      </c>
      <c r="H50" t="inlineStr"/>
      <c r="I50" t="inlineStr"/>
      <c r="J50" t="inlineStr"/>
      <c r="K50" t="inlineStr"/>
      <c r="L50" t="inlineStr"/>
    </row>
    <row r="51">
      <c r="A51" t="inlineStr">
        <is>
          <t>pagbukas palan ng item bukas na ung box tas baliko ung usb port kaya hindi maconnect. parefund sayang lang pera</t>
        </is>
      </c>
      <c r="B51" t="inlineStr">
        <is>
          <t>NEGATIVE</t>
        </is>
      </c>
      <c r="C51">
        <f>IF(B51="NEUTRAL","TS","OS")</f>
        <v/>
      </c>
      <c r="D51" t="n">
        <v>1</v>
      </c>
      <c r="E51">
        <f>IF(C51="TS",IF(D51=3,"Consistent",IF(OR(D51=2,D51=4),"Partially Consistent","Inconsistent")),IF(D51=3,"Inconsistent",IF(AND(D51=5,B51="POSITIVE"),"Consistent",IF(AND(D51=1,B51="NEGATIVE"),"Consistent",IF(AND(D51=4,B51="POSITIVE"),"Partially Consistent",IF(AND(D51=2,B51="NEGATIVE"),"Partially Consistent","Inconsistent"))))))</f>
        <v/>
      </c>
      <c r="F51">
        <f>IF(C51="TS","High","Low")</f>
        <v/>
      </c>
      <c r="G51">
        <f>IF(AND(B51="NEUTRAL",F51="Low"),"LOW",IF(AND(C51="TS",F51="High",D51=3),"HIGH",IF(AND(C51="TS",F51="High",OR(D51=2,D51=4)),"HIGH",IF(AND(C51="TS",F51="High",OR(D51=1,D51=5)),"MODERATE",IF(AND(C51="OS",E51="Consistent",OR(D51=1,D51=5)),"MODERATE",IF(AND(C51="OS",E51="Partially Consistent",OR(D51=2,D51=4)),"MODERATE","LOW"))))))</f>
        <v/>
      </c>
      <c r="H51" t="inlineStr"/>
      <c r="I51" t="inlineStr"/>
      <c r="J51" t="inlineStr"/>
      <c r="K51" t="inlineStr"/>
      <c r="L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2025-05-23T03:33:45Z</dcterms:created>
  <dcterms:modified xsi:type="dcterms:W3CDTF">2025-05-23T03:33:45Z</dcterms:modified>
</cp:coreProperties>
</file>