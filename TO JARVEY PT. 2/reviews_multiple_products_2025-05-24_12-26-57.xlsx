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view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1"/>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c r="M1" s="1" t="inlineStr">
        <is>
          <t>Product_URL</t>
        </is>
      </c>
      <c r="N1" s="1" t="inlineStr">
        <is>
          <t>Product_Number</t>
        </is>
      </c>
    </row>
    <row r="2">
      <c r="A2" t="inlineStr">
        <is>
          <t>gandaa nito mukang expensive</t>
        </is>
      </c>
      <c r="B2" t="inlineStr">
        <is>
          <t>POSITIVE</t>
        </is>
      </c>
      <c r="C2">
        <f>IF(B2="NEUTRAL","TS","OS")</f>
        <v/>
      </c>
      <c r="D2" t="n">
        <v>5</v>
      </c>
      <c r="E2">
        <f>IF(C2="TS",IF(D2=3,"Consistent",IF(OR(D2=2,D2=4),"Partially Consistent","Inconsistent")),IF(D2=3,"Inconsistent",IF(AND(D2=5,B2="POSITIVE"),"Consistent",IF(AND(D2=1,B2="NEGATIVE"),"Consistent",IF(AND(D2=4,B2="POSITIVE"),"Partially Consistent",IF(AND(D2=2,B2="NEGATIVE"),"Partially Consistent","Inconsistent"))))))</f>
        <v/>
      </c>
      <c r="F2">
        <f>IF(C2="TS","High","Low")</f>
        <v/>
      </c>
      <c r="G2">
        <f>IF(AND(B2="NEUTRAL",F2="Low"),"LOW",IF(AND(C2="TS",F2="High",D2=3),"HIGH",IF(AND(C2="TS",F2="High",OR(D2=2,D2=4)),"MODERATE",IF(AND(C2="TS",F2="High",OR(D2=1,D2=5)),"LOW",IF(AND(C2="OS",E2="Consistent",OR(D2=1,D2=5)),"MODERATE",IF(AND(C2="OS",E2="Partially Consistent",OR(D2=2,D2=4)),"MODERATE","LOW"))))))</f>
        <v/>
      </c>
      <c r="H2" t="inlineStr"/>
      <c r="I2" t="inlineStr"/>
      <c r="J2" t="inlineStr"/>
      <c r="K2" t="inlineStr"/>
      <c r="L2" t="inlineStr"/>
      <c r="M2" t="inlineStr">
        <is>
          <t>https://www.lazada.com.ph/products/pdp-i2711622771-s12970446850.html</t>
        </is>
      </c>
      <c r="N2" t="n">
        <v>1</v>
      </c>
    </row>
    <row r="3">
      <c r="A3" t="inlineStr">
        <is>
          <t>stylish and trendy design, excellent craftsmanship, high-quality pu leather material, high-quality pu leather material, versatile and practical,</t>
        </is>
      </c>
      <c r="B3" t="inlineStr">
        <is>
          <t>POSITIVE</t>
        </is>
      </c>
      <c r="C3">
        <f>IF(B3="NEUTRAL","TS","OS")</f>
        <v/>
      </c>
      <c r="D3" t="n">
        <v>5</v>
      </c>
      <c r="E3">
        <f>IF(C3="TS",IF(D3=3,"Consistent",IF(OR(D3=2,D3=4),"Partially Consistent","Inconsistent")),IF(D3=3,"Inconsistent",IF(AND(D3=5,B3="POSITIVE"),"Consistent",IF(AND(D3=1,B3="NEGATIVE"),"Consistent",IF(AND(D3=4,B3="POSITIVE"),"Partially Consistent",IF(AND(D3=2,B3="NEGATIVE"),"Partially Consistent","Inconsistent"))))))</f>
        <v/>
      </c>
      <c r="F3">
        <f>IF(C3="TS","High","Low")</f>
        <v/>
      </c>
      <c r="G3">
        <f>IF(AND(B3="NEUTRAL",F3="Low"),"LOW",IF(AND(C3="TS",F3="High",D3=3),"HIGH",IF(AND(C3="TS",F3="High",OR(D3=2,D3=4)),"MODERATE",IF(AND(C3="TS",F3="High",OR(D3=1,D3=5)),"LOW",IF(AND(C3="OS",E3="Consistent",OR(D3=1,D3=5)),"MODERATE",IF(AND(C3="OS",E3="Partially Consistent",OR(D3=2,D3=4)),"MODERATE","LOW"))))))</f>
        <v/>
      </c>
      <c r="H3" t="inlineStr"/>
      <c r="I3" t="inlineStr"/>
      <c r="J3" t="inlineStr"/>
      <c r="K3" t="inlineStr"/>
      <c r="L3" t="inlineStr"/>
      <c r="M3" t="inlineStr">
        <is>
          <t>https://www.lazada.com.ph/products/pdp-i2711622771-s12970446850.html</t>
        </is>
      </c>
      <c r="N3" t="n">
        <v>1</v>
      </c>
    </row>
    <row r="4">
      <c r="A4" t="inlineStr">
        <is>
          <t>maganda po talaga sya. . murang mura at maganda ang color versatile and practical, material: sling bag color: khaki</t>
        </is>
      </c>
      <c r="B4" t="inlineStr">
        <is>
          <t>POSITIVE</t>
        </is>
      </c>
      <c r="C4">
        <f>IF(B4="NEUTRAL","TS","OS")</f>
        <v/>
      </c>
      <c r="D4" t="n">
        <v>5</v>
      </c>
      <c r="E4">
        <f>IF(C4="TS",IF(D4=3,"Consistent",IF(OR(D4=2,D4=4),"Partially Consistent","Inconsistent")),IF(D4=3,"Inconsistent",IF(AND(D4=5,B4="POSITIVE"),"Consistent",IF(AND(D4=1,B4="NEGATIVE"),"Consistent",IF(AND(D4=4,B4="POSITIVE"),"Partially Consistent",IF(AND(D4=2,B4="NEGATIVE"),"Partially Consistent","Inconsistent"))))))</f>
        <v/>
      </c>
      <c r="F4">
        <f>IF(C4="TS","High","Low")</f>
        <v/>
      </c>
      <c r="G4">
        <f>IF(AND(B4="NEUTRAL",F4="Low"),"LOW",IF(AND(C4="TS",F4="High",D4=3),"HIGH",IF(AND(C4="TS",F4="High",OR(D4=2,D4=4)),"MODERATE",IF(AND(C4="TS",F4="High",OR(D4=1,D4=5)),"LOW",IF(AND(C4="OS",E4="Consistent",OR(D4=1,D4=5)),"MODERATE",IF(AND(C4="OS",E4="Partially Consistent",OR(D4=2,D4=4)),"MODERATE","LOW"))))))</f>
        <v/>
      </c>
      <c r="H4" t="inlineStr"/>
      <c r="I4" t="inlineStr"/>
      <c r="J4" t="inlineStr"/>
      <c r="K4" t="inlineStr"/>
      <c r="L4" t="inlineStr"/>
      <c r="M4" t="inlineStr">
        <is>
          <t>https://www.lazada.com.ph/products/pdp-i2711622771-s12970446850.html</t>
        </is>
      </c>
      <c r="N4" t="n">
        <v>1</v>
      </c>
    </row>
    <row r="5">
      <c r="A5" t="inlineStr">
        <is>
          <t>perfect for everyday use, available in multiple colors, versatile and practical, great value for money,</t>
        </is>
      </c>
      <c r="B5" t="inlineStr">
        <is>
          <t>POSITIVE</t>
        </is>
      </c>
      <c r="C5">
        <f>IF(B5="NEUTRAL","TS","OS")</f>
        <v/>
      </c>
      <c r="D5" t="n">
        <v>5</v>
      </c>
      <c r="E5">
        <f>IF(C5="TS",IF(D5=3,"Consistent",IF(OR(D5=2,D5=4),"Partially Consistent","Inconsistent")),IF(D5=3,"Inconsistent",IF(AND(D5=5,B5="POSITIVE"),"Consistent",IF(AND(D5=1,B5="NEGATIVE"),"Consistent",IF(AND(D5=4,B5="POSITIVE"),"Partially Consistent",IF(AND(D5=2,B5="NEGATIVE"),"Partially Consistent","Inconsistent"))))))</f>
        <v/>
      </c>
      <c r="F5">
        <f>IF(C5="TS","High","Low")</f>
        <v/>
      </c>
      <c r="G5">
        <f>IF(AND(B5="NEUTRAL",F5="Low"),"LOW",IF(AND(C5="TS",F5="High",D5=3),"HIGH",IF(AND(C5="TS",F5="High",OR(D5=2,D5=4)),"MODERATE",IF(AND(C5="TS",F5="High",OR(D5=1,D5=5)),"LOW",IF(AND(C5="OS",E5="Consistent",OR(D5=1,D5=5)),"MODERATE",IF(AND(C5="OS",E5="Partially Consistent",OR(D5=2,D5=4)),"MODERATE","LOW"))))))</f>
        <v/>
      </c>
      <c r="H5" t="inlineStr"/>
      <c r="I5" t="inlineStr"/>
      <c r="J5" t="inlineStr"/>
      <c r="K5" t="inlineStr"/>
      <c r="L5" t="inlineStr"/>
      <c r="M5" t="inlineStr">
        <is>
          <t>https://www.lazada.com.ph/products/pdp-i2711622771-s12970446850.html</t>
        </is>
      </c>
      <c r="N5" t="n">
        <v>1</v>
      </c>
    </row>
    <row r="6">
      <c r="A6" t="inlineStr">
        <is>
          <t>stylish and trendy design, beautiful chain strap detail, perfect for everyday use, high-quality pu leather material,</t>
        </is>
      </c>
      <c r="B6" t="inlineStr">
        <is>
          <t>NEUTRAL</t>
        </is>
      </c>
      <c r="C6">
        <f>IF(B6="NEUTRAL","TS","OS")</f>
        <v/>
      </c>
      <c r="D6" t="n">
        <v>5</v>
      </c>
      <c r="E6">
        <f>IF(C6="TS",IF(D6=3,"Consistent",IF(OR(D6=2,D6=4),"Partially Consistent","Inconsistent")),IF(D6=3,"Inconsistent",IF(AND(D6=5,B6="POSITIVE"),"Consistent",IF(AND(D6=1,B6="NEGATIVE"),"Consistent",IF(AND(D6=4,B6="POSITIVE"),"Partially Consistent",IF(AND(D6=2,B6="NEGATIVE"),"Partially Consistent","Inconsistent"))))))</f>
        <v/>
      </c>
      <c r="F6">
        <f>IF(C6="TS","High","Low")</f>
        <v/>
      </c>
      <c r="G6">
        <f>IF(AND(B6="NEUTRAL",F6="Low"),"LOW",IF(AND(C6="TS",F6="High",D6=3),"HIGH",IF(AND(C6="TS",F6="High",OR(D6=2,D6=4)),"MODERATE",IF(AND(C6="TS",F6="High",OR(D6=1,D6=5)),"LOW",IF(AND(C6="OS",E6="Consistent",OR(D6=1,D6=5)),"MODERATE",IF(AND(C6="OS",E6="Partially Consistent",OR(D6=2,D6=4)),"MODERATE","LOW"))))))</f>
        <v/>
      </c>
      <c r="H6" t="inlineStr"/>
      <c r="I6" t="inlineStr"/>
      <c r="J6" t="inlineStr"/>
      <c r="K6" t="inlineStr"/>
      <c r="L6" t="inlineStr"/>
      <c r="M6" t="inlineStr">
        <is>
          <t>https://www.lazada.com.ph/products/pdp-i2711622771-s12970446850.html</t>
        </is>
      </c>
      <c r="N6" t="n">
        <v>1</v>
      </c>
    </row>
    <row r="7">
      <c r="A7" t="inlineStr">
        <is>
          <t>great value for money, durability: good price: good design: good</t>
        </is>
      </c>
      <c r="B7" t="inlineStr">
        <is>
          <t>POSITIVE</t>
        </is>
      </c>
      <c r="C7">
        <f>IF(B7="NEUTRAL","TS","OS")</f>
        <v/>
      </c>
      <c r="D7" t="n">
        <v>5</v>
      </c>
      <c r="E7">
        <f>IF(C7="TS",IF(D7=3,"Consistent",IF(OR(D7=2,D7=4),"Partially Consistent","Inconsistent")),IF(D7=3,"Inconsistent",IF(AND(D7=5,B7="POSITIVE"),"Consistent",IF(AND(D7=1,B7="NEGATIVE"),"Consistent",IF(AND(D7=4,B7="POSITIVE"),"Partially Consistent",IF(AND(D7=2,B7="NEGATIVE"),"Partially Consistent","Inconsistent"))))))</f>
        <v/>
      </c>
      <c r="F7">
        <f>IF(C7="TS","High","Low")</f>
        <v/>
      </c>
      <c r="G7">
        <f>IF(AND(B7="NEUTRAL",F7="Low"),"LOW",IF(AND(C7="TS",F7="High",D7=3),"HIGH",IF(AND(C7="TS",F7="High",OR(D7=2,D7=4)),"MODERATE",IF(AND(C7="TS",F7="High",OR(D7=1,D7=5)),"LOW",IF(AND(C7="OS",E7="Consistent",OR(D7=1,D7=5)),"MODERATE",IF(AND(C7="OS",E7="Partially Consistent",OR(D7=2,D7=4)),"MODERATE","LOW"))))))</f>
        <v/>
      </c>
      <c r="H7" t="inlineStr"/>
      <c r="I7" t="inlineStr"/>
      <c r="J7" t="inlineStr"/>
      <c r="K7" t="inlineStr"/>
      <c r="L7" t="inlineStr"/>
      <c r="M7" t="inlineStr">
        <is>
          <t>https://www.lazada.com.ph/products/pdp-i2711622771-s12970446850.html</t>
        </is>
      </c>
      <c r="N7" t="n">
        <v>1</v>
      </c>
    </row>
    <row r="8">
      <c r="A8" t="inlineStr">
        <is>
          <t>perfect for everyday use, beautiful chain strap detail, great value for money,</t>
        </is>
      </c>
      <c r="B8" t="inlineStr">
        <is>
          <t>POSITIVE</t>
        </is>
      </c>
      <c r="C8">
        <f>IF(B8="NEUTRAL","TS","OS")</f>
        <v/>
      </c>
      <c r="D8" t="n">
        <v>5</v>
      </c>
      <c r="E8">
        <f>IF(C8="TS",IF(D8=3,"Consistent",IF(OR(D8=2,D8=4),"Partially Consistent","Inconsistent")),IF(D8=3,"Inconsistent",IF(AND(D8=5,B8="POSITIVE"),"Consistent",IF(AND(D8=1,B8="NEGATIVE"),"Consistent",IF(AND(D8=4,B8="POSITIVE"),"Partially Consistent",IF(AND(D8=2,B8="NEGATIVE"),"Partially Consistent","Inconsistent"))))))</f>
        <v/>
      </c>
      <c r="F8">
        <f>IF(C8="TS","High","Low")</f>
        <v/>
      </c>
      <c r="G8">
        <f>IF(AND(B8="NEUTRAL",F8="Low"),"LOW",IF(AND(C8="TS",F8="High",D8=3),"HIGH",IF(AND(C8="TS",F8="High",OR(D8=2,D8=4)),"MODERATE",IF(AND(C8="TS",F8="High",OR(D8=1,D8=5)),"LOW",IF(AND(C8="OS",E8="Consistent",OR(D8=1,D8=5)),"MODERATE",IF(AND(C8="OS",E8="Partially Consistent",OR(D8=2,D8=4)),"MODERATE","LOW"))))))</f>
        <v/>
      </c>
      <c r="H8" t="inlineStr"/>
      <c r="I8" t="inlineStr"/>
      <c r="J8" t="inlineStr"/>
      <c r="K8" t="inlineStr"/>
      <c r="L8" t="inlineStr"/>
      <c r="M8" t="inlineStr">
        <is>
          <t>https://www.lazada.com.ph/products/pdp-i2711622771-s12970446850.html</t>
        </is>
      </c>
      <c r="N8" t="n">
        <v>1</v>
      </c>
    </row>
    <row r="9">
      <c r="A9" t="inlineStr">
        <is>
          <t>the bag has its good durability. . . makapal sya. . . . the color and the appearance. . . . i love it all. . . . it has a unique design and beautiful. . . . love it much. . . . the delivery. . . the parcel and the package, the goods/products are all in order. . . everything is good. . . love it. . . thanks sa lazada. . .</t>
        </is>
      </c>
      <c r="B9" t="inlineStr">
        <is>
          <t>POSITIVE</t>
        </is>
      </c>
      <c r="C9">
        <f>IF(B9="NEUTRAL","TS","OS")</f>
        <v/>
      </c>
      <c r="D9" t="n">
        <v>5</v>
      </c>
      <c r="E9">
        <f>IF(C9="TS",IF(D9=3,"Consistent",IF(OR(D9=2,D9=4),"Partially Consistent","Inconsistent")),IF(D9=3,"Inconsistent",IF(AND(D9=5,B9="POSITIVE"),"Consistent",IF(AND(D9=1,B9="NEGATIVE"),"Consistent",IF(AND(D9=4,B9="POSITIVE"),"Partially Consistent",IF(AND(D9=2,B9="NEGATIVE"),"Partially Consistent","Inconsistent"))))))</f>
        <v/>
      </c>
      <c r="F9">
        <f>IF(C9="TS","High","Low")</f>
        <v/>
      </c>
      <c r="G9">
        <f>IF(AND(B9="NEUTRAL",F9="Low"),"LOW",IF(AND(C9="TS",F9="High",D9=3),"HIGH",IF(AND(C9="TS",F9="High",OR(D9=2,D9=4)),"MODERATE",IF(AND(C9="TS",F9="High",OR(D9=1,D9=5)),"LOW",IF(AND(C9="OS",E9="Consistent",OR(D9=1,D9=5)),"MODERATE",IF(AND(C9="OS",E9="Partially Consistent",OR(D9=2,D9=4)),"MODERATE","LOW"))))))</f>
        <v/>
      </c>
      <c r="H9" t="inlineStr"/>
      <c r="I9" t="inlineStr"/>
      <c r="J9" t="inlineStr"/>
      <c r="K9" t="inlineStr"/>
      <c r="L9" t="inlineStr"/>
      <c r="M9" t="inlineStr">
        <is>
          <t>https://www.lazada.com.ph/products/pdp-i2711622771-s12970446850.html</t>
        </is>
      </c>
      <c r="N9" t="n">
        <v>1</v>
      </c>
    </row>
    <row r="10">
      <c r="A10" t="inlineStr">
        <is>
          <t>comfortable to wear, perfect for everyday use, beautiful chain strap detail, high-quality pu leather material,</t>
        </is>
      </c>
      <c r="B10" t="inlineStr">
        <is>
          <t>POSITIVE</t>
        </is>
      </c>
      <c r="C10">
        <f>IF(B10="NEUTRAL","TS","OS")</f>
        <v/>
      </c>
      <c r="D10" t="n">
        <v>5</v>
      </c>
      <c r="E10">
        <f>IF(C10="TS",IF(D10=3,"Consistent",IF(OR(D10=2,D10=4),"Partially Consistent","Inconsistent")),IF(D10=3,"Inconsistent",IF(AND(D10=5,B10="POSITIVE"),"Consistent",IF(AND(D10=1,B10="NEGATIVE"),"Consistent",IF(AND(D10=4,B10="POSITIVE"),"Partially Consistent",IF(AND(D10=2,B10="NEGATIVE"),"Partially Consistent","Inconsistent"))))))</f>
        <v/>
      </c>
      <c r="F10">
        <f>IF(C10="TS","High","Low")</f>
        <v/>
      </c>
      <c r="G10">
        <f>IF(AND(B10="NEUTRAL",F10="Low"),"LOW",IF(AND(C10="TS",F10="High",D10=3),"HIGH",IF(AND(C10="TS",F10="High",OR(D10=2,D10=4)),"MODERATE",IF(AND(C10="TS",F10="High",OR(D10=1,D10=5)),"LOW",IF(AND(C10="OS",E10="Consistent",OR(D10=1,D10=5)),"MODERATE",IF(AND(C10="OS",E10="Partially Consistent",OR(D10=2,D10=4)),"MODERATE","LOW"))))))</f>
        <v/>
      </c>
      <c r="H10" t="inlineStr"/>
      <c r="I10" t="inlineStr"/>
      <c r="J10" t="inlineStr"/>
      <c r="K10" t="inlineStr"/>
      <c r="L10" t="inlineStr"/>
      <c r="M10" t="inlineStr">
        <is>
          <t>https://www.lazada.com.ph/products/pdp-i2711622771-s12970446850.html</t>
        </is>
      </c>
      <c r="N10" t="n">
        <v>1</v>
      </c>
    </row>
    <row r="11">
      <c r="A11" t="inlineStr">
        <is>
          <t>maganda siya, sulit na din yung bayad nakakabitin lng oara skain yung sling nya hehw pero legit maganda pede sya pang gift</t>
        </is>
      </c>
      <c r="B11" t="inlineStr">
        <is>
          <t>POSITIVE</t>
        </is>
      </c>
      <c r="C11">
        <f>IF(B11="NEUTRAL","TS","OS")</f>
        <v/>
      </c>
      <c r="D11" t="n">
        <v>5</v>
      </c>
      <c r="E11">
        <f>IF(C11="TS",IF(D11=3,"Consistent",IF(OR(D11=2,D11=4),"Partially Consistent","Inconsistent")),IF(D11=3,"Inconsistent",IF(AND(D11=5,B11="POSITIVE"),"Consistent",IF(AND(D11=1,B11="NEGATIVE"),"Consistent",IF(AND(D11=4,B11="POSITIVE"),"Partially Consistent",IF(AND(D11=2,B11="NEGATIVE"),"Partially Consistent","Inconsistent"))))))</f>
        <v/>
      </c>
      <c r="F11">
        <f>IF(C11="TS","High","Low")</f>
        <v/>
      </c>
      <c r="G11">
        <f>IF(AND(B11="NEUTRAL",F11="Low"),"LOW",IF(AND(C11="TS",F11="High",D11=3),"HIGH",IF(AND(C11="TS",F11="High",OR(D11=2,D11=4)),"MODERATE",IF(AND(C11="TS",F11="High",OR(D11=1,D11=5)),"LOW",IF(AND(C11="OS",E11="Consistent",OR(D11=1,D11=5)),"MODERATE",IF(AND(C11="OS",E11="Partially Consistent",OR(D11=2,D11=4)),"MODERATE","LOW"))))))</f>
        <v/>
      </c>
      <c r="H11" t="inlineStr"/>
      <c r="I11" t="inlineStr"/>
      <c r="J11" t="inlineStr"/>
      <c r="K11" t="inlineStr"/>
      <c r="L11" t="inlineStr"/>
      <c r="M11" t="inlineStr">
        <is>
          <t>https://www.lazada.com.ph/products/pdp-i2711622771-s12970446850.html</t>
        </is>
      </c>
      <c r="N11" t="n">
        <v>1</v>
      </c>
    </row>
    <row r="12">
      <c r="A12" t="inlineStr">
        <is>
          <t>great value for money, durability: good price: good design: good</t>
        </is>
      </c>
      <c r="B12" t="inlineStr">
        <is>
          <t>POSITIVE</t>
        </is>
      </c>
      <c r="C12">
        <f>IF(B12="NEUTRAL","TS","OS")</f>
        <v/>
      </c>
      <c r="D12" t="n">
        <v>5</v>
      </c>
      <c r="E12">
        <f>IF(C12="TS",IF(D12=3,"Consistent",IF(OR(D12=2,D12=4),"Partially Consistent","Inconsistent")),IF(D12=3,"Inconsistent",IF(AND(D12=5,B12="POSITIVE"),"Consistent",IF(AND(D12=1,B12="NEGATIVE"),"Consistent",IF(AND(D12=4,B12="POSITIVE"),"Partially Consistent",IF(AND(D12=2,B12="NEGATIVE"),"Partially Consistent","Inconsistent"))))))</f>
        <v/>
      </c>
      <c r="F12">
        <f>IF(C12="TS","High","Low")</f>
        <v/>
      </c>
      <c r="G12">
        <f>IF(AND(B12="NEUTRAL",F12="Low"),"LOW",IF(AND(C12="TS",F12="High",D12=3),"HIGH",IF(AND(C12="TS",F12="High",OR(D12=2,D12=4)),"MODERATE",IF(AND(C12="TS",F12="High",OR(D12=1,D12=5)),"LOW",IF(AND(C12="OS",E12="Consistent",OR(D12=1,D12=5)),"MODERATE",IF(AND(C12="OS",E12="Partially Consistent",OR(D12=2,D12=4)),"MODERATE","LOW"))))))</f>
        <v/>
      </c>
      <c r="H12" t="inlineStr"/>
      <c r="I12" t="inlineStr"/>
      <c r="J12" t="inlineStr"/>
      <c r="K12" t="inlineStr"/>
      <c r="L12" t="inlineStr"/>
      <c r="M12" t="inlineStr">
        <is>
          <t>https://www.lazada.com.ph/products/pdp-i2711622771-s12970446850.html</t>
        </is>
      </c>
      <c r="N12" t="n">
        <v>1</v>
      </c>
    </row>
    <row r="13">
      <c r="A13" t="inlineStr">
        <is>
          <t>perfect for everyday use, beautiful chain strap detail, great value for money,</t>
        </is>
      </c>
      <c r="B13" t="inlineStr">
        <is>
          <t>POSITIVE</t>
        </is>
      </c>
      <c r="C13">
        <f>IF(B13="NEUTRAL","TS","OS")</f>
        <v/>
      </c>
      <c r="D13" t="n">
        <v>5</v>
      </c>
      <c r="E13">
        <f>IF(C13="TS",IF(D13=3,"Consistent",IF(OR(D13=2,D13=4),"Partially Consistent","Inconsistent")),IF(D13=3,"Inconsistent",IF(AND(D13=5,B13="POSITIVE"),"Consistent",IF(AND(D13=1,B13="NEGATIVE"),"Consistent",IF(AND(D13=4,B13="POSITIVE"),"Partially Consistent",IF(AND(D13=2,B13="NEGATIVE"),"Partially Consistent","Inconsistent"))))))</f>
        <v/>
      </c>
      <c r="F13">
        <f>IF(C13="TS","High","Low")</f>
        <v/>
      </c>
      <c r="G13">
        <f>IF(AND(B13="NEUTRAL",F13="Low"),"LOW",IF(AND(C13="TS",F13="High",D13=3),"HIGH",IF(AND(C13="TS",F13="High",OR(D13=2,D13=4)),"MODERATE",IF(AND(C13="TS",F13="High",OR(D13=1,D13=5)),"LOW",IF(AND(C13="OS",E13="Consistent",OR(D13=1,D13=5)),"MODERATE",IF(AND(C13="OS",E13="Partially Consistent",OR(D13=2,D13=4)),"MODERATE","LOW"))))))</f>
        <v/>
      </c>
      <c r="H13" t="inlineStr"/>
      <c r="I13" t="inlineStr"/>
      <c r="J13" t="inlineStr"/>
      <c r="K13" t="inlineStr"/>
      <c r="L13" t="inlineStr"/>
      <c r="M13" t="inlineStr">
        <is>
          <t>https://www.lazada.com.ph/products/pdp-i2711622771-s12970446850.html</t>
        </is>
      </c>
      <c r="N13" t="n">
        <v>1</v>
      </c>
    </row>
    <row r="14">
      <c r="A14" t="inlineStr">
        <is>
          <t>the bag has its good durability. . . makapal sya. . . . the color and the appearance. . . . i love it all. . . . it has a unique design and beautiful. . . . love it much. . . . the delivery. . . the parcel and the package, the goods/products are all in order. . . everything is good. . . love it. . . thanks sa lazada. . .</t>
        </is>
      </c>
      <c r="B14" t="inlineStr">
        <is>
          <t>POSITIVE</t>
        </is>
      </c>
      <c r="C14">
        <f>IF(B14="NEUTRAL","TS","OS")</f>
        <v/>
      </c>
      <c r="D14" t="n">
        <v>5</v>
      </c>
      <c r="E14">
        <f>IF(C14="TS",IF(D14=3,"Consistent",IF(OR(D14=2,D14=4),"Partially Consistent","Inconsistent")),IF(D14=3,"Inconsistent",IF(AND(D14=5,B14="POSITIVE"),"Consistent",IF(AND(D14=1,B14="NEGATIVE"),"Consistent",IF(AND(D14=4,B14="POSITIVE"),"Partially Consistent",IF(AND(D14=2,B14="NEGATIVE"),"Partially Consistent","Inconsistent"))))))</f>
        <v/>
      </c>
      <c r="F14">
        <f>IF(C14="TS","High","Low")</f>
        <v/>
      </c>
      <c r="G14">
        <f>IF(AND(B14="NEUTRAL",F14="Low"),"LOW",IF(AND(C14="TS",F14="High",D14=3),"HIGH",IF(AND(C14="TS",F14="High",OR(D14=2,D14=4)),"MODERATE",IF(AND(C14="TS",F14="High",OR(D14=1,D14=5)),"LOW",IF(AND(C14="OS",E14="Consistent",OR(D14=1,D14=5)),"MODERATE",IF(AND(C14="OS",E14="Partially Consistent",OR(D14=2,D14=4)),"MODERATE","LOW"))))))</f>
        <v/>
      </c>
      <c r="H14" t="inlineStr"/>
      <c r="I14" t="inlineStr"/>
      <c r="J14" t="inlineStr"/>
      <c r="K14" t="inlineStr"/>
      <c r="L14" t="inlineStr"/>
      <c r="M14" t="inlineStr">
        <is>
          <t>https://www.lazada.com.ph/products/pdp-i2711622771-s12970446850.html</t>
        </is>
      </c>
      <c r="N14" t="n">
        <v>1</v>
      </c>
    </row>
    <row r="15">
      <c r="A15" t="inlineStr">
        <is>
          <t>comfortable to wear, perfect for everyday use, beautiful chain strap detail, high-quality pu leather material,</t>
        </is>
      </c>
      <c r="B15" t="inlineStr">
        <is>
          <t>POSITIVE</t>
        </is>
      </c>
      <c r="C15">
        <f>IF(B15="NEUTRAL","TS","OS")</f>
        <v/>
      </c>
      <c r="D15" t="n">
        <v>5</v>
      </c>
      <c r="E15">
        <f>IF(C15="TS",IF(D15=3,"Consistent",IF(OR(D15=2,D15=4),"Partially Consistent","Inconsistent")),IF(D15=3,"Inconsistent",IF(AND(D15=5,B15="POSITIVE"),"Consistent",IF(AND(D15=1,B15="NEGATIVE"),"Consistent",IF(AND(D15=4,B15="POSITIVE"),"Partially Consistent",IF(AND(D15=2,B15="NEGATIVE"),"Partially Consistent","Inconsistent"))))))</f>
        <v/>
      </c>
      <c r="F15">
        <f>IF(C15="TS","High","Low")</f>
        <v/>
      </c>
      <c r="G15">
        <f>IF(AND(B15="NEUTRAL",F15="Low"),"LOW",IF(AND(C15="TS",F15="High",D15=3),"HIGH",IF(AND(C15="TS",F15="High",OR(D15=2,D15=4)),"MODERATE",IF(AND(C15="TS",F15="High",OR(D15=1,D15=5)),"LOW",IF(AND(C15="OS",E15="Consistent",OR(D15=1,D15=5)),"MODERATE",IF(AND(C15="OS",E15="Partially Consistent",OR(D15=2,D15=4)),"MODERATE","LOW"))))))</f>
        <v/>
      </c>
      <c r="H15" t="inlineStr"/>
      <c r="I15" t="inlineStr"/>
      <c r="J15" t="inlineStr"/>
      <c r="K15" t="inlineStr"/>
      <c r="L15" t="inlineStr"/>
      <c r="M15" t="inlineStr">
        <is>
          <t>https://www.lazada.com.ph/products/pdp-i2711622771-s12970446850.html</t>
        </is>
      </c>
      <c r="N15" t="n">
        <v>1</v>
      </c>
    </row>
    <row r="16">
      <c r="A16" t="inlineStr">
        <is>
          <t>maganda siya, sulit na din yung bayad nakakabitin lng oara skain yung sling nya hehw pero legit maganda pede sya pang gift</t>
        </is>
      </c>
      <c r="B16" t="inlineStr">
        <is>
          <t>POSITIVE</t>
        </is>
      </c>
      <c r="C16">
        <f>IF(B16="NEUTRAL","TS","OS")</f>
        <v/>
      </c>
      <c r="D16" t="n">
        <v>5</v>
      </c>
      <c r="E16">
        <f>IF(C16="TS",IF(D16=3,"Consistent",IF(OR(D16=2,D16=4),"Partially Consistent","Inconsistent")),IF(D16=3,"Inconsistent",IF(AND(D16=5,B16="POSITIVE"),"Consistent",IF(AND(D16=1,B16="NEGATIVE"),"Consistent",IF(AND(D16=4,B16="POSITIVE"),"Partially Consistent",IF(AND(D16=2,B16="NEGATIVE"),"Partially Consistent","Inconsistent"))))))</f>
        <v/>
      </c>
      <c r="F16">
        <f>IF(C16="TS","High","Low")</f>
        <v/>
      </c>
      <c r="G16">
        <f>IF(AND(B16="NEUTRAL",F16="Low"),"LOW",IF(AND(C16="TS",F16="High",D16=3),"HIGH",IF(AND(C16="TS",F16="High",OR(D16=2,D16=4)),"MODERATE",IF(AND(C16="TS",F16="High",OR(D16=1,D16=5)),"LOW",IF(AND(C16="OS",E16="Consistent",OR(D16=1,D16=5)),"MODERATE",IF(AND(C16="OS",E16="Partially Consistent",OR(D16=2,D16=4)),"MODERATE","LOW"))))))</f>
        <v/>
      </c>
      <c r="H16" t="inlineStr"/>
      <c r="I16" t="inlineStr"/>
      <c r="J16" t="inlineStr"/>
      <c r="K16" t="inlineStr"/>
      <c r="L16" t="inlineStr"/>
      <c r="M16" t="inlineStr">
        <is>
          <t>https://www.lazada.com.ph/products/pdp-i2711622771-s12970446850.html</t>
        </is>
      </c>
      <c r="N16" t="n">
        <v>1</v>
      </c>
    </row>
    <row r="17">
      <c r="A17" t="inlineStr">
        <is>
          <t>color: may pagka dirty white size: ang cute nya, good for pang gala material: cguro tatagal to, pag marunong kang mag alaga ng gamit</t>
        </is>
      </c>
      <c r="B17" t="inlineStr">
        <is>
          <t>NEUTRAL</t>
        </is>
      </c>
      <c r="C17">
        <f>IF(B17="NEUTRAL","TS","OS")</f>
        <v/>
      </c>
      <c r="D17" t="n">
        <v>5</v>
      </c>
      <c r="E17">
        <f>IF(C17="TS",IF(D17=3,"Consistent",IF(OR(D17=2,D17=4),"Partially Consistent","Inconsistent")),IF(D17=3,"Inconsistent",IF(AND(D17=5,B17="POSITIVE"),"Consistent",IF(AND(D17=1,B17="NEGATIVE"),"Consistent",IF(AND(D17=4,B17="POSITIVE"),"Partially Consistent",IF(AND(D17=2,B17="NEGATIVE"),"Partially Consistent","Inconsistent"))))))</f>
        <v/>
      </c>
      <c r="F17">
        <f>IF(C17="TS","High","Low")</f>
        <v/>
      </c>
      <c r="G17">
        <f>IF(AND(B17="NEUTRAL",F17="Low"),"LOW",IF(AND(C17="TS",F17="High",D17=3),"HIGH",IF(AND(C17="TS",F17="High",OR(D17=2,D17=4)),"MODERATE",IF(AND(C17="TS",F17="High",OR(D17=1,D17=5)),"LOW",IF(AND(C17="OS",E17="Consistent",OR(D17=1,D17=5)),"MODERATE",IF(AND(C17="OS",E17="Partially Consistent",OR(D17=2,D17=4)),"MODERATE","LOW"))))))</f>
        <v/>
      </c>
      <c r="H17" t="inlineStr"/>
      <c r="I17" t="inlineStr"/>
      <c r="J17" t="inlineStr"/>
      <c r="K17" t="inlineStr"/>
      <c r="L17" t="inlineStr"/>
      <c r="M17" t="inlineStr">
        <is>
          <t>https://www.lazada.com.ph/products/pdp-i2711622771-s12970446850.html</t>
        </is>
      </c>
      <c r="N17" t="n">
        <v>1</v>
      </c>
    </row>
    <row r="18">
      <c r="A18" t="inlineStr">
        <is>
          <t>perfect for everyday use, durability: excellent craftsmanship,</t>
        </is>
      </c>
      <c r="B18" t="inlineStr">
        <is>
          <t>POSITIVE</t>
        </is>
      </c>
      <c r="C18">
        <f>IF(B18="NEUTRAL","TS","OS")</f>
        <v/>
      </c>
      <c r="D18" t="n">
        <v>5</v>
      </c>
      <c r="E18">
        <f>IF(C18="TS",IF(D18=3,"Consistent",IF(OR(D18=2,D18=4),"Partially Consistent","Inconsistent")),IF(D18=3,"Inconsistent",IF(AND(D18=5,B18="POSITIVE"),"Consistent",IF(AND(D18=1,B18="NEGATIVE"),"Consistent",IF(AND(D18=4,B18="POSITIVE"),"Partially Consistent",IF(AND(D18=2,B18="NEGATIVE"),"Partially Consistent","Inconsistent"))))))</f>
        <v/>
      </c>
      <c r="F18">
        <f>IF(C18="TS","High","Low")</f>
        <v/>
      </c>
      <c r="G18">
        <f>IF(AND(B18="NEUTRAL",F18="Low"),"LOW",IF(AND(C18="TS",F18="High",D18=3),"HIGH",IF(AND(C18="TS",F18="High",OR(D18=2,D18=4)),"MODERATE",IF(AND(C18="TS",F18="High",OR(D18=1,D18=5)),"LOW",IF(AND(C18="OS",E18="Consistent",OR(D18=1,D18=5)),"MODERATE",IF(AND(C18="OS",E18="Partially Consistent",OR(D18=2,D18=4)),"MODERATE","LOW"))))))</f>
        <v/>
      </c>
      <c r="H18" t="inlineStr"/>
      <c r="I18" t="inlineStr"/>
      <c r="J18" t="inlineStr"/>
      <c r="K18" t="inlineStr"/>
      <c r="L18" t="inlineStr"/>
      <c r="M18" t="inlineStr">
        <is>
          <t>https://www.lazada.com.ph/products/pdp-i2711622771-s12970446850.html</t>
        </is>
      </c>
      <c r="N18" t="n">
        <v>1</v>
      </c>
    </row>
    <row r="19">
      <c r="A19" t="inlineStr">
        <is>
          <t>perfect for everyday use, beautiful chain strap detail, comfortable to wear, great value for money, high-quality pu leather material, excellent craftsmanship,</t>
        </is>
      </c>
      <c r="B19" t="inlineStr">
        <is>
          <t>POSITIVE</t>
        </is>
      </c>
      <c r="C19">
        <f>IF(B19="NEUTRAL","TS","OS")</f>
        <v/>
      </c>
      <c r="D19" t="n">
        <v>5</v>
      </c>
      <c r="E19">
        <f>IF(C19="TS",IF(D19=3,"Consistent",IF(OR(D19=2,D19=4),"Partially Consistent","Inconsistent")),IF(D19=3,"Inconsistent",IF(AND(D19=5,B19="POSITIVE"),"Consistent",IF(AND(D19=1,B19="NEGATIVE"),"Consistent",IF(AND(D19=4,B19="POSITIVE"),"Partially Consistent",IF(AND(D19=2,B19="NEGATIVE"),"Partially Consistent","Inconsistent"))))))</f>
        <v/>
      </c>
      <c r="F19">
        <f>IF(C19="TS","High","Low")</f>
        <v/>
      </c>
      <c r="G19">
        <f>IF(AND(B19="NEUTRAL",F19="Low"),"LOW",IF(AND(C19="TS",F19="High",D19=3),"HIGH",IF(AND(C19="TS",F19="High",OR(D19=2,D19=4)),"MODERATE",IF(AND(C19="TS",F19="High",OR(D19=1,D19=5)),"LOW",IF(AND(C19="OS",E19="Consistent",OR(D19=1,D19=5)),"MODERATE",IF(AND(C19="OS",E19="Partially Consistent",OR(D19=2,D19=4)),"MODERATE","LOW"))))))</f>
        <v/>
      </c>
      <c r="H19" t="inlineStr"/>
      <c r="I19" t="inlineStr"/>
      <c r="J19" t="inlineStr"/>
      <c r="K19" t="inlineStr"/>
      <c r="L19" t="inlineStr"/>
      <c r="M19" t="inlineStr">
        <is>
          <t>https://www.lazada.com.ph/products/pdp-i2711622771-s12970446850.html</t>
        </is>
      </c>
      <c r="N19" t="n">
        <v>1</v>
      </c>
    </row>
    <row r="20">
      <c r="A20" t="inlineStr">
        <is>
          <t>ganda nmn thank u seller at lazada dndnxsmjejdjnsn dndmdmmsmmssm snsmmsmsmsmmsmsmmsmmsmsm</t>
        </is>
      </c>
      <c r="B20" t="inlineStr">
        <is>
          <t>POSITIVE</t>
        </is>
      </c>
      <c r="C20">
        <f>IF(B20="NEUTRAL","TS","OS")</f>
        <v/>
      </c>
      <c r="D20" t="n">
        <v>5</v>
      </c>
      <c r="E20">
        <f>IF(C20="TS",IF(D20=3,"Consistent",IF(OR(D20=2,D20=4),"Partially Consistent","Inconsistent")),IF(D20=3,"Inconsistent",IF(AND(D20=5,B20="POSITIVE"),"Consistent",IF(AND(D20=1,B20="NEGATIVE"),"Consistent",IF(AND(D20=4,B20="POSITIVE"),"Partially Consistent",IF(AND(D20=2,B20="NEGATIVE"),"Partially Consistent","Inconsistent"))))))</f>
        <v/>
      </c>
      <c r="F20">
        <f>IF(C20="TS","High","Low")</f>
        <v/>
      </c>
      <c r="G20">
        <f>IF(AND(B20="NEUTRAL",F20="Low"),"LOW",IF(AND(C20="TS",F20="High",D20=3),"HIGH",IF(AND(C20="TS",F20="High",OR(D20=2,D20=4)),"MODERATE",IF(AND(C20="TS",F20="High",OR(D20=1,D20=5)),"LOW",IF(AND(C20="OS",E20="Consistent",OR(D20=1,D20=5)),"MODERATE",IF(AND(C20="OS",E20="Partially Consistent",OR(D20=2,D20=4)),"MODERATE","LOW"))))))</f>
        <v/>
      </c>
      <c r="H20" t="inlineStr"/>
      <c r="I20" t="inlineStr"/>
      <c r="J20" t="inlineStr"/>
      <c r="K20" t="inlineStr"/>
      <c r="L20" t="inlineStr"/>
      <c r="M20" t="inlineStr">
        <is>
          <t>https://www.lazada.com.ph/products/pdp-i2711622771-s12970446850.html</t>
        </is>
      </c>
      <c r="N20" t="n">
        <v>1</v>
      </c>
    </row>
    <row r="21">
      <c r="A21" t="inlineStr">
        <is>
          <t>good equality maganda nmn sya salamat kuya rider maaasahan talaga kayu maraming maraming salamat</t>
        </is>
      </c>
      <c r="B21" t="inlineStr">
        <is>
          <t>POSITIVE</t>
        </is>
      </c>
      <c r="C21">
        <f>IF(B21="NEUTRAL","TS","OS")</f>
        <v/>
      </c>
      <c r="D21" t="n">
        <v>5</v>
      </c>
      <c r="E21">
        <f>IF(C21="TS",IF(D21=3,"Consistent",IF(OR(D21=2,D21=4),"Partially Consistent","Inconsistent")),IF(D21=3,"Inconsistent",IF(AND(D21=5,B21="POSITIVE"),"Consistent",IF(AND(D21=1,B21="NEGATIVE"),"Consistent",IF(AND(D21=4,B21="POSITIVE"),"Partially Consistent",IF(AND(D21=2,B21="NEGATIVE"),"Partially Consistent","Inconsistent"))))))</f>
        <v/>
      </c>
      <c r="F21">
        <f>IF(C21="TS","High","Low")</f>
        <v/>
      </c>
      <c r="G21">
        <f>IF(AND(B21="NEUTRAL",F21="Low"),"LOW",IF(AND(C21="TS",F21="High",D21=3),"HIGH",IF(AND(C21="TS",F21="High",OR(D21=2,D21=4)),"MODERATE",IF(AND(C21="TS",F21="High",OR(D21=1,D21=5)),"LOW",IF(AND(C21="OS",E21="Consistent",OR(D21=1,D21=5)),"MODERATE",IF(AND(C21="OS",E21="Partially Consistent",OR(D21=2,D21=4)),"MODERATE","LOW"))))))</f>
        <v/>
      </c>
      <c r="H21" t="inlineStr"/>
      <c r="I21" t="inlineStr"/>
      <c r="J21" t="inlineStr"/>
      <c r="K21" t="inlineStr"/>
      <c r="L21" t="inlineStr"/>
      <c r="M21" t="inlineStr">
        <is>
          <t>https://www.lazada.com.ph/products/pdp-i2711622771-s12970446850.html</t>
        </is>
      </c>
      <c r="N21" t="n">
        <v>1</v>
      </c>
    </row>
    <row r="22">
      <c r="A22" t="inlineStr">
        <is>
          <t>color: may pagka dirty white size: ang cute nya, good for pang gala material: cguro tatagal to, pag marunong kang mag alaga ng gamit</t>
        </is>
      </c>
      <c r="B22" t="inlineStr">
        <is>
          <t>NEUTRAL</t>
        </is>
      </c>
      <c r="C22">
        <f>IF(B22="NEUTRAL","TS","OS")</f>
        <v/>
      </c>
      <c r="D22" t="n">
        <v>5</v>
      </c>
      <c r="E22">
        <f>IF(C22="TS",IF(D22=3,"Consistent",IF(OR(D22=2,D22=4),"Partially Consistent","Inconsistent")),IF(D22=3,"Inconsistent",IF(AND(D22=5,B22="POSITIVE"),"Consistent",IF(AND(D22=1,B22="NEGATIVE"),"Consistent",IF(AND(D22=4,B22="POSITIVE"),"Partially Consistent",IF(AND(D22=2,B22="NEGATIVE"),"Partially Consistent","Inconsistent"))))))</f>
        <v/>
      </c>
      <c r="F22">
        <f>IF(C22="TS","High","Low")</f>
        <v/>
      </c>
      <c r="G22">
        <f>IF(AND(B22="NEUTRAL",F22="Low"),"LOW",IF(AND(C22="TS",F22="High",D22=3),"HIGH",IF(AND(C22="TS",F22="High",OR(D22=2,D22=4)),"MODERATE",IF(AND(C22="TS",F22="High",OR(D22=1,D22=5)),"LOW",IF(AND(C22="OS",E22="Consistent",OR(D22=1,D22=5)),"MODERATE",IF(AND(C22="OS",E22="Partially Consistent",OR(D22=2,D22=4)),"MODERATE","LOW"))))))</f>
        <v/>
      </c>
      <c r="H22" t="inlineStr"/>
      <c r="I22" t="inlineStr"/>
      <c r="J22" t="inlineStr"/>
      <c r="K22" t="inlineStr"/>
      <c r="L22" t="inlineStr"/>
      <c r="M22" t="inlineStr">
        <is>
          <t>https://www.lazada.com.ph/products/pdp-i2711622771-s12970446850.html</t>
        </is>
      </c>
      <c r="N22" t="n">
        <v>1</v>
      </c>
    </row>
    <row r="23">
      <c r="A23" t="inlineStr">
        <is>
          <t>perfect for everyday use, durability: excellent craftsmanship,</t>
        </is>
      </c>
      <c r="B23" t="inlineStr">
        <is>
          <t>POSITIVE</t>
        </is>
      </c>
      <c r="C23">
        <f>IF(B23="NEUTRAL","TS","OS")</f>
        <v/>
      </c>
      <c r="D23" t="n">
        <v>5</v>
      </c>
      <c r="E23">
        <f>IF(C23="TS",IF(D23=3,"Consistent",IF(OR(D23=2,D23=4),"Partially Consistent","Inconsistent")),IF(D23=3,"Inconsistent",IF(AND(D23=5,B23="POSITIVE"),"Consistent",IF(AND(D23=1,B23="NEGATIVE"),"Consistent",IF(AND(D23=4,B23="POSITIVE"),"Partially Consistent",IF(AND(D23=2,B23="NEGATIVE"),"Partially Consistent","Inconsistent"))))))</f>
        <v/>
      </c>
      <c r="F23">
        <f>IF(C23="TS","High","Low")</f>
        <v/>
      </c>
      <c r="G23">
        <f>IF(AND(B23="NEUTRAL",F23="Low"),"LOW",IF(AND(C23="TS",F23="High",D23=3),"HIGH",IF(AND(C23="TS",F23="High",OR(D23=2,D23=4)),"MODERATE",IF(AND(C23="TS",F23="High",OR(D23=1,D23=5)),"LOW",IF(AND(C23="OS",E23="Consistent",OR(D23=1,D23=5)),"MODERATE",IF(AND(C23="OS",E23="Partially Consistent",OR(D23=2,D23=4)),"MODERATE","LOW"))))))</f>
        <v/>
      </c>
      <c r="H23" t="inlineStr"/>
      <c r="I23" t="inlineStr"/>
      <c r="J23" t="inlineStr"/>
      <c r="K23" t="inlineStr"/>
      <c r="L23" t="inlineStr"/>
      <c r="M23" t="inlineStr">
        <is>
          <t>https://www.lazada.com.ph/products/pdp-i2711622771-s12970446850.html</t>
        </is>
      </c>
      <c r="N23" t="n">
        <v>1</v>
      </c>
    </row>
    <row r="24">
      <c r="A24" t="inlineStr">
        <is>
          <t>perfect for everyday use, beautiful chain strap detail, comfortable to wear, great value for money, high-quality pu leather material, excellent craftsmanship,</t>
        </is>
      </c>
      <c r="B24" t="inlineStr">
        <is>
          <t>POSITIVE</t>
        </is>
      </c>
      <c r="C24">
        <f>IF(B24="NEUTRAL","TS","OS")</f>
        <v/>
      </c>
      <c r="D24" t="n">
        <v>5</v>
      </c>
      <c r="E24">
        <f>IF(C24="TS",IF(D24=3,"Consistent",IF(OR(D24=2,D24=4),"Partially Consistent","Inconsistent")),IF(D24=3,"Inconsistent",IF(AND(D24=5,B24="POSITIVE"),"Consistent",IF(AND(D24=1,B24="NEGATIVE"),"Consistent",IF(AND(D24=4,B24="POSITIVE"),"Partially Consistent",IF(AND(D24=2,B24="NEGATIVE"),"Partially Consistent","Inconsistent"))))))</f>
        <v/>
      </c>
      <c r="F24">
        <f>IF(C24="TS","High","Low")</f>
        <v/>
      </c>
      <c r="G24">
        <f>IF(AND(B24="NEUTRAL",F24="Low"),"LOW",IF(AND(C24="TS",F24="High",D24=3),"HIGH",IF(AND(C24="TS",F24="High",OR(D24=2,D24=4)),"MODERATE",IF(AND(C24="TS",F24="High",OR(D24=1,D24=5)),"LOW",IF(AND(C24="OS",E24="Consistent",OR(D24=1,D24=5)),"MODERATE",IF(AND(C24="OS",E24="Partially Consistent",OR(D24=2,D24=4)),"MODERATE","LOW"))))))</f>
        <v/>
      </c>
      <c r="H24" t="inlineStr"/>
      <c r="I24" t="inlineStr"/>
      <c r="J24" t="inlineStr"/>
      <c r="K24" t="inlineStr"/>
      <c r="L24" t="inlineStr"/>
      <c r="M24" t="inlineStr">
        <is>
          <t>https://www.lazada.com.ph/products/pdp-i2711622771-s12970446850.html</t>
        </is>
      </c>
      <c r="N24" t="n">
        <v>1</v>
      </c>
    </row>
    <row r="25">
      <c r="A25" t="inlineStr">
        <is>
          <t>ganda nmn thank u seller at lazada dndnxsmjejdjnsn dndmdmmsmmssm snsmmsmsmsmmsmsmmsmmsmsm</t>
        </is>
      </c>
      <c r="B25" t="inlineStr">
        <is>
          <t>POSITIVE</t>
        </is>
      </c>
      <c r="C25">
        <f>IF(B25="NEUTRAL","TS","OS")</f>
        <v/>
      </c>
      <c r="D25" t="n">
        <v>5</v>
      </c>
      <c r="E25">
        <f>IF(C25="TS",IF(D25=3,"Consistent",IF(OR(D25=2,D25=4),"Partially Consistent","Inconsistent")),IF(D25=3,"Inconsistent",IF(AND(D25=5,B25="POSITIVE"),"Consistent",IF(AND(D25=1,B25="NEGATIVE"),"Consistent",IF(AND(D25=4,B25="POSITIVE"),"Partially Consistent",IF(AND(D25=2,B25="NEGATIVE"),"Partially Consistent","Inconsistent"))))))</f>
        <v/>
      </c>
      <c r="F25">
        <f>IF(C25="TS","High","Low")</f>
        <v/>
      </c>
      <c r="G25">
        <f>IF(AND(B25="NEUTRAL",F25="Low"),"LOW",IF(AND(C25="TS",F25="High",D25=3),"HIGH",IF(AND(C25="TS",F25="High",OR(D25=2,D25=4)),"MODERATE",IF(AND(C25="TS",F25="High",OR(D25=1,D25=5)),"LOW",IF(AND(C25="OS",E25="Consistent",OR(D25=1,D25=5)),"MODERATE",IF(AND(C25="OS",E25="Partially Consistent",OR(D25=2,D25=4)),"MODERATE","LOW"))))))</f>
        <v/>
      </c>
      <c r="H25" t="inlineStr"/>
      <c r="I25" t="inlineStr"/>
      <c r="J25" t="inlineStr"/>
      <c r="K25" t="inlineStr"/>
      <c r="L25" t="inlineStr"/>
      <c r="M25" t="inlineStr">
        <is>
          <t>https://www.lazada.com.ph/products/pdp-i2711622771-s12970446850.html</t>
        </is>
      </c>
      <c r="N25" t="n">
        <v>1</v>
      </c>
    </row>
    <row r="26">
      <c r="A26" t="inlineStr">
        <is>
          <t>good equality maganda nmn sya salamat kuya rider maaasahan talaga kayu maraming maraming salamat</t>
        </is>
      </c>
      <c r="B26" t="inlineStr">
        <is>
          <t>POSITIVE</t>
        </is>
      </c>
      <c r="C26">
        <f>IF(B26="NEUTRAL","TS","OS")</f>
        <v/>
      </c>
      <c r="D26" t="n">
        <v>5</v>
      </c>
      <c r="E26">
        <f>IF(C26="TS",IF(D26=3,"Consistent",IF(OR(D26=2,D26=4),"Partially Consistent","Inconsistent")),IF(D26=3,"Inconsistent",IF(AND(D26=5,B26="POSITIVE"),"Consistent",IF(AND(D26=1,B26="NEGATIVE"),"Consistent",IF(AND(D26=4,B26="POSITIVE"),"Partially Consistent",IF(AND(D26=2,B26="NEGATIVE"),"Partially Consistent","Inconsistent"))))))</f>
        <v/>
      </c>
      <c r="F26">
        <f>IF(C26="TS","High","Low")</f>
        <v/>
      </c>
      <c r="G26">
        <f>IF(AND(B26="NEUTRAL",F26="Low"),"LOW",IF(AND(C26="TS",F26="High",D26=3),"HIGH",IF(AND(C26="TS",F26="High",OR(D26=2,D26=4)),"MODERATE",IF(AND(C26="TS",F26="High",OR(D26=1,D26=5)),"LOW",IF(AND(C26="OS",E26="Consistent",OR(D26=1,D26=5)),"MODERATE",IF(AND(C26="OS",E26="Partially Consistent",OR(D26=2,D26=4)),"MODERATE","LOW"))))))</f>
        <v/>
      </c>
      <c r="H26" t="inlineStr"/>
      <c r="I26" t="inlineStr"/>
      <c r="J26" t="inlineStr"/>
      <c r="K26" t="inlineStr"/>
      <c r="L26" t="inlineStr"/>
      <c r="M26" t="inlineStr">
        <is>
          <t>https://www.lazada.com.ph/products/pdp-i2711622771-s12970446850.html</t>
        </is>
      </c>
      <c r="N26" t="n">
        <v>1</v>
      </c>
    </row>
    <row r="27">
      <c r="A27" t="inlineStr">
        <is>
          <t>stylish and trendy design, comfortable to wear, convenient crossbody style,</t>
        </is>
      </c>
      <c r="B27" t="inlineStr">
        <is>
          <t>POSITIVE</t>
        </is>
      </c>
      <c r="C27">
        <f>IF(B27="NEUTRAL","TS","OS")</f>
        <v/>
      </c>
      <c r="D27" t="n">
        <v>5</v>
      </c>
      <c r="E27">
        <f>IF(C27="TS",IF(D27=3,"Consistent",IF(OR(D27=2,D27=4),"Partially Consistent","Inconsistent")),IF(D27=3,"Inconsistent",IF(AND(D27=5,B27="POSITIVE"),"Consistent",IF(AND(D27=1,B27="NEGATIVE"),"Consistent",IF(AND(D27=4,B27="POSITIVE"),"Partially Consistent",IF(AND(D27=2,B27="NEGATIVE"),"Partially Consistent","Inconsistent"))))))</f>
        <v/>
      </c>
      <c r="F27">
        <f>IF(C27="TS","High","Low")</f>
        <v/>
      </c>
      <c r="G27">
        <f>IF(AND(B27="NEUTRAL",F27="Low"),"LOW",IF(AND(C27="TS",F27="High",D27=3),"HIGH",IF(AND(C27="TS",F27="High",OR(D27=2,D27=4)),"MODERATE",IF(AND(C27="TS",F27="High",OR(D27=1,D27=5)),"LOW",IF(AND(C27="OS",E27="Consistent",OR(D27=1,D27=5)),"MODERATE",IF(AND(C27="OS",E27="Partially Consistent",OR(D27=2,D27=4)),"MODERATE","LOW"))))))</f>
        <v/>
      </c>
      <c r="H27" t="inlineStr"/>
      <c r="I27" t="inlineStr"/>
      <c r="J27" t="inlineStr"/>
      <c r="K27" t="inlineStr"/>
      <c r="L27" t="inlineStr"/>
      <c r="M27" t="inlineStr">
        <is>
          <t>https://www.lazada.com.ph/products/pdp-i2711622771-s12970446850.html</t>
        </is>
      </c>
      <c r="N27" t="n">
        <v>1</v>
      </c>
    </row>
    <row r="28">
      <c r="A28" t="inlineStr">
        <is>
          <t>maganda sana kahit mumurahin kaso may butas. .</t>
        </is>
      </c>
      <c r="B28" t="inlineStr">
        <is>
          <t>NEUTRAL</t>
        </is>
      </c>
      <c r="C28">
        <f>IF(B28="NEUTRAL","TS","OS")</f>
        <v/>
      </c>
      <c r="D28" t="n">
        <v>4</v>
      </c>
      <c r="E28">
        <f>IF(C28="TS",IF(D28=3,"Consistent",IF(OR(D28=2,D28=4),"Partially Consistent","Inconsistent")),IF(D28=3,"Inconsistent",IF(AND(D28=5,B28="POSITIVE"),"Consistent",IF(AND(D28=1,B28="NEGATIVE"),"Consistent",IF(AND(D28=4,B28="POSITIVE"),"Partially Consistent",IF(AND(D28=2,B28="NEGATIVE"),"Partially Consistent","Inconsistent"))))))</f>
        <v/>
      </c>
      <c r="F28">
        <f>IF(C28="TS","High","Low")</f>
        <v/>
      </c>
      <c r="G28">
        <f>IF(AND(B28="NEUTRAL",F28="Low"),"LOW",IF(AND(C28="TS",F28="High",D28=3),"HIGH",IF(AND(C28="TS",F28="High",OR(D28=2,D28=4)),"MODERATE",IF(AND(C28="TS",F28="High",OR(D28=1,D28=5)),"LOW",IF(AND(C28="OS",E28="Consistent",OR(D28=1,D28=5)),"MODERATE",IF(AND(C28="OS",E28="Partially Consistent",OR(D28=2,D28=4)),"MODERATE","LOW"))))))</f>
        <v/>
      </c>
      <c r="H28" t="inlineStr"/>
      <c r="I28" t="inlineStr"/>
      <c r="J28" t="inlineStr"/>
      <c r="K28" t="inlineStr"/>
      <c r="L28" t="inlineStr"/>
      <c r="M28" t="inlineStr">
        <is>
          <t>https://www.lazada.com.ph/products/pdp-i2711622771-s12970446850.html</t>
        </is>
      </c>
      <c r="N28" t="n">
        <v>1</v>
      </c>
    </row>
    <row r="29">
      <c r="A29" t="inlineStr">
        <is>
          <t>excellent craftsmanship, available in multiple colors, convenient crossbody style, comfortable to wear, great value for money, stylish and trendy design, beautiful chain strap detail,</t>
        </is>
      </c>
      <c r="B29" t="inlineStr">
        <is>
          <t>POSITIVE</t>
        </is>
      </c>
      <c r="C29">
        <f>IF(B29="NEUTRAL","TS","OS")</f>
        <v/>
      </c>
      <c r="D29" t="n">
        <v>5</v>
      </c>
      <c r="E29">
        <f>IF(C29="TS",IF(D29=3,"Consistent",IF(OR(D29=2,D29=4),"Partially Consistent","Inconsistent")),IF(D29=3,"Inconsistent",IF(AND(D29=5,B29="POSITIVE"),"Consistent",IF(AND(D29=1,B29="NEGATIVE"),"Consistent",IF(AND(D29=4,B29="POSITIVE"),"Partially Consistent",IF(AND(D29=2,B29="NEGATIVE"),"Partially Consistent","Inconsistent"))))))</f>
        <v/>
      </c>
      <c r="F29">
        <f>IF(C29="TS","High","Low")</f>
        <v/>
      </c>
      <c r="G29">
        <f>IF(AND(B29="NEUTRAL",F29="Low"),"LOW",IF(AND(C29="TS",F29="High",D29=3),"HIGH",IF(AND(C29="TS",F29="High",OR(D29=2,D29=4)),"MODERATE",IF(AND(C29="TS",F29="High",OR(D29=1,D29=5)),"LOW",IF(AND(C29="OS",E29="Consistent",OR(D29=1,D29=5)),"MODERATE",IF(AND(C29="OS",E29="Partially Consistent",OR(D29=2,D29=4)),"MODERATE","LOW"))))))</f>
        <v/>
      </c>
      <c r="H29" t="inlineStr"/>
      <c r="I29" t="inlineStr"/>
      <c r="J29" t="inlineStr"/>
      <c r="K29" t="inlineStr"/>
      <c r="L29" t="inlineStr"/>
      <c r="M29" t="inlineStr">
        <is>
          <t>https://www.lazada.com.ph/products/pdp-i2711622771-s12970446850.html</t>
        </is>
      </c>
      <c r="N29" t="n">
        <v>1</v>
      </c>
    </row>
    <row r="30">
      <c r="A30" t="inlineStr">
        <is>
          <t>excellent craftsmanship, stylish and trendy design, versatile and practical, versatile and practical, versatile and practical, versatile and practical, versatile and practical,</t>
        </is>
      </c>
      <c r="B30" t="inlineStr">
        <is>
          <t>POSITIVE</t>
        </is>
      </c>
      <c r="C30">
        <f>IF(B30="NEUTRAL","TS","OS")</f>
        <v/>
      </c>
      <c r="D30" t="n">
        <v>5</v>
      </c>
      <c r="E30">
        <f>IF(C30="TS",IF(D30=3,"Consistent",IF(OR(D30=2,D30=4),"Partially Consistent","Inconsistent")),IF(D30=3,"Inconsistent",IF(AND(D30=5,B30="POSITIVE"),"Consistent",IF(AND(D30=1,B30="NEGATIVE"),"Consistent",IF(AND(D30=4,B30="POSITIVE"),"Partially Consistent",IF(AND(D30=2,B30="NEGATIVE"),"Partially Consistent","Inconsistent"))))))</f>
        <v/>
      </c>
      <c r="F30">
        <f>IF(C30="TS","High","Low")</f>
        <v/>
      </c>
      <c r="G30">
        <f>IF(AND(B30="NEUTRAL",F30="Low"),"LOW",IF(AND(C30="TS",F30="High",D30=3),"HIGH",IF(AND(C30="TS",F30="High",OR(D30=2,D30=4)),"MODERATE",IF(AND(C30="TS",F30="High",OR(D30=1,D30=5)),"LOW",IF(AND(C30="OS",E30="Consistent",OR(D30=1,D30=5)),"MODERATE",IF(AND(C30="OS",E30="Partially Consistent",OR(D30=2,D30=4)),"MODERATE","LOW"))))))</f>
        <v/>
      </c>
      <c r="H30" t="inlineStr"/>
      <c r="I30" t="inlineStr"/>
      <c r="J30" t="inlineStr"/>
      <c r="K30" t="inlineStr"/>
      <c r="L30" t="inlineStr"/>
      <c r="M30" t="inlineStr">
        <is>
          <t>https://www.lazada.com.ph/products/pdp-i2711622771-s12970446850.html</t>
        </is>
      </c>
      <c r="N30" t="n">
        <v>1</v>
      </c>
    </row>
    <row r="31">
      <c r="A31" t="inlineStr">
        <is>
          <t>stylish and trendy design, more on handbag sya maigsi lang ang chain strap. may mga konting labis lang ng sinulid sa pagkakatahi, pero okay lang.</t>
        </is>
      </c>
      <c r="B31" t="inlineStr">
        <is>
          <t>NEUTRAL</t>
        </is>
      </c>
      <c r="C31">
        <f>IF(B31="NEUTRAL","TS","OS")</f>
        <v/>
      </c>
      <c r="D31" t="n">
        <v>5</v>
      </c>
      <c r="E31">
        <f>IF(C31="TS",IF(D31=3,"Consistent",IF(OR(D31=2,D31=4),"Partially Consistent","Inconsistent")),IF(D31=3,"Inconsistent",IF(AND(D31=5,B31="POSITIVE"),"Consistent",IF(AND(D31=1,B31="NEGATIVE"),"Consistent",IF(AND(D31=4,B31="POSITIVE"),"Partially Consistent",IF(AND(D31=2,B31="NEGATIVE"),"Partially Consistent","Inconsistent"))))))</f>
        <v/>
      </c>
      <c r="F31">
        <f>IF(C31="TS","High","Low")</f>
        <v/>
      </c>
      <c r="G31">
        <f>IF(AND(B31="NEUTRAL",F31="Low"),"LOW",IF(AND(C31="TS",F31="High",D31=3),"HIGH",IF(AND(C31="TS",F31="High",OR(D31=2,D31=4)),"MODERATE",IF(AND(C31="TS",F31="High",OR(D31=1,D31=5)),"LOW",IF(AND(C31="OS",E31="Consistent",OR(D31=1,D31=5)),"MODERATE",IF(AND(C31="OS",E31="Partially Consistent",OR(D31=2,D31=4)),"MODERATE","LOW"))))))</f>
        <v/>
      </c>
      <c r="H31" t="inlineStr"/>
      <c r="I31" t="inlineStr"/>
      <c r="J31" t="inlineStr"/>
      <c r="K31" t="inlineStr"/>
      <c r="L31" t="inlineStr"/>
      <c r="M31" t="inlineStr">
        <is>
          <t>https://www.lazada.com.ph/products/pdp-i2711622771-s12970446850.html</t>
        </is>
      </c>
      <c r="N31" t="n">
        <v>1</v>
      </c>
    </row>
    <row r="32">
      <c r="A32" t="inlineStr">
        <is>
          <t>madumi tapus mali ung kulay</t>
        </is>
      </c>
      <c r="B32" t="inlineStr">
        <is>
          <t>NEGATIVE</t>
        </is>
      </c>
      <c r="C32">
        <f>IF(B32="NEUTRAL","TS","OS")</f>
        <v/>
      </c>
      <c r="D32" t="n">
        <v>1</v>
      </c>
      <c r="E32">
        <f>IF(C32="TS",IF(D32=3,"Consistent",IF(OR(D32=2,D32=4),"Partially Consistent","Inconsistent")),IF(D32=3,"Inconsistent",IF(AND(D32=5,B32="POSITIVE"),"Consistent",IF(AND(D32=1,B32="NEGATIVE"),"Consistent",IF(AND(D32=4,B32="POSITIVE"),"Partially Consistent",IF(AND(D32=2,B32="NEGATIVE"),"Partially Consistent","Inconsistent"))))))</f>
        <v/>
      </c>
      <c r="F32">
        <f>IF(C32="TS","High","Low")</f>
        <v/>
      </c>
      <c r="G32">
        <f>IF(AND(B32="NEUTRAL",F32="Low"),"LOW",IF(AND(C32="TS",F32="High",D32=3),"HIGH",IF(AND(C32="TS",F32="High",OR(D32=2,D32=4)),"MODERATE",IF(AND(C32="TS",F32="High",OR(D32=1,D32=5)),"LOW",IF(AND(C32="OS",E32="Consistent",OR(D32=1,D32=5)),"MODERATE",IF(AND(C32="OS",E32="Partially Consistent",OR(D32=2,D32=4)),"MODERATE","LOW"))))))</f>
        <v/>
      </c>
      <c r="H32" t="inlineStr"/>
      <c r="I32" t="inlineStr"/>
      <c r="J32" t="inlineStr"/>
      <c r="K32" t="inlineStr"/>
      <c r="L32" t="inlineStr"/>
      <c r="M32" t="inlineStr">
        <is>
          <t>https://www.lazada.com.ph/products/pdp-i2711622771-s12970446850.html</t>
        </is>
      </c>
      <c r="N32" t="n">
        <v>1</v>
      </c>
    </row>
    <row r="33">
      <c r="A33" t="inlineStr">
        <is>
          <t>i actually didn' t receive the item. i' m expecting it to be redeliver but out of nowhere its been tagged as delivered.</t>
        </is>
      </c>
      <c r="B33" t="inlineStr">
        <is>
          <t>NEUTRAL</t>
        </is>
      </c>
      <c r="C33">
        <f>IF(B33="NEUTRAL","TS","OS")</f>
        <v/>
      </c>
      <c r="D33" t="n">
        <v>1</v>
      </c>
      <c r="E33">
        <f>IF(C33="TS",IF(D33=3,"Consistent",IF(OR(D33=2,D33=4),"Partially Consistent","Inconsistent")),IF(D33=3,"Inconsistent",IF(AND(D33=5,B33="POSITIVE"),"Consistent",IF(AND(D33=1,B33="NEGATIVE"),"Consistent",IF(AND(D33=4,B33="POSITIVE"),"Partially Consistent",IF(AND(D33=2,B33="NEGATIVE"),"Partially Consistent","Inconsistent"))))))</f>
        <v/>
      </c>
      <c r="F33">
        <f>IF(C33="TS","High","Low")</f>
        <v/>
      </c>
      <c r="G33">
        <f>IF(AND(B33="NEUTRAL",F33="Low"),"LOW",IF(AND(C33="TS",F33="High",D33=3),"HIGH",IF(AND(C33="TS",F33="High",OR(D33=2,D33=4)),"MODERATE",IF(AND(C33="TS",F33="High",OR(D33=1,D33=5)),"LOW",IF(AND(C33="OS",E33="Consistent",OR(D33=1,D33=5)),"MODERATE",IF(AND(C33="OS",E33="Partially Consistent",OR(D33=2,D33=4)),"MODERATE","LOW"))))))</f>
        <v/>
      </c>
      <c r="H33" t="inlineStr"/>
      <c r="I33" t="inlineStr"/>
      <c r="J33" t="inlineStr"/>
      <c r="K33" t="inlineStr"/>
      <c r="L33" t="inlineStr"/>
      <c r="M33" t="inlineStr">
        <is>
          <t>https://www.lazada.com.ph/products/pdp-i2711622771-s12970446850.html</t>
        </is>
      </c>
      <c r="N33" t="n">
        <v>1</v>
      </c>
    </row>
    <row r="34">
      <c r="A34" t="inlineStr">
        <is>
          <t>maganda sya sakto lang ang size thank you seller at sa rider</t>
        </is>
      </c>
      <c r="B34" t="inlineStr">
        <is>
          <t>POSITIVE</t>
        </is>
      </c>
      <c r="C34">
        <f>IF(B34="NEUTRAL","TS","OS")</f>
        <v/>
      </c>
      <c r="D34" t="n">
        <v>1</v>
      </c>
      <c r="E34">
        <f>IF(C34="TS",IF(D34=3,"Consistent",IF(OR(D34=2,D34=4),"Partially Consistent","Inconsistent")),IF(D34=3,"Inconsistent",IF(AND(D34=5,B34="POSITIVE"),"Consistent",IF(AND(D34=1,B34="NEGATIVE"),"Consistent",IF(AND(D34=4,B34="POSITIVE"),"Partially Consistent",IF(AND(D34=2,B34="NEGATIVE"),"Partially Consistent","Inconsistent"))))))</f>
        <v/>
      </c>
      <c r="F34">
        <f>IF(C34="TS","High","Low")</f>
        <v/>
      </c>
      <c r="G34">
        <f>IF(AND(B34="NEUTRAL",F34="Low"),"LOW",IF(AND(C34="TS",F34="High",D34=3),"HIGH",IF(AND(C34="TS",F34="High",OR(D34=2,D34=4)),"MODERATE",IF(AND(C34="TS",F34="High",OR(D34=1,D34=5)),"LOW",IF(AND(C34="OS",E34="Consistent",OR(D34=1,D34=5)),"MODERATE",IF(AND(C34="OS",E34="Partially Consistent",OR(D34=2,D34=4)),"MODERATE","LOW"))))))</f>
        <v/>
      </c>
      <c r="H34" t="inlineStr"/>
      <c r="I34" t="inlineStr"/>
      <c r="J34" t="inlineStr"/>
      <c r="K34" t="inlineStr"/>
      <c r="L34" t="inlineStr"/>
      <c r="M34" t="inlineStr">
        <is>
          <t>https://www.lazada.com.ph/products/pdp-i2711622771-s12970446850.html</t>
        </is>
      </c>
      <c r="N34" t="n">
        <v>1</v>
      </c>
    </row>
    <row r="35">
      <c r="A35" t="inlineStr">
        <is>
          <t>mura nga sya pero hindi maganda ung quality nung bag. . sobrang nipis nya lang tas may tastas ung tahi nung bag. .</t>
        </is>
      </c>
      <c r="B35" t="inlineStr">
        <is>
          <t>NEUTRAL</t>
        </is>
      </c>
      <c r="C35">
        <f>IF(B35="NEUTRAL","TS","OS")</f>
        <v/>
      </c>
      <c r="D35" t="n">
        <v>1</v>
      </c>
      <c r="E35">
        <f>IF(C35="TS",IF(D35=3,"Consistent",IF(OR(D35=2,D35=4),"Partially Consistent","Inconsistent")),IF(D35=3,"Inconsistent",IF(AND(D35=5,B35="POSITIVE"),"Consistent",IF(AND(D35=1,B35="NEGATIVE"),"Consistent",IF(AND(D35=4,B35="POSITIVE"),"Partially Consistent",IF(AND(D35=2,B35="NEGATIVE"),"Partially Consistent","Inconsistent"))))))</f>
        <v/>
      </c>
      <c r="F35">
        <f>IF(C35="TS","High","Low")</f>
        <v/>
      </c>
      <c r="G35">
        <f>IF(AND(B35="NEUTRAL",F35="Low"),"LOW",IF(AND(C35="TS",F35="High",D35=3),"HIGH",IF(AND(C35="TS",F35="High",OR(D35=2,D35=4)),"MODERATE",IF(AND(C35="TS",F35="High",OR(D35=1,D35=5)),"LOW",IF(AND(C35="OS",E35="Consistent",OR(D35=1,D35=5)),"MODERATE",IF(AND(C35="OS",E35="Partially Consistent",OR(D35=2,D35=4)),"MODERATE","LOW"))))))</f>
        <v/>
      </c>
      <c r="H35" t="inlineStr"/>
      <c r="I35" t="inlineStr"/>
      <c r="J35" t="inlineStr"/>
      <c r="K35" t="inlineStr"/>
      <c r="L35" t="inlineStr"/>
      <c r="M35" t="inlineStr">
        <is>
          <t>https://www.lazada.com.ph/products/pdp-i2711622771-s12970446850.html</t>
        </is>
      </c>
      <c r="N35" t="n">
        <v>1</v>
      </c>
    </row>
    <row r="36">
      <c r="A36" t="inlineStr">
        <is>
          <t>i dont recommend this bag. . you get what you spent. not good quality so cheap looking. i can not give it away. nakakahiya! ! ! !</t>
        </is>
      </c>
      <c r="B36" t="inlineStr">
        <is>
          <t>NEGATIVE</t>
        </is>
      </c>
      <c r="C36">
        <f>IF(B36="NEUTRAL","TS","OS")</f>
        <v/>
      </c>
      <c r="D36" t="n">
        <v>1</v>
      </c>
      <c r="E36">
        <f>IF(C36="TS",IF(D36=3,"Consistent",IF(OR(D36=2,D36=4),"Partially Consistent","Inconsistent")),IF(D36=3,"Inconsistent",IF(AND(D36=5,B36="POSITIVE"),"Consistent",IF(AND(D36=1,B36="NEGATIVE"),"Consistent",IF(AND(D36=4,B36="POSITIVE"),"Partially Consistent",IF(AND(D36=2,B36="NEGATIVE"),"Partially Consistent","Inconsistent"))))))</f>
        <v/>
      </c>
      <c r="F36">
        <f>IF(C36="TS","High","Low")</f>
        <v/>
      </c>
      <c r="G36">
        <f>IF(AND(B36="NEUTRAL",F36="Low"),"LOW",IF(AND(C36="TS",F36="High",D36=3),"HIGH",IF(AND(C36="TS",F36="High",OR(D36=2,D36=4)),"MODERATE",IF(AND(C36="TS",F36="High",OR(D36=1,D36=5)),"LOW",IF(AND(C36="OS",E36="Consistent",OR(D36=1,D36=5)),"MODERATE",IF(AND(C36="OS",E36="Partially Consistent",OR(D36=2,D36=4)),"MODERATE","LOW"))))))</f>
        <v/>
      </c>
      <c r="H36" t="inlineStr"/>
      <c r="I36" t="inlineStr"/>
      <c r="J36" t="inlineStr"/>
      <c r="K36" t="inlineStr"/>
      <c r="L36" t="inlineStr"/>
      <c r="M36" t="inlineStr">
        <is>
          <t>https://www.lazada.com.ph/products/pdp-i2711622771-s12970446850.html</t>
        </is>
      </c>
      <c r="N36" t="n">
        <v>1</v>
      </c>
    </row>
    <row r="37">
      <c r="A37" t="inlineStr">
        <is>
          <t>color: damaged item, pangit.</t>
        </is>
      </c>
      <c r="B37" t="inlineStr">
        <is>
          <t>NEGATIVE</t>
        </is>
      </c>
      <c r="C37">
        <f>IF(B37="NEUTRAL","TS","OS")</f>
        <v/>
      </c>
      <c r="D37" t="n">
        <v>1</v>
      </c>
      <c r="E37">
        <f>IF(C37="TS",IF(D37=3,"Consistent",IF(OR(D37=2,D37=4),"Partially Consistent","Inconsistent")),IF(D37=3,"Inconsistent",IF(AND(D37=5,B37="POSITIVE"),"Consistent",IF(AND(D37=1,B37="NEGATIVE"),"Consistent",IF(AND(D37=4,B37="POSITIVE"),"Partially Consistent",IF(AND(D37=2,B37="NEGATIVE"),"Partially Consistent","Inconsistent"))))))</f>
        <v/>
      </c>
      <c r="F37">
        <f>IF(C37="TS","High","Low")</f>
        <v/>
      </c>
      <c r="G37">
        <f>IF(AND(B37="NEUTRAL",F37="Low"),"LOW",IF(AND(C37="TS",F37="High",D37=3),"HIGH",IF(AND(C37="TS",F37="High",OR(D37=2,D37=4)),"MODERATE",IF(AND(C37="TS",F37="High",OR(D37=1,D37=5)),"LOW",IF(AND(C37="OS",E37="Consistent",OR(D37=1,D37=5)),"MODERATE",IF(AND(C37="OS",E37="Partially Consistent",OR(D37=2,D37=4)),"MODERATE","LOW"))))))</f>
        <v/>
      </c>
      <c r="H37" t="inlineStr"/>
      <c r="I37" t="inlineStr"/>
      <c r="J37" t="inlineStr"/>
      <c r="K37" t="inlineStr"/>
      <c r="L37" t="inlineStr"/>
      <c r="M37" t="inlineStr">
        <is>
          <t>https://www.lazada.com.ph/products/pdp-i2711622771-s12970446850.html</t>
        </is>
      </c>
      <c r="N37" t="n">
        <v>1</v>
      </c>
    </row>
    <row r="38">
      <c r="A38" t="inlineStr">
        <is>
          <t>basta ampangit. wag kayo magsale ng malaki kapag pangit rin lang ipapadala niyo material: pangit size: okay color: okay</t>
        </is>
      </c>
      <c r="B38" t="inlineStr">
        <is>
          <t>NEGATIVE</t>
        </is>
      </c>
      <c r="C38">
        <f>IF(B38="NEUTRAL","TS","OS")</f>
        <v/>
      </c>
      <c r="D38" t="n">
        <v>1</v>
      </c>
      <c r="E38">
        <f>IF(C38="TS",IF(D38=3,"Consistent",IF(OR(D38=2,D38=4),"Partially Consistent","Inconsistent")),IF(D38=3,"Inconsistent",IF(AND(D38=5,B38="POSITIVE"),"Consistent",IF(AND(D38=1,B38="NEGATIVE"),"Consistent",IF(AND(D38=4,B38="POSITIVE"),"Partially Consistent",IF(AND(D38=2,B38="NEGATIVE"),"Partially Consistent","Inconsistent"))))))</f>
        <v/>
      </c>
      <c r="F38">
        <f>IF(C38="TS","High","Low")</f>
        <v/>
      </c>
      <c r="G38">
        <f>IF(AND(B38="NEUTRAL",F38="Low"),"LOW",IF(AND(C38="TS",F38="High",D38=3),"HIGH",IF(AND(C38="TS",F38="High",OR(D38=2,D38=4)),"MODERATE",IF(AND(C38="TS",F38="High",OR(D38=1,D38=5)),"LOW",IF(AND(C38="OS",E38="Consistent",OR(D38=1,D38=5)),"MODERATE",IF(AND(C38="OS",E38="Partially Consistent",OR(D38=2,D38=4)),"MODERATE","LOW"))))))</f>
        <v/>
      </c>
      <c r="H38" t="inlineStr"/>
      <c r="I38" t="inlineStr"/>
      <c r="J38" t="inlineStr"/>
      <c r="K38" t="inlineStr"/>
      <c r="L38" t="inlineStr"/>
      <c r="M38" t="inlineStr">
        <is>
          <t>https://www.lazada.com.ph/products/pdp-i2711622771-s12970446850.html</t>
        </is>
      </c>
      <c r="N38" t="n">
        <v>1</v>
      </c>
    </row>
    <row r="39">
      <c r="A39" t="inlineStr">
        <is>
          <t>manipis madaling masira</t>
        </is>
      </c>
      <c r="B39" t="inlineStr">
        <is>
          <t>NEUTRAL</t>
        </is>
      </c>
      <c r="C39">
        <f>IF(B39="NEUTRAL","TS","OS")</f>
        <v/>
      </c>
      <c r="D39" t="n">
        <v>1</v>
      </c>
      <c r="E39">
        <f>IF(C39="TS",IF(D39=3,"Consistent",IF(OR(D39=2,D39=4),"Partially Consistent","Inconsistent")),IF(D39=3,"Inconsistent",IF(AND(D39=5,B39="POSITIVE"),"Consistent",IF(AND(D39=1,B39="NEGATIVE"),"Consistent",IF(AND(D39=4,B39="POSITIVE"),"Partially Consistent",IF(AND(D39=2,B39="NEGATIVE"),"Partially Consistent","Inconsistent"))))))</f>
        <v/>
      </c>
      <c r="F39">
        <f>IF(C39="TS","High","Low")</f>
        <v/>
      </c>
      <c r="G39">
        <f>IF(AND(B39="NEUTRAL",F39="Low"),"LOW",IF(AND(C39="TS",F39="High",D39=3),"HIGH",IF(AND(C39="TS",F39="High",OR(D39=2,D39=4)),"MODERATE",IF(AND(C39="TS",F39="High",OR(D39=1,D39=5)),"LOW",IF(AND(C39="OS",E39="Consistent",OR(D39=1,D39=5)),"MODERATE",IF(AND(C39="OS",E39="Partially Consistent",OR(D39=2,D39=4)),"MODERATE","LOW"))))))</f>
        <v/>
      </c>
      <c r="H39" t="inlineStr"/>
      <c r="I39" t="inlineStr"/>
      <c r="J39" t="inlineStr"/>
      <c r="K39" t="inlineStr"/>
      <c r="L39" t="inlineStr"/>
      <c r="M39" t="inlineStr">
        <is>
          <t>https://www.lazada.com.ph/products/pdp-i2711622771-s12970446850.html</t>
        </is>
      </c>
      <c r="N39" t="n">
        <v>1</v>
      </c>
    </row>
    <row r="40">
      <c r="A40" t="inlineStr">
        <is>
          <t>its not good tho im expecting it since the price is cheap. hdjfhcjjcjcjdj</t>
        </is>
      </c>
      <c r="B40" t="inlineStr">
        <is>
          <t>NEUTRAL</t>
        </is>
      </c>
      <c r="C40">
        <f>IF(B40="NEUTRAL","TS","OS")</f>
        <v/>
      </c>
      <c r="D40" t="n">
        <v>1</v>
      </c>
      <c r="E40">
        <f>IF(C40="TS",IF(D40=3,"Consistent",IF(OR(D40=2,D40=4),"Partially Consistent","Inconsistent")),IF(D40=3,"Inconsistent",IF(AND(D40=5,B40="POSITIVE"),"Consistent",IF(AND(D40=1,B40="NEGATIVE"),"Consistent",IF(AND(D40=4,B40="POSITIVE"),"Partially Consistent",IF(AND(D40=2,B40="NEGATIVE"),"Partially Consistent","Inconsistent"))))))</f>
        <v/>
      </c>
      <c r="F40">
        <f>IF(C40="TS","High","Low")</f>
        <v/>
      </c>
      <c r="G40">
        <f>IF(AND(B40="NEUTRAL",F40="Low"),"LOW",IF(AND(C40="TS",F40="High",D40=3),"HIGH",IF(AND(C40="TS",F40="High",OR(D40=2,D40=4)),"MODERATE",IF(AND(C40="TS",F40="High",OR(D40=1,D40=5)),"LOW",IF(AND(C40="OS",E40="Consistent",OR(D40=1,D40=5)),"MODERATE",IF(AND(C40="OS",E40="Partially Consistent",OR(D40=2,D40=4)),"MODERATE","LOW"))))))</f>
        <v/>
      </c>
      <c r="H40" t="inlineStr"/>
      <c r="I40" t="inlineStr"/>
      <c r="J40" t="inlineStr"/>
      <c r="K40" t="inlineStr"/>
      <c r="L40" t="inlineStr"/>
      <c r="M40" t="inlineStr">
        <is>
          <t>https://www.lazada.com.ph/products/pdp-i2711622771-s12970446850.html</t>
        </is>
      </c>
      <c r="N40" t="n">
        <v>1</v>
      </c>
    </row>
    <row r="41">
      <c r="A41" t="inlineStr">
        <is>
          <t>bfhfiejfbfiehwidbfkfkd</t>
        </is>
      </c>
      <c r="B41" t="inlineStr">
        <is>
          <t>NEGATIVE</t>
        </is>
      </c>
      <c r="C41">
        <f>IF(B41="NEUTRAL","TS","OS")</f>
        <v/>
      </c>
      <c r="D41" t="n">
        <v>1</v>
      </c>
      <c r="E41">
        <f>IF(C41="TS",IF(D41=3,"Consistent",IF(OR(D41=2,D41=4),"Partially Consistent","Inconsistent")),IF(D41=3,"Inconsistent",IF(AND(D41=5,B41="POSITIVE"),"Consistent",IF(AND(D41=1,B41="NEGATIVE"),"Consistent",IF(AND(D41=4,B41="POSITIVE"),"Partially Consistent",IF(AND(D41=2,B41="NEGATIVE"),"Partially Consistent","Inconsistent"))))))</f>
        <v/>
      </c>
      <c r="F41">
        <f>IF(C41="TS","High","Low")</f>
        <v/>
      </c>
      <c r="G41">
        <f>IF(AND(B41="NEUTRAL",F41="Low"),"LOW",IF(AND(C41="TS",F41="High",D41=3),"HIGH",IF(AND(C41="TS",F41="High",OR(D41=2,D41=4)),"MODERATE",IF(AND(C41="TS",F41="High",OR(D41=1,D41=5)),"LOW",IF(AND(C41="OS",E41="Consistent",OR(D41=1,D41=5)),"MODERATE",IF(AND(C41="OS",E41="Partially Consistent",OR(D41=2,D41=4)),"MODERATE","LOW"))))))</f>
        <v/>
      </c>
      <c r="H41" t="inlineStr"/>
      <c r="I41" t="inlineStr"/>
      <c r="J41" t="inlineStr"/>
      <c r="K41" t="inlineStr"/>
      <c r="L41" t="inlineStr"/>
      <c r="M41" t="inlineStr">
        <is>
          <t>https://www.lazada.com.ph/products/pdp-i2711622771-s12970446850.html</t>
        </is>
      </c>
      <c r="N41" t="n">
        <v>1</v>
      </c>
    </row>
    <row r="42">
      <c r="A42" t="inlineStr">
        <is>
          <t>ntanggal agad ung bilog nia mbilis mcra</t>
        </is>
      </c>
      <c r="B42" t="inlineStr">
        <is>
          <t>NEGATIVE</t>
        </is>
      </c>
      <c r="C42">
        <f>IF(B42="NEUTRAL","TS","OS")</f>
        <v/>
      </c>
      <c r="D42" t="n">
        <v>3</v>
      </c>
      <c r="E42">
        <f>IF(C42="TS",IF(D42=3,"Consistent",IF(OR(D42=2,D42=4),"Partially Consistent","Inconsistent")),IF(D42=3,"Inconsistent",IF(AND(D42=5,B42="POSITIVE"),"Consistent",IF(AND(D42=1,B42="NEGATIVE"),"Consistent",IF(AND(D42=4,B42="POSITIVE"),"Partially Consistent",IF(AND(D42=2,B42="NEGATIVE"),"Partially Consistent","Inconsistent"))))))</f>
        <v/>
      </c>
      <c r="F42">
        <f>IF(C42="TS","High","Low")</f>
        <v/>
      </c>
      <c r="G42">
        <f>IF(AND(B42="NEUTRAL",F42="Low"),"LOW",IF(AND(C42="TS",F42="High",D42=3),"HIGH",IF(AND(C42="TS",F42="High",OR(D42=2,D42=4)),"MODERATE",IF(AND(C42="TS",F42="High",OR(D42=1,D42=5)),"LOW",IF(AND(C42="OS",E42="Consistent",OR(D42=1,D42=5)),"MODERATE",IF(AND(C42="OS",E42="Partially Consistent",OR(D42=2,D42=4)),"MODERATE","LOW"))))))</f>
        <v/>
      </c>
      <c r="H42" t="inlineStr"/>
      <c r="I42" t="inlineStr"/>
      <c r="J42" t="inlineStr"/>
      <c r="K42" t="inlineStr"/>
      <c r="L42" t="inlineStr"/>
      <c r="M42" t="inlineStr">
        <is>
          <t>https://www.lazada.com.ph/products/pdp-i2711622771-s12970446850.html</t>
        </is>
      </c>
      <c r="N42" t="n">
        <v>1</v>
      </c>
    </row>
    <row r="43">
      <c r="A43" t="inlineStr">
        <is>
          <t>may punit sya tapos may nka dikit na bubblegum</t>
        </is>
      </c>
      <c r="B43" t="inlineStr">
        <is>
          <t>NEGATIVE</t>
        </is>
      </c>
      <c r="C43">
        <f>IF(B43="NEUTRAL","TS","OS")</f>
        <v/>
      </c>
      <c r="D43" t="n">
        <v>3</v>
      </c>
      <c r="E43">
        <f>IF(C43="TS",IF(D43=3,"Consistent",IF(OR(D43=2,D43=4),"Partially Consistent","Inconsistent")),IF(D43=3,"Inconsistent",IF(AND(D43=5,B43="POSITIVE"),"Consistent",IF(AND(D43=1,B43="NEGATIVE"),"Consistent",IF(AND(D43=4,B43="POSITIVE"),"Partially Consistent",IF(AND(D43=2,B43="NEGATIVE"),"Partially Consistent","Inconsistent"))))))</f>
        <v/>
      </c>
      <c r="F43">
        <f>IF(C43="TS","High","Low")</f>
        <v/>
      </c>
      <c r="G43">
        <f>IF(AND(B43="NEUTRAL",F43="Low"),"LOW",IF(AND(C43="TS",F43="High",D43=3),"HIGH",IF(AND(C43="TS",F43="High",OR(D43=2,D43=4)),"MODERATE",IF(AND(C43="TS",F43="High",OR(D43=1,D43=5)),"LOW",IF(AND(C43="OS",E43="Consistent",OR(D43=1,D43=5)),"MODERATE",IF(AND(C43="OS",E43="Partially Consistent",OR(D43=2,D43=4)),"MODERATE","LOW"))))))</f>
        <v/>
      </c>
      <c r="H43" t="inlineStr"/>
      <c r="I43" t="inlineStr"/>
      <c r="J43" t="inlineStr"/>
      <c r="K43" t="inlineStr"/>
      <c r="L43" t="inlineStr"/>
      <c r="M43" t="inlineStr">
        <is>
          <t>https://www.lazada.com.ph/products/pdp-i2711622771-s12970446850.html</t>
        </is>
      </c>
      <c r="N43" t="n">
        <v>1</v>
      </c>
    </row>
    <row r="44">
      <c r="A44" t="inlineStr">
        <is>
          <t>oki lang</t>
        </is>
      </c>
      <c r="B44" t="inlineStr">
        <is>
          <t>NEUTRAL</t>
        </is>
      </c>
      <c r="C44">
        <f>IF(B44="NEUTRAL","TS","OS")</f>
        <v/>
      </c>
      <c r="D44" t="n">
        <v>3</v>
      </c>
      <c r="E44">
        <f>IF(C44="TS",IF(D44=3,"Consistent",IF(OR(D44=2,D44=4),"Partially Consistent","Inconsistent")),IF(D44=3,"Inconsistent",IF(AND(D44=5,B44="POSITIVE"),"Consistent",IF(AND(D44=1,B44="NEGATIVE"),"Consistent",IF(AND(D44=4,B44="POSITIVE"),"Partially Consistent",IF(AND(D44=2,B44="NEGATIVE"),"Partially Consistent","Inconsistent"))))))</f>
        <v/>
      </c>
      <c r="F44">
        <f>IF(C44="TS","High","Low")</f>
        <v/>
      </c>
      <c r="G44">
        <f>IF(AND(B44="NEUTRAL",F44="Low"),"LOW",IF(AND(C44="TS",F44="High",D44=3),"HIGH",IF(AND(C44="TS",F44="High",OR(D44=2,D44=4)),"MODERATE",IF(AND(C44="TS",F44="High",OR(D44=1,D44=5)),"LOW",IF(AND(C44="OS",E44="Consistent",OR(D44=1,D44=5)),"MODERATE",IF(AND(C44="OS",E44="Partially Consistent",OR(D44=2,D44=4)),"MODERATE","LOW"))))))</f>
        <v/>
      </c>
      <c r="H44" t="inlineStr"/>
      <c r="I44" t="inlineStr"/>
      <c r="J44" t="inlineStr"/>
      <c r="K44" t="inlineStr"/>
      <c r="L44" t="inlineStr"/>
      <c r="M44" t="inlineStr">
        <is>
          <t>https://www.lazada.com.ph/products/pdp-i2711622771-s12970446850.html</t>
        </is>
      </c>
      <c r="N44" t="n">
        <v>1</v>
      </c>
    </row>
    <row r="45">
      <c r="A45" t="inlineStr">
        <is>
          <t>perfect pang biglaan na lakad isang gamitan lang, 4weeks nangingitim na yung strap. .</t>
        </is>
      </c>
      <c r="B45" t="inlineStr">
        <is>
          <t>NEUTRAL</t>
        </is>
      </c>
      <c r="C45">
        <f>IF(B45="NEUTRAL","TS","OS")</f>
        <v/>
      </c>
      <c r="D45" t="n">
        <v>3</v>
      </c>
      <c r="E45">
        <f>IF(C45="TS",IF(D45=3,"Consistent",IF(OR(D45=2,D45=4),"Partially Consistent","Inconsistent")),IF(D45=3,"Inconsistent",IF(AND(D45=5,B45="POSITIVE"),"Consistent",IF(AND(D45=1,B45="NEGATIVE"),"Consistent",IF(AND(D45=4,B45="POSITIVE"),"Partially Consistent",IF(AND(D45=2,B45="NEGATIVE"),"Partially Consistent","Inconsistent"))))))</f>
        <v/>
      </c>
      <c r="F45">
        <f>IF(C45="TS","High","Low")</f>
        <v/>
      </c>
      <c r="G45">
        <f>IF(AND(B45="NEUTRAL",F45="Low"),"LOW",IF(AND(C45="TS",F45="High",D45=3),"HIGH",IF(AND(C45="TS",F45="High",OR(D45=2,D45=4)),"MODERATE",IF(AND(C45="TS",F45="High",OR(D45=1,D45=5)),"LOW",IF(AND(C45="OS",E45="Consistent",OR(D45=1,D45=5)),"MODERATE",IF(AND(C45="OS",E45="Partially Consistent",OR(D45=2,D45=4)),"MODERATE","LOW"))))))</f>
        <v/>
      </c>
      <c r="H45" t="inlineStr"/>
      <c r="I45" t="inlineStr"/>
      <c r="J45" t="inlineStr"/>
      <c r="K45" t="inlineStr"/>
      <c r="L45" t="inlineStr"/>
      <c r="M45" t="inlineStr">
        <is>
          <t>https://www.lazada.com.ph/products/pdp-i2711622771-s12970446850.html</t>
        </is>
      </c>
      <c r="N45" t="n">
        <v>1</v>
      </c>
    </row>
    <row r="46">
      <c r="A46" t="inlineStr">
        <is>
          <t>the product is good for its price, but if you want a quality bag, this bag is not for you. . . . .</t>
        </is>
      </c>
      <c r="B46" t="inlineStr">
        <is>
          <t>NEUTRAL</t>
        </is>
      </c>
      <c r="C46">
        <f>IF(B46="NEUTRAL","TS","OS")</f>
        <v/>
      </c>
      <c r="D46" t="n">
        <v>3</v>
      </c>
      <c r="E46">
        <f>IF(C46="TS",IF(D46=3,"Consistent",IF(OR(D46=2,D46=4),"Partially Consistent","Inconsistent")),IF(D46=3,"Inconsistent",IF(AND(D46=5,B46="POSITIVE"),"Consistent",IF(AND(D46=1,B46="NEGATIVE"),"Consistent",IF(AND(D46=4,B46="POSITIVE"),"Partially Consistent",IF(AND(D46=2,B46="NEGATIVE"),"Partially Consistent","Inconsistent"))))))</f>
        <v/>
      </c>
      <c r="F46">
        <f>IF(C46="TS","High","Low")</f>
        <v/>
      </c>
      <c r="G46">
        <f>IF(AND(B46="NEUTRAL",F46="Low"),"LOW",IF(AND(C46="TS",F46="High",D46=3),"HIGH",IF(AND(C46="TS",F46="High",OR(D46=2,D46=4)),"MODERATE",IF(AND(C46="TS",F46="High",OR(D46=1,D46=5)),"LOW",IF(AND(C46="OS",E46="Consistent",OR(D46=1,D46=5)),"MODERATE",IF(AND(C46="OS",E46="Partially Consistent",OR(D46=2,D46=4)),"MODERATE","LOW"))))))</f>
        <v/>
      </c>
      <c r="H46" t="inlineStr"/>
      <c r="I46" t="inlineStr"/>
      <c r="J46" t="inlineStr"/>
      <c r="K46" t="inlineStr"/>
      <c r="L46" t="inlineStr"/>
      <c r="M46" t="inlineStr">
        <is>
          <t>https://www.lazada.com.ph/products/pdp-i2711622771-s12970446850.html</t>
        </is>
      </c>
      <c r="N46" t="n">
        <v>1</v>
      </c>
    </row>
    <row r="47">
      <c r="A47" t="inlineStr">
        <is>
          <t>it' s not what i expected yung price nya tama langdin naman sa actual item nya pwede na pero not pag everyday use</t>
        </is>
      </c>
      <c r="B47" t="inlineStr">
        <is>
          <t>NEUTRAL</t>
        </is>
      </c>
      <c r="C47">
        <f>IF(B47="NEUTRAL","TS","OS")</f>
        <v/>
      </c>
      <c r="D47" t="n">
        <v>3</v>
      </c>
      <c r="E47">
        <f>IF(C47="TS",IF(D47=3,"Consistent",IF(OR(D47=2,D47=4),"Partially Consistent","Inconsistent")),IF(D47=3,"Inconsistent",IF(AND(D47=5,B47="POSITIVE"),"Consistent",IF(AND(D47=1,B47="NEGATIVE"),"Consistent",IF(AND(D47=4,B47="POSITIVE"),"Partially Consistent",IF(AND(D47=2,B47="NEGATIVE"),"Partially Consistent","Inconsistent"))))))</f>
        <v/>
      </c>
      <c r="F47">
        <f>IF(C47="TS","High","Low")</f>
        <v/>
      </c>
      <c r="G47">
        <f>IF(AND(B47="NEUTRAL",F47="Low"),"LOW",IF(AND(C47="TS",F47="High",D47=3),"HIGH",IF(AND(C47="TS",F47="High",OR(D47=2,D47=4)),"MODERATE",IF(AND(C47="TS",F47="High",OR(D47=1,D47=5)),"LOW",IF(AND(C47="OS",E47="Consistent",OR(D47=1,D47=5)),"MODERATE",IF(AND(C47="OS",E47="Partially Consistent",OR(D47=2,D47=4)),"MODERATE","LOW"))))))</f>
        <v/>
      </c>
      <c r="H47" t="inlineStr"/>
      <c r="I47" t="inlineStr"/>
      <c r="J47" t="inlineStr"/>
      <c r="K47" t="inlineStr"/>
      <c r="L47" t="inlineStr"/>
      <c r="M47" t="inlineStr">
        <is>
          <t>https://www.lazada.com.ph/products/pdp-i2711622771-s12970446850.html</t>
        </is>
      </c>
      <c r="N47" t="n">
        <v>1</v>
      </c>
    </row>
    <row r="48">
      <c r="A48" t="inlineStr">
        <is>
          <t>nasira sya agad and nangalawang agaf</t>
        </is>
      </c>
      <c r="B48" t="inlineStr">
        <is>
          <t>NEGATIVE</t>
        </is>
      </c>
      <c r="C48">
        <f>IF(B48="NEUTRAL","TS","OS")</f>
        <v/>
      </c>
      <c r="D48" t="n">
        <v>3</v>
      </c>
      <c r="E48">
        <f>IF(C48="TS",IF(D48=3,"Consistent",IF(OR(D48=2,D48=4),"Partially Consistent","Inconsistent")),IF(D48=3,"Inconsistent",IF(AND(D48=5,B48="POSITIVE"),"Consistent",IF(AND(D48=1,B48="NEGATIVE"),"Consistent",IF(AND(D48=4,B48="POSITIVE"),"Partially Consistent",IF(AND(D48=2,B48="NEGATIVE"),"Partially Consistent","Inconsistent"))))))</f>
        <v/>
      </c>
      <c r="F48">
        <f>IF(C48="TS","High","Low")</f>
        <v/>
      </c>
      <c r="G48">
        <f>IF(AND(B48="NEUTRAL",F48="Low"),"LOW",IF(AND(C48="TS",F48="High",D48=3),"HIGH",IF(AND(C48="TS",F48="High",OR(D48=2,D48=4)),"MODERATE",IF(AND(C48="TS",F48="High",OR(D48=1,D48=5)),"LOW",IF(AND(C48="OS",E48="Consistent",OR(D48=1,D48=5)),"MODERATE",IF(AND(C48="OS",E48="Partially Consistent",OR(D48=2,D48=4)),"MODERATE","LOW"))))))</f>
        <v/>
      </c>
      <c r="H48" t="inlineStr"/>
      <c r="I48" t="inlineStr"/>
      <c r="J48" t="inlineStr"/>
      <c r="K48" t="inlineStr"/>
      <c r="L48" t="inlineStr"/>
      <c r="M48" t="inlineStr">
        <is>
          <t>https://www.lazada.com.ph/products/pdp-i2711622771-s12970446850.html</t>
        </is>
      </c>
      <c r="N48" t="n">
        <v>1</v>
      </c>
    </row>
    <row r="49">
      <c r="A49" t="inlineStr">
        <is>
          <t>low quality</t>
        </is>
      </c>
      <c r="B49" t="inlineStr">
        <is>
          <t>NEGATIVE</t>
        </is>
      </c>
      <c r="C49">
        <f>IF(B49="NEUTRAL","TS","OS")</f>
        <v/>
      </c>
      <c r="D49" t="n">
        <v>3</v>
      </c>
      <c r="E49">
        <f>IF(C49="TS",IF(D49=3,"Consistent",IF(OR(D49=2,D49=4),"Partially Consistent","Inconsistent")),IF(D49=3,"Inconsistent",IF(AND(D49=5,B49="POSITIVE"),"Consistent",IF(AND(D49=1,B49="NEGATIVE"),"Consistent",IF(AND(D49=4,B49="POSITIVE"),"Partially Consistent",IF(AND(D49=2,B49="NEGATIVE"),"Partially Consistent","Inconsistent"))))))</f>
        <v/>
      </c>
      <c r="F49">
        <f>IF(C49="TS","High","Low")</f>
        <v/>
      </c>
      <c r="G49">
        <f>IF(AND(B49="NEUTRAL",F49="Low"),"LOW",IF(AND(C49="TS",F49="High",D49=3),"HIGH",IF(AND(C49="TS",F49="High",OR(D49=2,D49=4)),"MODERATE",IF(AND(C49="TS",F49="High",OR(D49=1,D49=5)),"LOW",IF(AND(C49="OS",E49="Consistent",OR(D49=1,D49=5)),"MODERATE",IF(AND(C49="OS",E49="Partially Consistent",OR(D49=2,D49=4)),"MODERATE","LOW"))))))</f>
        <v/>
      </c>
      <c r="H49" t="inlineStr"/>
      <c r="I49" t="inlineStr"/>
      <c r="J49" t="inlineStr"/>
      <c r="K49" t="inlineStr"/>
      <c r="L49" t="inlineStr"/>
      <c r="M49" t="inlineStr">
        <is>
          <t>https://www.lazada.com.ph/products/pdp-i2711622771-s12970446850.html</t>
        </is>
      </c>
      <c r="N49" t="n">
        <v>1</v>
      </c>
    </row>
    <row r="50">
      <c r="A50" t="inlineStr">
        <is>
          <t>ok naman magagamit naman siya</t>
        </is>
      </c>
      <c r="B50" t="inlineStr">
        <is>
          <t>NEUTRAL</t>
        </is>
      </c>
      <c r="C50">
        <f>IF(B50="NEUTRAL","TS","OS")</f>
        <v/>
      </c>
      <c r="D50" t="n">
        <v>3</v>
      </c>
      <c r="E50">
        <f>IF(C50="TS",IF(D50=3,"Consistent",IF(OR(D50=2,D50=4),"Partially Consistent","Inconsistent")),IF(D50=3,"Inconsistent",IF(AND(D50=5,B50="POSITIVE"),"Consistent",IF(AND(D50=1,B50="NEGATIVE"),"Consistent",IF(AND(D50=4,B50="POSITIVE"),"Partially Consistent",IF(AND(D50=2,B50="NEGATIVE"),"Partially Consistent","Inconsistent"))))))</f>
        <v/>
      </c>
      <c r="F50">
        <f>IF(C50="TS","High","Low")</f>
        <v/>
      </c>
      <c r="G50">
        <f>IF(AND(B50="NEUTRAL",F50="Low"),"LOW",IF(AND(C50="TS",F50="High",D50=3),"HIGH",IF(AND(C50="TS",F50="High",OR(D50=2,D50=4)),"MODERATE",IF(AND(C50="TS",F50="High",OR(D50=1,D50=5)),"LOW",IF(AND(C50="OS",E50="Consistent",OR(D50=1,D50=5)),"MODERATE",IF(AND(C50="OS",E50="Partially Consistent",OR(D50=2,D50=4)),"MODERATE","LOW"))))))</f>
        <v/>
      </c>
      <c r="H50" t="inlineStr"/>
      <c r="I50" t="inlineStr"/>
      <c r="J50" t="inlineStr"/>
      <c r="K50" t="inlineStr"/>
      <c r="L50" t="inlineStr"/>
      <c r="M50" t="inlineStr">
        <is>
          <t>https://www.lazada.com.ph/products/pdp-i2711622771-s12970446850.html</t>
        </is>
      </c>
      <c r="N50" t="n">
        <v>1</v>
      </c>
    </row>
    <row r="51">
      <c r="A51" t="inlineStr">
        <is>
          <t>fast delivery.</t>
        </is>
      </c>
      <c r="B51" t="inlineStr">
        <is>
          <t>POSITIVE</t>
        </is>
      </c>
      <c r="C51">
        <f>IF(B51="NEUTRAL","TS","OS")</f>
        <v/>
      </c>
      <c r="D51" t="n">
        <v>3</v>
      </c>
      <c r="E51">
        <f>IF(C51="TS",IF(D51=3,"Consistent",IF(OR(D51=2,D51=4),"Partially Consistent","Inconsistent")),IF(D51=3,"Inconsistent",IF(AND(D51=5,B51="POSITIVE"),"Consistent",IF(AND(D51=1,B51="NEGATIVE"),"Consistent",IF(AND(D51=4,B51="POSITIVE"),"Partially Consistent",IF(AND(D51=2,B51="NEGATIVE"),"Partially Consistent","Inconsistent"))))))</f>
        <v/>
      </c>
      <c r="F51">
        <f>IF(C51="TS","High","Low")</f>
        <v/>
      </c>
      <c r="G51">
        <f>IF(AND(B51="NEUTRAL",F51="Low"),"LOW",IF(AND(C51="TS",F51="High",D51=3),"HIGH",IF(AND(C51="TS",F51="High",OR(D51=2,D51=4)),"MODERATE",IF(AND(C51="TS",F51="High",OR(D51=1,D51=5)),"LOW",IF(AND(C51="OS",E51="Consistent",OR(D51=1,D51=5)),"MODERATE",IF(AND(C51="OS",E51="Partially Consistent",OR(D51=2,D51=4)),"MODERATE","LOW"))))))</f>
        <v/>
      </c>
      <c r="H51" t="inlineStr"/>
      <c r="I51" t="inlineStr"/>
      <c r="J51" t="inlineStr"/>
      <c r="K51" t="inlineStr"/>
      <c r="L51" t="inlineStr"/>
      <c r="M51" t="inlineStr">
        <is>
          <t>https://www.lazada.com.ph/products/pdp-i2711622771-s12970446850.html</t>
        </is>
      </c>
      <c r="N51" t="n">
        <v>1</v>
      </c>
    </row>
    <row r="52">
      <c r="A52" t="inlineStr">
        <is>
          <t>its alright, the chain is short, and the bag is has really cheap quality, but its really cute so yeah.</t>
        </is>
      </c>
      <c r="B52" t="inlineStr">
        <is>
          <t>NEUTRAL</t>
        </is>
      </c>
      <c r="C52">
        <f>IF(B52="NEUTRAL","TS","OS")</f>
        <v/>
      </c>
      <c r="D52" t="n">
        <v>3</v>
      </c>
      <c r="E52">
        <f>IF(C52="TS",IF(D52=3,"Consistent",IF(OR(D52=2,D52=4),"Partially Consistent","Inconsistent")),IF(D52=3,"Inconsistent",IF(AND(D52=5,B52="POSITIVE"),"Consistent",IF(AND(D52=1,B52="NEGATIVE"),"Consistent",IF(AND(D52=4,B52="POSITIVE"),"Partially Consistent",IF(AND(D52=2,B52="NEGATIVE"),"Partially Consistent","Inconsistent"))))))</f>
        <v/>
      </c>
      <c r="F52">
        <f>IF(C52="TS","High","Low")</f>
        <v/>
      </c>
      <c r="G52">
        <f>IF(AND(B52="NEUTRAL",F52="Low"),"LOW",IF(AND(C52="TS",F52="High",D52=3),"HIGH",IF(AND(C52="TS",F52="High",OR(D52=2,D52=4)),"MODERATE",IF(AND(C52="TS",F52="High",OR(D52=1,D52=5)),"LOW",IF(AND(C52="OS",E52="Consistent",OR(D52=1,D52=5)),"MODERATE",IF(AND(C52="OS",E52="Partially Consistent",OR(D52=2,D52=4)),"MODERATE","LOW"))))))</f>
        <v/>
      </c>
      <c r="H52" t="inlineStr"/>
      <c r="I52" t="inlineStr"/>
      <c r="J52" t="inlineStr"/>
      <c r="K52" t="inlineStr"/>
      <c r="L52" t="inlineStr"/>
      <c r="M52" t="inlineStr">
        <is>
          <t>https://www.lazada.com.ph/products/pdp-i2711622771-s12970446850.html</t>
        </is>
      </c>
      <c r="N52" t="n">
        <v>1</v>
      </c>
    </row>
    <row r="53">
      <c r="A53" t="inlineStr">
        <is>
          <t>akala ko maganda ang bag hindi pala salamat parin</t>
        </is>
      </c>
      <c r="B53" t="inlineStr">
        <is>
          <t>POSITIVE</t>
        </is>
      </c>
      <c r="C53">
        <f>IF(B53="NEUTRAL","TS","OS")</f>
        <v/>
      </c>
      <c r="D53" t="n">
        <v>3</v>
      </c>
      <c r="E53">
        <f>IF(C53="TS",IF(D53=3,"Consistent",IF(OR(D53=2,D53=4),"Partially Consistent","Inconsistent")),IF(D53=3,"Inconsistent",IF(AND(D53=5,B53="POSITIVE"),"Consistent",IF(AND(D53=1,B53="NEGATIVE"),"Consistent",IF(AND(D53=4,B53="POSITIVE"),"Partially Consistent",IF(AND(D53=2,B53="NEGATIVE"),"Partially Consistent","Inconsistent"))))))</f>
        <v/>
      </c>
      <c r="F53">
        <f>IF(C53="TS","High","Low")</f>
        <v/>
      </c>
      <c r="G53">
        <f>IF(AND(B53="NEUTRAL",F53="Low"),"LOW",IF(AND(C53="TS",F53="High",D53=3),"HIGH",IF(AND(C53="TS",F53="High",OR(D53=2,D53=4)),"MODERATE",IF(AND(C53="TS",F53="High",OR(D53=1,D53=5)),"LOW",IF(AND(C53="OS",E53="Consistent",OR(D53=1,D53=5)),"MODERATE",IF(AND(C53="OS",E53="Partially Consistent",OR(D53=2,D53=4)),"MODERATE","LOW"))))))</f>
        <v/>
      </c>
      <c r="H53" t="inlineStr"/>
      <c r="I53" t="inlineStr"/>
      <c r="J53" t="inlineStr"/>
      <c r="K53" t="inlineStr"/>
      <c r="L53" t="inlineStr"/>
      <c r="M53" t="inlineStr">
        <is>
          <t>https://www.lazada.com.ph/products/pdp-i2711622771-s12970446850.html</t>
        </is>
      </c>
      <c r="N53" t="n">
        <v>1</v>
      </c>
    </row>
    <row r="54">
      <c r="A54" t="inlineStr">
        <is>
          <t>worth the price</t>
        </is>
      </c>
      <c r="B54" t="inlineStr">
        <is>
          <t>POSITIVE</t>
        </is>
      </c>
      <c r="C54">
        <f>IF(B54="NEUTRAL","TS","OS")</f>
        <v/>
      </c>
      <c r="D54" t="n">
        <v>3</v>
      </c>
      <c r="E54">
        <f>IF(C54="TS",IF(D54=3,"Consistent",IF(OR(D54=2,D54=4),"Partially Consistent","Inconsistent")),IF(D54=3,"Inconsistent",IF(AND(D54=5,B54="POSITIVE"),"Consistent",IF(AND(D54=1,B54="NEGATIVE"),"Consistent",IF(AND(D54=4,B54="POSITIVE"),"Partially Consistent",IF(AND(D54=2,B54="NEGATIVE"),"Partially Consistent","Inconsistent"))))))</f>
        <v/>
      </c>
      <c r="F54">
        <f>IF(C54="TS","High","Low")</f>
        <v/>
      </c>
      <c r="G54">
        <f>IF(AND(B54="NEUTRAL",F54="Low"),"LOW",IF(AND(C54="TS",F54="High",D54=3),"HIGH",IF(AND(C54="TS",F54="High",OR(D54=2,D54=4)),"MODERATE",IF(AND(C54="TS",F54="High",OR(D54=1,D54=5)),"LOW",IF(AND(C54="OS",E54="Consistent",OR(D54=1,D54=5)),"MODERATE",IF(AND(C54="OS",E54="Partially Consistent",OR(D54=2,D54=4)),"MODERATE","LOW"))))))</f>
        <v/>
      </c>
      <c r="H54" t="inlineStr"/>
      <c r="I54" t="inlineStr"/>
      <c r="J54" t="inlineStr"/>
      <c r="K54" t="inlineStr"/>
      <c r="L54" t="inlineStr"/>
      <c r="M54" t="inlineStr">
        <is>
          <t>https://www.lazada.com.ph/products/pdp-i2711622771-s12970446850.html</t>
        </is>
      </c>
      <c r="N54" t="n">
        <v>1</v>
      </c>
    </row>
    <row r="55">
      <c r="A55" t="inlineStr">
        <is>
          <t>eto medyo ok, kaso napipi rin siya at mukha madumi. oo mura siya pero sana naman medyo matino yubg quality.</t>
        </is>
      </c>
      <c r="B55" t="inlineStr">
        <is>
          <t>NEUTRAL</t>
        </is>
      </c>
      <c r="C55">
        <f>IF(B55="NEUTRAL","TS","OS")</f>
        <v/>
      </c>
      <c r="D55" t="n">
        <v>3</v>
      </c>
      <c r="E55">
        <f>IF(C55="TS",IF(D55=3,"Consistent",IF(OR(D55=2,D55=4),"Partially Consistent","Inconsistent")),IF(D55=3,"Inconsistent",IF(AND(D55=5,B55="POSITIVE"),"Consistent",IF(AND(D55=1,B55="NEGATIVE"),"Consistent",IF(AND(D55=4,B55="POSITIVE"),"Partially Consistent",IF(AND(D55=2,B55="NEGATIVE"),"Partially Consistent","Inconsistent"))))))</f>
        <v/>
      </c>
      <c r="F55">
        <f>IF(C55="TS","High","Low")</f>
        <v/>
      </c>
      <c r="G55">
        <f>IF(AND(B55="NEUTRAL",F55="Low"),"LOW",IF(AND(C55="TS",F55="High",D55=3),"HIGH",IF(AND(C55="TS",F55="High",OR(D55=2,D55=4)),"MODERATE",IF(AND(C55="TS",F55="High",OR(D55=1,D55=5)),"LOW",IF(AND(C55="OS",E55="Consistent",OR(D55=1,D55=5)),"MODERATE",IF(AND(C55="OS",E55="Partially Consistent",OR(D55=2,D55=4)),"MODERATE","LOW"))))))</f>
        <v/>
      </c>
      <c r="H55" t="inlineStr"/>
      <c r="I55" t="inlineStr"/>
      <c r="J55" t="inlineStr"/>
      <c r="K55" t="inlineStr"/>
      <c r="L55" t="inlineStr"/>
      <c r="M55" t="inlineStr">
        <is>
          <t>https://www.lazada.com.ph/products/pdp-i2711622771-s12970446850.html</t>
        </is>
      </c>
      <c r="N55" t="n">
        <v>1</v>
      </c>
    </row>
    <row r="56">
      <c r="A56" t="inlineStr">
        <is>
          <t>ok nmn tama lang s price muka xa d matibay wag lang llagyan ng madami sakto lang para tumagal at d macra. . .</t>
        </is>
      </c>
      <c r="B56" t="inlineStr">
        <is>
          <t>NEUTRAL</t>
        </is>
      </c>
      <c r="C56">
        <f>IF(B56="NEUTRAL","TS","OS")</f>
        <v/>
      </c>
      <c r="D56" t="n">
        <v>3</v>
      </c>
      <c r="E56">
        <f>IF(C56="TS",IF(D56=3,"Consistent",IF(OR(D56=2,D56=4),"Partially Consistent","Inconsistent")),IF(D56=3,"Inconsistent",IF(AND(D56=5,B56="POSITIVE"),"Consistent",IF(AND(D56=1,B56="NEGATIVE"),"Consistent",IF(AND(D56=4,B56="POSITIVE"),"Partially Consistent",IF(AND(D56=2,B56="NEGATIVE"),"Partially Consistent","Inconsistent"))))))</f>
        <v/>
      </c>
      <c r="F56">
        <f>IF(C56="TS","High","Low")</f>
        <v/>
      </c>
      <c r="G56">
        <f>IF(AND(B56="NEUTRAL",F56="Low"),"LOW",IF(AND(C56="TS",F56="High",D56=3),"HIGH",IF(AND(C56="TS",F56="High",OR(D56=2,D56=4)),"MODERATE",IF(AND(C56="TS",F56="High",OR(D56=1,D56=5)),"LOW",IF(AND(C56="OS",E56="Consistent",OR(D56=1,D56=5)),"MODERATE",IF(AND(C56="OS",E56="Partially Consistent",OR(D56=2,D56=4)),"MODERATE","LOW"))))))</f>
        <v/>
      </c>
      <c r="H56" t="inlineStr"/>
      <c r="I56" t="inlineStr"/>
      <c r="J56" t="inlineStr"/>
      <c r="K56" t="inlineStr"/>
      <c r="L56" t="inlineStr"/>
      <c r="M56" t="inlineStr">
        <is>
          <t>https://www.lazada.com.ph/products/pdp-i2711622771-s12970446850.html</t>
        </is>
      </c>
      <c r="N56" t="n">
        <v>1</v>
      </c>
    </row>
    <row r="57">
      <c r="A57" t="inlineStr">
        <is>
          <t>buhol chain and natutuklap na yung bag pero the rest naorder ko na bag sa shop na to okay lang</t>
        </is>
      </c>
      <c r="B57" t="inlineStr">
        <is>
          <t>NEUTRAL</t>
        </is>
      </c>
      <c r="C57">
        <f>IF(B57="NEUTRAL","TS","OS")</f>
        <v/>
      </c>
      <c r="D57" t="n">
        <v>3</v>
      </c>
      <c r="E57">
        <f>IF(C57="TS",IF(D57=3,"Consistent",IF(OR(D57=2,D57=4),"Partially Consistent","Inconsistent")),IF(D57=3,"Inconsistent",IF(AND(D57=5,B57="POSITIVE"),"Consistent",IF(AND(D57=1,B57="NEGATIVE"),"Consistent",IF(AND(D57=4,B57="POSITIVE"),"Partially Consistent",IF(AND(D57=2,B57="NEGATIVE"),"Partially Consistent","Inconsistent"))))))</f>
        <v/>
      </c>
      <c r="F57">
        <f>IF(C57="TS","High","Low")</f>
        <v/>
      </c>
      <c r="G57">
        <f>IF(AND(B57="NEUTRAL",F57="Low"),"LOW",IF(AND(C57="TS",F57="High",D57=3),"HIGH",IF(AND(C57="TS",F57="High",OR(D57=2,D57=4)),"MODERATE",IF(AND(C57="TS",F57="High",OR(D57=1,D57=5)),"LOW",IF(AND(C57="OS",E57="Consistent",OR(D57=1,D57=5)),"MODERATE",IF(AND(C57="OS",E57="Partially Consistent",OR(D57=2,D57=4)),"MODERATE","LOW"))))))</f>
        <v/>
      </c>
      <c r="H57" t="inlineStr"/>
      <c r="I57" t="inlineStr"/>
      <c r="J57" t="inlineStr"/>
      <c r="K57" t="inlineStr"/>
      <c r="L57" t="inlineStr"/>
      <c r="M57" t="inlineStr">
        <is>
          <t>https://www.lazada.com.ph/products/pdp-i2711622771-s12970446850.html</t>
        </is>
      </c>
      <c r="N57" t="n">
        <v>1</v>
      </c>
    </row>
    <row r="58">
      <c r="A58" t="inlineStr">
        <is>
          <t>ang layo ng quality sa picture ninyo, pambata at carton yung loob pagnabasa ito panigurado sira at yung handle niya mukhang hindi matibay, hindi pwede lagyan ng marami sa loob at manipis lng yung tela. bigay ko nlng sa pamangkin kong dalaginding.</t>
        </is>
      </c>
      <c r="B58" t="inlineStr">
        <is>
          <t>NEGATIVE</t>
        </is>
      </c>
      <c r="C58">
        <f>IF(B58="NEUTRAL","TS","OS")</f>
        <v/>
      </c>
      <c r="D58" t="n">
        <v>3</v>
      </c>
      <c r="E58">
        <f>IF(C58="TS",IF(D58=3,"Consistent",IF(OR(D58=2,D58=4),"Partially Consistent","Inconsistent")),IF(D58=3,"Inconsistent",IF(AND(D58=5,B58="POSITIVE"),"Consistent",IF(AND(D58=1,B58="NEGATIVE"),"Consistent",IF(AND(D58=4,B58="POSITIVE"),"Partially Consistent",IF(AND(D58=2,B58="NEGATIVE"),"Partially Consistent","Inconsistent"))))))</f>
        <v/>
      </c>
      <c r="F58">
        <f>IF(C58="TS","High","Low")</f>
        <v/>
      </c>
      <c r="G58">
        <f>IF(AND(B58="NEUTRAL",F58="Low"),"LOW",IF(AND(C58="TS",F58="High",D58=3),"HIGH",IF(AND(C58="TS",F58="High",OR(D58=2,D58=4)),"MODERATE",IF(AND(C58="TS",F58="High",OR(D58=1,D58=5)),"LOW",IF(AND(C58="OS",E58="Consistent",OR(D58=1,D58=5)),"MODERATE",IF(AND(C58="OS",E58="Partially Consistent",OR(D58=2,D58=4)),"MODERATE","LOW"))))))</f>
        <v/>
      </c>
      <c r="H58" t="inlineStr"/>
      <c r="I58" t="inlineStr"/>
      <c r="J58" t="inlineStr"/>
      <c r="K58" t="inlineStr"/>
      <c r="L58" t="inlineStr"/>
      <c r="M58" t="inlineStr">
        <is>
          <t>https://www.lazada.com.ph/products/pdp-i2711622771-s12970446850.html</t>
        </is>
      </c>
      <c r="N58" t="n">
        <v>1</v>
      </c>
    </row>
    <row r="59">
      <c r="A59" t="inlineStr">
        <is>
          <t>na-expectation vs reality ako. sa picture at video kasi malaki ung bag tapos nung nareceive ko, ang liit lang pala.</t>
        </is>
      </c>
      <c r="B59" t="inlineStr">
        <is>
          <t>NEGATIVE</t>
        </is>
      </c>
      <c r="C59">
        <f>IF(B59="NEUTRAL","TS","OS")</f>
        <v/>
      </c>
      <c r="D59" t="n">
        <v>3</v>
      </c>
      <c r="E59">
        <f>IF(C59="TS",IF(D59=3,"Consistent",IF(OR(D59=2,D59=4),"Partially Consistent","Inconsistent")),IF(D59=3,"Inconsistent",IF(AND(D59=5,B59="POSITIVE"),"Consistent",IF(AND(D59=1,B59="NEGATIVE"),"Consistent",IF(AND(D59=4,B59="POSITIVE"),"Partially Consistent",IF(AND(D59=2,B59="NEGATIVE"),"Partially Consistent","Inconsistent"))))))</f>
        <v/>
      </c>
      <c r="F59">
        <f>IF(C59="TS","High","Low")</f>
        <v/>
      </c>
      <c r="G59">
        <f>IF(AND(B59="NEUTRAL",F59="Low"),"LOW",IF(AND(C59="TS",F59="High",D59=3),"HIGH",IF(AND(C59="TS",F59="High",OR(D59=2,D59=4)),"MODERATE",IF(AND(C59="TS",F59="High",OR(D59=1,D59=5)),"LOW",IF(AND(C59="OS",E59="Consistent",OR(D59=1,D59=5)),"MODERATE",IF(AND(C59="OS",E59="Partially Consistent",OR(D59=2,D59=4)),"MODERATE","LOW"))))))</f>
        <v/>
      </c>
      <c r="H59" t="inlineStr"/>
      <c r="I59" t="inlineStr"/>
      <c r="J59" t="inlineStr"/>
      <c r="K59" t="inlineStr"/>
      <c r="L59" t="inlineStr"/>
      <c r="M59" t="inlineStr">
        <is>
          <t>https://www.lazada.com.ph/products/pdp-i2711622771-s12970446850.html</t>
        </is>
      </c>
      <c r="N59" t="n">
        <v>1</v>
      </c>
    </row>
    <row r="60">
      <c r="A60" t="inlineStr">
        <is>
          <t>ok na sana. pero kung ano sana ung pinili ayun ang ibigay. . instead of white, khaki ung shinip tas ang malala damage pa tsk. . ung black na bag tastas din ung gilid ng tahi haaayss pero anu nga ba naman ieexpect mo sa mura</t>
        </is>
      </c>
      <c r="B60" t="inlineStr">
        <is>
          <t>NEGATIVE</t>
        </is>
      </c>
      <c r="C60">
        <f>IF(B60="NEUTRAL","TS","OS")</f>
        <v/>
      </c>
      <c r="D60" t="n">
        <v>3</v>
      </c>
      <c r="E60">
        <f>IF(C60="TS",IF(D60=3,"Consistent",IF(OR(D60=2,D60=4),"Partially Consistent","Inconsistent")),IF(D60=3,"Inconsistent",IF(AND(D60=5,B60="POSITIVE"),"Consistent",IF(AND(D60=1,B60="NEGATIVE"),"Consistent",IF(AND(D60=4,B60="POSITIVE"),"Partially Consistent",IF(AND(D60=2,B60="NEGATIVE"),"Partially Consistent","Inconsistent"))))))</f>
        <v/>
      </c>
      <c r="F60">
        <f>IF(C60="TS","High","Low")</f>
        <v/>
      </c>
      <c r="G60">
        <f>IF(AND(B60="NEUTRAL",F60="Low"),"LOW",IF(AND(C60="TS",F60="High",D60=3),"HIGH",IF(AND(C60="TS",F60="High",OR(D60=2,D60=4)),"MODERATE",IF(AND(C60="TS",F60="High",OR(D60=1,D60=5)),"LOW",IF(AND(C60="OS",E60="Consistent",OR(D60=1,D60=5)),"MODERATE",IF(AND(C60="OS",E60="Partially Consistent",OR(D60=2,D60=4)),"MODERATE","LOW"))))))</f>
        <v/>
      </c>
      <c r="H60" t="inlineStr"/>
      <c r="I60" t="inlineStr"/>
      <c r="J60" t="inlineStr"/>
      <c r="K60" t="inlineStr"/>
      <c r="L60" t="inlineStr"/>
      <c r="M60" t="inlineStr">
        <is>
          <t>https://www.lazada.com.ph/products/pdp-i2711622771-s12970446850.html</t>
        </is>
      </c>
      <c r="N60" t="n">
        <v>1</v>
      </c>
    </row>
    <row r="61">
      <c r="A61" t="inlineStr">
        <is>
          <t>manipis lang cya tapos wag naman sana ipakita yung pampadikit kasi pumangit tignan po</t>
        </is>
      </c>
      <c r="B61" t="inlineStr">
        <is>
          <t>NEGATIVE</t>
        </is>
      </c>
      <c r="C61">
        <f>IF(B61="NEUTRAL","TS","OS")</f>
        <v/>
      </c>
      <c r="D61" t="n">
        <v>3</v>
      </c>
      <c r="E61">
        <f>IF(C61="TS",IF(D61=3,"Consistent",IF(OR(D61=2,D61=4),"Partially Consistent","Inconsistent")),IF(D61=3,"Inconsistent",IF(AND(D61=5,B61="POSITIVE"),"Consistent",IF(AND(D61=1,B61="NEGATIVE"),"Consistent",IF(AND(D61=4,B61="POSITIVE"),"Partially Consistent",IF(AND(D61=2,B61="NEGATIVE"),"Partially Consistent","Inconsistent"))))))</f>
        <v/>
      </c>
      <c r="F61">
        <f>IF(C61="TS","High","Low")</f>
        <v/>
      </c>
      <c r="G61">
        <f>IF(AND(B61="NEUTRAL",F61="Low"),"LOW",IF(AND(C61="TS",F61="High",D61=3),"HIGH",IF(AND(C61="TS",F61="High",OR(D61=2,D61=4)),"MODERATE",IF(AND(C61="TS",F61="High",OR(D61=1,D61=5)),"LOW",IF(AND(C61="OS",E61="Consistent",OR(D61=1,D61=5)),"MODERATE",IF(AND(C61="OS",E61="Partially Consistent",OR(D61=2,D61=4)),"MODERATE","LOW"))))))</f>
        <v/>
      </c>
      <c r="H61" t="inlineStr"/>
      <c r="I61" t="inlineStr"/>
      <c r="J61" t="inlineStr"/>
      <c r="K61" t="inlineStr"/>
      <c r="L61" t="inlineStr"/>
      <c r="M61" t="inlineStr">
        <is>
          <t>https://www.lazada.com.ph/products/pdp-i2711622771-s12970446850.html</t>
        </is>
      </c>
      <c r="N6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2025-05-24T04:29:48Z</dcterms:created>
  <dcterms:modified xsi:type="dcterms:W3CDTF">2025-05-24T04:29:48Z</dcterms:modified>
</cp:coreProperties>
</file>