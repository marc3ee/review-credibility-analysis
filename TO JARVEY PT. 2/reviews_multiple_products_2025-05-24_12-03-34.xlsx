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5"/>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effectiveness: nakakatanggal ng talaga ng lansa at ng oil nakakalinis talaga at mabula din 2nd order kuna din nagustuhan din ng mga suki ko. order ulit ako sana may freebies na kahit sticker hehehe leaves dishes sparkling clean, value for money, convenient and easy to use,</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IF(AND(B2="NEUTRAL",F2="Low"),"LOW",IF(AND(C2="TS",F2="High",D2=3),"HIGH",IF(AND(C2="TS",F2="High",OR(D2=2,D2=4)),"MODERATE",IF(AND(C2="TS",F2="High",OR(D2=1,D2=5)),"LOW",IF(AND(C2="OS",E2="Consistent",OR(D2=1,D2=5)),"MODERATE",IF(AND(C2="OS",E2="Partially Consistent",OR(D2=2,D2=4)),"MODERATE","LOW"))))))</f>
        <v/>
      </c>
      <c r="H2" t="inlineStr"/>
      <c r="I2" t="inlineStr"/>
      <c r="J2" t="inlineStr"/>
      <c r="K2" t="inlineStr"/>
      <c r="L2" t="inlineStr"/>
      <c r="M2" t="inlineStr">
        <is>
          <t>https://www.lazada.com.ph/products/pdp-i4358944057-s24446312395.html</t>
        </is>
      </c>
      <c r="N2" t="n">
        <v>1</v>
      </c>
    </row>
    <row r="3">
      <c r="A3" t="inlineStr">
        <is>
          <t>easy to make and very practical to use. it has a very nice scent and a few drops goes a long way</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IF(AND(B3="NEUTRAL",F3="Low"),"LOW",IF(AND(C3="TS",F3="High",D3=3),"HIGH",IF(AND(C3="TS",F3="High",OR(D3=2,D3=4)),"MODERATE",IF(AND(C3="TS",F3="High",OR(D3=1,D3=5)),"LOW",IF(AND(C3="OS",E3="Consistent",OR(D3=1,D3=5)),"MODERATE",IF(AND(C3="OS",E3="Partially Consistent",OR(D3=2,D3=4)),"MODERATE","LOW"))))))</f>
        <v/>
      </c>
      <c r="H3" t="inlineStr"/>
      <c r="I3" t="inlineStr"/>
      <c r="J3" t="inlineStr"/>
      <c r="K3" t="inlineStr"/>
      <c r="L3" t="inlineStr"/>
      <c r="M3" t="inlineStr">
        <is>
          <t>https://www.lazada.com.ph/products/pdp-i4358944057-s24446312395.html</t>
        </is>
      </c>
      <c r="N3" t="n">
        <v>1</v>
      </c>
    </row>
    <row r="4">
      <c r="A4" t="inlineStr">
        <is>
          <t>effectiveness: 10 scent: 10leaves dishes sparkling clean, eco-friendly packaging, versatile scent options,</t>
        </is>
      </c>
      <c r="B4" t="inlineStr">
        <is>
          <t>NEGATIVE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IF(AND(B4="NEUTRAL",F4="Low"),"LOW",IF(AND(C4="TS",F4="High",D4=3),"HIGH",IF(AND(C4="TS",F4="High",OR(D4=2,D4=4)),"MODERATE",IF(AND(C4="TS",F4="High",OR(D4=1,D4=5)),"LOW",IF(AND(C4="OS",E4="Consistent",OR(D4=1,D4=5)),"MODERATE",IF(AND(C4="OS",E4="Partially Consistent",OR(D4=2,D4=4)),"MODERATE","LOW"))))))</f>
        <v/>
      </c>
      <c r="H4" t="inlineStr"/>
      <c r="I4" t="inlineStr"/>
      <c r="J4" t="inlineStr"/>
      <c r="K4" t="inlineStr"/>
      <c r="L4" t="inlineStr"/>
      <c r="M4" t="inlineStr">
        <is>
          <t>https://www.lazada.com.ph/products/pdp-i4358944057-s24446312395.html</t>
        </is>
      </c>
      <c r="N4" t="n">
        <v>1</v>
      </c>
    </row>
    <row r="5">
      <c r="A5" t="inlineStr">
        <is>
          <t>efficient cleaning power, value for money, versatile scent options, effectiveness: superb scent: nice eco-friendliness:</t>
        </is>
      </c>
      <c r="B5" t="inlineStr">
        <is>
          <t>NEGATIVE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IF(AND(B5="NEUTRAL",F5="Low"),"LOW",IF(AND(C5="TS",F5="High",D5=3),"HIGH",IF(AND(C5="TS",F5="High",OR(D5=2,D5=4)),"MODERATE",IF(AND(C5="TS",F5="High",OR(D5=1,D5=5)),"LOW",IF(AND(C5="OS",E5="Consistent",OR(D5=1,D5=5)),"MODERATE",IF(AND(C5="OS",E5="Partially Consistent",OR(D5=2,D5=4)),"MODERATE","LOW"))))))</f>
        <v/>
      </c>
      <c r="H5" t="inlineStr"/>
      <c r="I5" t="inlineStr"/>
      <c r="J5" t="inlineStr"/>
      <c r="K5" t="inlineStr"/>
      <c r="L5" t="inlineStr"/>
      <c r="M5" t="inlineStr">
        <is>
          <t>https://www.lazada.com.ph/products/pdp-i4358944057-s24446312395.html</t>
        </is>
      </c>
      <c r="N5" t="n">
        <v>1</v>
      </c>
    </row>
    <row r="6">
      <c r="A6" t="inlineStr">
        <is>
          <t>hnd daw nakakalinis ung calamamsi ng mga sebo unlike sa lemon na ready to kix din. . gusto ko ngang isauli kasi simula nung feedback na un hnd na nasundan ung bumili.</t>
        </is>
      </c>
      <c r="B6" t="inlineStr">
        <is>
          <t>NEGATIVE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IF(AND(B6="NEUTRAL",F6="Low"),"LOW",IF(AND(C6="TS",F6="High",D6=3),"HIGH",IF(AND(C6="TS",F6="High",OR(D6=2,D6=4)),"MODERATE",IF(AND(C6="TS",F6="High",OR(D6=1,D6=5)),"LOW",IF(AND(C6="OS",E6="Consistent",OR(D6=1,D6=5)),"MODERATE",IF(AND(C6="OS",E6="Partially Consistent",OR(D6=2,D6=4)),"MODERATE","LOW"))))))</f>
        <v/>
      </c>
      <c r="H6" t="inlineStr"/>
      <c r="I6" t="inlineStr"/>
      <c r="J6" t="inlineStr"/>
      <c r="K6" t="inlineStr"/>
      <c r="L6" t="inlineStr"/>
      <c r="M6" t="inlineStr">
        <is>
          <t>https://www.lazada.com.ph/products/pdp-i4358944057-s24446312395.html</t>
        </is>
      </c>
      <c r="N6" t="n">
        <v>1</v>
      </c>
    </row>
    <row r="7">
      <c r="A7" t="inlineStr">
        <is>
          <t>great for everyday use, leaves dishes sparkling clean, versatile scent options, eco-friendliness: goods scent: fresh</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IF(AND(B7="NEUTRAL",F7="Low"),"LOW",IF(AND(C7="TS",F7="High",D7=3),"HIGH",IF(AND(C7="TS",F7="High",OR(D7=2,D7=4)),"MODERATE",IF(AND(C7="TS",F7="High",OR(D7=1,D7=5)),"LOW",IF(AND(C7="OS",E7="Consistent",OR(D7=1,D7=5)),"MODERATE",IF(AND(C7="OS",E7="Partially Consistent",OR(D7=2,D7=4)),"MODERATE","LOW"))))))</f>
        <v/>
      </c>
      <c r="H7" t="inlineStr"/>
      <c r="I7" t="inlineStr"/>
      <c r="J7" t="inlineStr"/>
      <c r="K7" t="inlineStr"/>
      <c r="L7" t="inlineStr"/>
      <c r="M7" t="inlineStr">
        <is>
          <t>https://www.lazada.com.ph/products/pdp-i4358944057-s24446312395.html</t>
        </is>
      </c>
      <c r="N7" t="n">
        <v>1</v>
      </c>
    </row>
    <row r="8">
      <c r="A8" t="inlineStr">
        <is>
          <t>leaves dishes sparkling clean, refreshing citrus scent, gentle on hands, versatile scent options,</t>
        </is>
      </c>
      <c r="B8" t="inlineStr">
        <is>
          <t>NEGATIVE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IF(AND(B8="NEUTRAL",F8="Low"),"LOW",IF(AND(C8="TS",F8="High",D8=3),"HIGH",IF(AND(C8="TS",F8="High",OR(D8=2,D8=4)),"MODERATE",IF(AND(C8="TS",F8="High",OR(D8=1,D8=5)),"LOW",IF(AND(C8="OS",E8="Consistent",OR(D8=1,D8=5)),"MODERATE",IF(AND(C8="OS",E8="Partially Consistent",OR(D8=2,D8=4)),"MODERATE","LOW"))))))</f>
        <v/>
      </c>
      <c r="H8" t="inlineStr"/>
      <c r="I8" t="inlineStr"/>
      <c r="J8" t="inlineStr"/>
      <c r="K8" t="inlineStr"/>
      <c r="L8" t="inlineStr"/>
      <c r="M8" t="inlineStr">
        <is>
          <t>https://www.lazada.com.ph/products/pdp-i4358944057-s24446312395.html</t>
        </is>
      </c>
      <c r="N8" t="n">
        <v>1</v>
      </c>
    </row>
    <row r="9">
      <c r="A9" t="inlineStr">
        <is>
          <t>great for everyday use, efficient cleaning power, very good. mabula, mabango, abot kaya.</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IF(AND(B9="NEUTRAL",F9="Low"),"LOW",IF(AND(C9="TS",F9="High",D9=3),"HIGH",IF(AND(C9="TS",F9="High",OR(D9=2,D9=4)),"MODERATE",IF(AND(C9="TS",F9="High",OR(D9=1,D9=5)),"LOW",IF(AND(C9="OS",E9="Consistent",OR(D9=1,D9=5)),"MODERATE",IF(AND(C9="OS",E9="Partially Consistent",OR(D9=2,D9=4)),"MODERATE","LOW"))))))</f>
        <v/>
      </c>
      <c r="H9" t="inlineStr"/>
      <c r="I9" t="inlineStr"/>
      <c r="J9" t="inlineStr"/>
      <c r="K9" t="inlineStr"/>
      <c r="L9" t="inlineStr"/>
      <c r="M9" t="inlineStr">
        <is>
          <t>https://www.lazada.com.ph/products/pdp-i4358944057-s24446312395.html</t>
        </is>
      </c>
      <c r="N9" t="n">
        <v>1</v>
      </c>
    </row>
    <row r="10">
      <c r="A10" t="inlineStr">
        <is>
          <t>effectiveness: ok scent: ok eco-friendliness: ok matagal ko na to ginagamit. . mabango sya. . . . . . , . . . . . . . . . . . . . . . . 98thahhshshdjxjcjcj</t>
        </is>
      </c>
      <c r="B10" t="inlineStr">
        <is>
          <t>NEUTRAL</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IF(AND(B10="NEUTRAL",F10="Low"),"LOW",IF(AND(C10="TS",F10="High",D10=3),"HIGH",IF(AND(C10="TS",F10="High",OR(D10=2,D10=4)),"MODERATE",IF(AND(C10="TS",F10="High",OR(D10=1,D10=5)),"LOW",IF(AND(C10="OS",E10="Consistent",OR(D10=1,D10=5)),"MODERATE",IF(AND(C10="OS",E10="Partially Consistent",OR(D10=2,D10=4)),"MODERATE","LOW"))))))</f>
        <v/>
      </c>
      <c r="H10" t="inlineStr"/>
      <c r="I10" t="inlineStr"/>
      <c r="J10" t="inlineStr"/>
      <c r="K10" t="inlineStr"/>
      <c r="L10" t="inlineStr"/>
      <c r="M10" t="inlineStr">
        <is>
          <t>https://www.lazada.com.ph/products/pdp-i4358944057-s24446312395.html</t>
        </is>
      </c>
      <c r="N10" t="n">
        <v>1</v>
      </c>
    </row>
    <row r="11">
      <c r="A11" t="inlineStr">
        <is>
          <t>versatile scent options, refreshing citrus scent, convenient and easy to use, value for money, scent: lemon</t>
        </is>
      </c>
      <c r="B11" t="inlineStr">
        <is>
          <t>NEGATIVE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IF(AND(B11="NEUTRAL",F11="Low"),"LOW",IF(AND(C11="TS",F11="High",D11=3),"HIGH",IF(AND(C11="TS",F11="High",OR(D11=2,D11=4)),"MODERATE",IF(AND(C11="TS",F11="High",OR(D11=1,D11=5)),"LOW",IF(AND(C11="OS",E11="Consistent",OR(D11=1,D11=5)),"MODERATE",IF(AND(C11="OS",E11="Partially Consistent",OR(D11=2,D11=4)),"MODERATE","LOW"))))))</f>
        <v/>
      </c>
      <c r="H11" t="inlineStr"/>
      <c r="I11" t="inlineStr"/>
      <c r="J11" t="inlineStr"/>
      <c r="K11" t="inlineStr"/>
      <c r="L11" t="inlineStr"/>
      <c r="M11" t="inlineStr">
        <is>
          <t>https://www.lazada.com.ph/products/pdp-i4358944057-s24446312395.html</t>
        </is>
      </c>
      <c r="N11" t="n">
        <v>1</v>
      </c>
    </row>
    <row r="12">
      <c r="A12" t="inlineStr">
        <is>
          <t>great for everyday use, value for money, eco-friendly packaging, gentle on hands, scent: mabango effectiveness: mabula at madaling gawin</t>
        </is>
      </c>
      <c r="B12" t="inlineStr">
        <is>
          <t>POSITIVE</t>
        </is>
      </c>
      <c r="C12">
        <f>IF(B12="NEUTRAL","TS","OS")</f>
        <v/>
      </c>
      <c r="D12" t="n">
        <v>5</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IF(AND(B12="NEUTRAL",F12="Low"),"LOW",IF(AND(C12="TS",F12="High",D12=3),"HIGH",IF(AND(C12="TS",F12="High",OR(D12=2,D12=4)),"MODERATE",IF(AND(C12="TS",F12="High",OR(D12=1,D12=5)),"LOW",IF(AND(C12="OS",E12="Consistent",OR(D12=1,D12=5)),"MODERATE",IF(AND(C12="OS",E12="Partially Consistent",OR(D12=2,D12=4)),"MODERATE","LOW"))))))</f>
        <v/>
      </c>
      <c r="H12" t="inlineStr"/>
      <c r="I12" t="inlineStr"/>
      <c r="J12" t="inlineStr"/>
      <c r="K12" t="inlineStr"/>
      <c r="L12" t="inlineStr"/>
      <c r="M12" t="inlineStr">
        <is>
          <t>https://www.lazada.com.ph/products/pdp-i4358944057-s24446312395.html</t>
        </is>
      </c>
      <c r="N12" t="n">
        <v>1</v>
      </c>
    </row>
    <row r="13">
      <c r="A13" t="inlineStr">
        <is>
          <t>thanks to the seller/store to updated my questions. . thanks also to the rider to keep my parcel safe to deliver! five (5) stars i highly recommend this store/shop</t>
        </is>
      </c>
      <c r="B13" t="inlineStr">
        <is>
          <t>POSITIVE</t>
        </is>
      </c>
      <c r="C13">
        <f>IF(B13="NEUTRAL","TS","OS")</f>
        <v/>
      </c>
      <c r="D13" t="n">
        <v>5</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IF(AND(B13="NEUTRAL",F13="Low"),"LOW",IF(AND(C13="TS",F13="High",D13=3),"HIGH",IF(AND(C13="TS",F13="High",OR(D13=2,D13=4)),"MODERATE",IF(AND(C13="TS",F13="High",OR(D13=1,D13=5)),"LOW",IF(AND(C13="OS",E13="Consistent",OR(D13=1,D13=5)),"MODERATE",IF(AND(C13="OS",E13="Partially Consistent",OR(D13=2,D13=4)),"MODERATE","LOW"))))))</f>
        <v/>
      </c>
      <c r="H13" t="inlineStr"/>
      <c r="I13" t="inlineStr"/>
      <c r="J13" t="inlineStr"/>
      <c r="K13" t="inlineStr"/>
      <c r="L13" t="inlineStr"/>
      <c r="M13" t="inlineStr">
        <is>
          <t>https://www.lazada.com.ph/products/pdp-i4358944057-s24446312395.html</t>
        </is>
      </c>
      <c r="N13" t="n">
        <v>1</v>
      </c>
    </row>
    <row r="14">
      <c r="A14" t="inlineStr">
        <is>
          <t>efficient cleaning power, convenient and easy to use, leaves dishes sparkling clean, mabula, mabango sulit ang pera. . be careful sa fake</t>
        </is>
      </c>
      <c r="B14" t="inlineStr">
        <is>
          <t>POSITIVE</t>
        </is>
      </c>
      <c r="C14">
        <f>IF(B14="NEUTRAL","TS","OS")</f>
        <v/>
      </c>
      <c r="D14" t="n">
        <v>5</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IF(AND(B14="NEUTRAL",F14="Low"),"LOW",IF(AND(C14="TS",F14="High",D14=3),"HIGH",IF(AND(C14="TS",F14="High",OR(D14=2,D14=4)),"MODERATE",IF(AND(C14="TS",F14="High",OR(D14=1,D14=5)),"LOW",IF(AND(C14="OS",E14="Consistent",OR(D14=1,D14=5)),"MODERATE",IF(AND(C14="OS",E14="Partially Consistent",OR(D14=2,D14=4)),"MODERATE","LOW"))))))</f>
        <v/>
      </c>
      <c r="H14" t="inlineStr"/>
      <c r="I14" t="inlineStr"/>
      <c r="J14" t="inlineStr"/>
      <c r="K14" t="inlineStr"/>
      <c r="L14" t="inlineStr"/>
      <c r="M14" t="inlineStr">
        <is>
          <t>https://www.lazada.com.ph/products/pdp-i4358944057-s24446312395.html</t>
        </is>
      </c>
      <c r="N14" t="n">
        <v>1</v>
      </c>
    </row>
    <row r="15">
      <c r="A15" t="inlineStr">
        <is>
          <t>great for everyday use, efficient cleaning power, effectiveness: effective di nalalayo sa brand na joy scent: mabango</t>
        </is>
      </c>
      <c r="B15" t="inlineStr">
        <is>
          <t>NEUTRAL</t>
        </is>
      </c>
      <c r="C15">
        <f>IF(B15="NEUTRAL","TS","OS")</f>
        <v/>
      </c>
      <c r="D15" t="n">
        <v>5</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IF(AND(B15="NEUTRAL",F15="Low"),"LOW",IF(AND(C15="TS",F15="High",D15=3),"HIGH",IF(AND(C15="TS",F15="High",OR(D15=2,D15=4)),"MODERATE",IF(AND(C15="TS",F15="High",OR(D15=1,D15=5)),"LOW",IF(AND(C15="OS",E15="Consistent",OR(D15=1,D15=5)),"MODERATE",IF(AND(C15="OS",E15="Partially Consistent",OR(D15=2,D15=4)),"MODERATE","LOW"))))))</f>
        <v/>
      </c>
      <c r="H15" t="inlineStr"/>
      <c r="I15" t="inlineStr"/>
      <c r="J15" t="inlineStr"/>
      <c r="K15" t="inlineStr"/>
      <c r="L15" t="inlineStr"/>
      <c r="M15" t="inlineStr">
        <is>
          <t>https://www.lazada.com.ph/products/pdp-i4358944057-s24446312395.html</t>
        </is>
      </c>
      <c r="N15" t="n">
        <v>1</v>
      </c>
    </row>
    <row r="16">
      <c r="A16" t="inlineStr">
        <is>
          <t>i have been using this dishwashing liquid. it is cheap and easy to make. this yielded ip to 6 liters and is more than enough to use for for household cleaning activities.</t>
        </is>
      </c>
      <c r="B16" t="inlineStr">
        <is>
          <t>POSITIVE</t>
        </is>
      </c>
      <c r="C16">
        <f>IF(B16="NEUTRAL","TS","OS")</f>
        <v/>
      </c>
      <c r="D16" t="n">
        <v>5</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IF(AND(B16="NEUTRAL",F16="Low"),"LOW",IF(AND(C16="TS",F16="High",D16=3),"HIGH",IF(AND(C16="TS",F16="High",OR(D16=2,D16=4)),"MODERATE",IF(AND(C16="TS",F16="High",OR(D16=1,D16=5)),"LOW",IF(AND(C16="OS",E16="Consistent",OR(D16=1,D16=5)),"MODERATE",IF(AND(C16="OS",E16="Partially Consistent",OR(D16=2,D16=4)),"MODERATE","LOW"))))))</f>
        <v/>
      </c>
      <c r="H16" t="inlineStr"/>
      <c r="I16" t="inlineStr"/>
      <c r="J16" t="inlineStr"/>
      <c r="K16" t="inlineStr"/>
      <c r="L16" t="inlineStr"/>
      <c r="M16" t="inlineStr">
        <is>
          <t>https://www.lazada.com.ph/products/pdp-i4358944057-s24446312395.html</t>
        </is>
      </c>
      <c r="N16" t="n">
        <v>1</v>
      </c>
    </row>
    <row r="17">
      <c r="A17" t="inlineStr">
        <is>
          <t>effectiveness: 9 scent: 10 eco-friendliness: 9 value for money, refreshing citrus scent, great for everyday use,</t>
        </is>
      </c>
      <c r="B17" t="inlineStr">
        <is>
          <t>POSITIVE</t>
        </is>
      </c>
      <c r="C17">
        <f>IF(B17="NEUTRAL","TS","OS")</f>
        <v/>
      </c>
      <c r="D17" t="n">
        <v>5</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IF(AND(B17="NEUTRAL",F17="Low"),"LOW",IF(AND(C17="TS",F17="High",D17=3),"HIGH",IF(AND(C17="TS",F17="High",OR(D17=2,D17=4)),"MODERATE",IF(AND(C17="TS",F17="High",OR(D17=1,D17=5)),"LOW",IF(AND(C17="OS",E17="Consistent",OR(D17=1,D17=5)),"MODERATE",IF(AND(C17="OS",E17="Partially Consistent",OR(D17=2,D17=4)),"MODERATE","LOW"))))))</f>
        <v/>
      </c>
      <c r="H17" t="inlineStr"/>
      <c r="I17" t="inlineStr"/>
      <c r="J17" t="inlineStr"/>
      <c r="K17" t="inlineStr"/>
      <c r="L17" t="inlineStr"/>
      <c r="M17" t="inlineStr">
        <is>
          <t>https://www.lazada.com.ph/products/pdp-i4358944057-s24446312395.html</t>
        </is>
      </c>
      <c r="N17" t="n">
        <v>1</v>
      </c>
    </row>
    <row r="18">
      <c r="A18" t="inlineStr">
        <is>
          <t>gentle on hands, convenient and easy to use, versatile scent options, leaves dishes sparkling clean,</t>
        </is>
      </c>
      <c r="B18" t="inlineStr">
        <is>
          <t>NEUTRAL</t>
        </is>
      </c>
      <c r="C18">
        <f>IF(B18="NEUTRAL","TS","OS")</f>
        <v/>
      </c>
      <c r="D18" t="n">
        <v>5</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IF(AND(B18="NEUTRAL",F18="Low"),"LOW",IF(AND(C18="TS",F18="High",D18=3),"HIGH",IF(AND(C18="TS",F18="High",OR(D18=2,D18=4)),"MODERATE",IF(AND(C18="TS",F18="High",OR(D18=1,D18=5)),"LOW",IF(AND(C18="OS",E18="Consistent",OR(D18=1,D18=5)),"MODERATE",IF(AND(C18="OS",E18="Partially Consistent",OR(D18=2,D18=4)),"MODERATE","LOW"))))))</f>
        <v/>
      </c>
      <c r="H18" t="inlineStr"/>
      <c r="I18" t="inlineStr"/>
      <c r="J18" t="inlineStr"/>
      <c r="K18" t="inlineStr"/>
      <c r="L18" t="inlineStr"/>
      <c r="M18" t="inlineStr">
        <is>
          <t>https://www.lazada.com.ph/products/pdp-i4358944057-s24446312395.html</t>
        </is>
      </c>
      <c r="N18" t="n">
        <v>1</v>
      </c>
    </row>
    <row r="19">
      <c r="A19" t="inlineStr">
        <is>
          <t>effectiveness: refreshing citrus scent, very good scent: very good eco-friendliness: very good</t>
        </is>
      </c>
      <c r="B19" t="inlineStr">
        <is>
          <t>POSITIVE</t>
        </is>
      </c>
      <c r="C19">
        <f>IF(B19="NEUTRAL","TS","OS")</f>
        <v/>
      </c>
      <c r="D19" t="n">
        <v>5</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IF(AND(B19="NEUTRAL",F19="Low"),"LOW",IF(AND(C19="TS",F19="High",D19=3),"HIGH",IF(AND(C19="TS",F19="High",OR(D19=2,D19=4)),"MODERATE",IF(AND(C19="TS",F19="High",OR(D19=1,D19=5)),"LOW",IF(AND(C19="OS",E19="Consistent",OR(D19=1,D19=5)),"MODERATE",IF(AND(C19="OS",E19="Partially Consistent",OR(D19=2,D19=4)),"MODERATE","LOW"))))))</f>
        <v/>
      </c>
      <c r="H19" t="inlineStr"/>
      <c r="I19" t="inlineStr"/>
      <c r="J19" t="inlineStr"/>
      <c r="K19" t="inlineStr"/>
      <c r="L19" t="inlineStr"/>
      <c r="M19" t="inlineStr">
        <is>
          <t>https://www.lazada.com.ph/products/pdp-i4358944057-s24446312395.html</t>
        </is>
      </c>
      <c r="N19" t="n">
        <v>1</v>
      </c>
    </row>
    <row r="20">
      <c r="A20" t="inlineStr">
        <is>
          <t>long-lasting freshness, gentle on hands, convenient and easy to use, great for everyday use,</t>
        </is>
      </c>
      <c r="B20" t="inlineStr">
        <is>
          <t>POSITIVE</t>
        </is>
      </c>
      <c r="C20">
        <f>IF(B20="NEUTRAL","TS","OS")</f>
        <v/>
      </c>
      <c r="D20" t="n">
        <v>5</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IF(AND(B20="NEUTRAL",F20="Low"),"LOW",IF(AND(C20="TS",F20="High",D20=3),"HIGH",IF(AND(C20="TS",F20="High",OR(D20=2,D20=4)),"MODERATE",IF(AND(C20="TS",F20="High",OR(D20=1,D20=5)),"LOW",IF(AND(C20="OS",E20="Consistent",OR(D20=1,D20=5)),"MODERATE",IF(AND(C20="OS",E20="Partially Consistent",OR(D20=2,D20=4)),"MODERATE","LOW"))))))</f>
        <v/>
      </c>
      <c r="H20" t="inlineStr"/>
      <c r="I20" t="inlineStr"/>
      <c r="J20" t="inlineStr"/>
      <c r="K20" t="inlineStr"/>
      <c r="L20" t="inlineStr"/>
      <c r="M20" t="inlineStr">
        <is>
          <t>https://www.lazada.com.ph/products/pdp-i4358944057-s24446312395.html</t>
        </is>
      </c>
      <c r="N20" t="n">
        <v>1</v>
      </c>
    </row>
    <row r="21">
      <c r="A21" t="inlineStr">
        <is>
          <t>effectiveness: 10 leaves dishes sparkling clean, scent: 10 good nice scent perfect eco-friendliness: 9refreshing citrus scent, and</t>
        </is>
      </c>
      <c r="B21" t="inlineStr">
        <is>
          <t>POSITIVE</t>
        </is>
      </c>
      <c r="C21">
        <f>IF(B21="NEUTRAL","TS","OS")</f>
        <v/>
      </c>
      <c r="D21" t="n">
        <v>5</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IF(AND(B21="NEUTRAL",F21="Low"),"LOW",IF(AND(C21="TS",F21="High",D21=3),"HIGH",IF(AND(C21="TS",F21="High",OR(D21=2,D21=4)),"MODERATE",IF(AND(C21="TS",F21="High",OR(D21=1,D21=5)),"LOW",IF(AND(C21="OS",E21="Consistent",OR(D21=1,D21=5)),"MODERATE",IF(AND(C21="OS",E21="Partially Consistent",OR(D21=2,D21=4)),"MODERATE","LOW"))))))</f>
        <v/>
      </c>
      <c r="H21" t="inlineStr"/>
      <c r="I21" t="inlineStr"/>
      <c r="J21" t="inlineStr"/>
      <c r="K21" t="inlineStr"/>
      <c r="L21" t="inlineStr"/>
      <c r="M21" t="inlineStr">
        <is>
          <t>https://www.lazada.com.ph/products/pdp-i4358944057-s24446312395.html</t>
        </is>
      </c>
      <c r="N21" t="n">
        <v>1</v>
      </c>
    </row>
    <row r="22">
      <c r="A22" t="inlineStr">
        <is>
          <t>mwdyo natagaln sa deliver sanay aq sa inio na mabilis lng pro ok lng nmn. nagawa kna man na ang bngo bagong labas lng ata ng flavor na ito blueberry splash salamat po seller at sa lazada ganon din kay kuya rider</t>
        </is>
      </c>
      <c r="B22" t="inlineStr">
        <is>
          <t>NEUTRAL</t>
        </is>
      </c>
      <c r="C22">
        <f>IF(B22="NEUTRAL","TS","OS")</f>
        <v/>
      </c>
      <c r="D22" t="n">
        <v>4</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IF(AND(B22="NEUTRAL",F22="Low"),"LOW",IF(AND(C22="TS",F22="High",D22=3),"HIGH",IF(AND(C22="TS",F22="High",OR(D22=2,D22=4)),"MODERATE",IF(AND(C22="TS",F22="High",OR(D22=1,D22=5)),"LOW",IF(AND(C22="OS",E22="Consistent",OR(D22=1,D22=5)),"MODERATE",IF(AND(C22="OS",E22="Partially Consistent",OR(D22=2,D22=4)),"MODERATE","LOW"))))))</f>
        <v/>
      </c>
      <c r="H22" t="inlineStr"/>
      <c r="I22" t="inlineStr"/>
      <c r="J22" t="inlineStr"/>
      <c r="K22" t="inlineStr"/>
      <c r="L22" t="inlineStr"/>
      <c r="M22" t="inlineStr">
        <is>
          <t>https://www.lazada.com.ph/products/pdp-i4358944057-s24446312395.html</t>
        </is>
      </c>
      <c r="N22" t="n">
        <v>1</v>
      </c>
    </row>
    <row r="23">
      <c r="A23" t="inlineStr">
        <is>
          <t>hindi man binalot ng maayos ni seller kahit nilagyan man lang ng karton or sana kahit sinulat na lang yung word na fragile sa labas.</t>
        </is>
      </c>
      <c r="B23" t="inlineStr">
        <is>
          <t>NEGATIVE</t>
        </is>
      </c>
      <c r="C23">
        <f>IF(B23="NEUTRAL","TS","OS")</f>
        <v/>
      </c>
      <c r="D23" t="n">
        <v>4</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IF(AND(B23="NEUTRAL",F23="Low"),"LOW",IF(AND(C23="TS",F23="High",D23=3),"HIGH",IF(AND(C23="TS",F23="High",OR(D23=2,D23=4)),"MODERATE",IF(AND(C23="TS",F23="High",OR(D23=1,D23=5)),"LOW",IF(AND(C23="OS",E23="Consistent",OR(D23=1,D23=5)),"MODERATE",IF(AND(C23="OS",E23="Partially Consistent",OR(D23=2,D23=4)),"MODERATE","LOW"))))))</f>
        <v/>
      </c>
      <c r="H23" t="inlineStr"/>
      <c r="I23" t="inlineStr"/>
      <c r="J23" t="inlineStr"/>
      <c r="K23" t="inlineStr"/>
      <c r="L23" t="inlineStr"/>
      <c r="M23" t="inlineStr">
        <is>
          <t>https://www.lazada.com.ph/products/pdp-i4358944057-s24446312395.html</t>
        </is>
      </c>
      <c r="N23" t="n">
        <v>1</v>
      </c>
    </row>
    <row r="24">
      <c r="A24" t="inlineStr">
        <is>
          <t>wala nmn damage o anumng sira sa parcel madaming beses nako s2 nag orxer try nio po. . maraming salmat seller at kay lazada ganon din s inyong rider.</t>
        </is>
      </c>
      <c r="B24" t="inlineStr">
        <is>
          <t>NEGATIVE</t>
        </is>
      </c>
      <c r="C24">
        <f>IF(B24="NEUTRAL","TS","OS")</f>
        <v/>
      </c>
      <c r="D24" t="n">
        <v>4</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IF(AND(B24="NEUTRAL",F24="Low"),"LOW",IF(AND(C24="TS",F24="High",D24=3),"HIGH",IF(AND(C24="TS",F24="High",OR(D24=2,D24=4)),"MODERATE",IF(AND(C24="TS",F24="High",OR(D24=1,D24=5)),"LOW",IF(AND(C24="OS",E24="Consistent",OR(D24=1,D24=5)),"MODERATE",IF(AND(C24="OS",E24="Partially Consistent",OR(D24=2,D24=4)),"MODERATE","LOW"))))))</f>
        <v/>
      </c>
      <c r="H24" t="inlineStr"/>
      <c r="I24" t="inlineStr"/>
      <c r="J24" t="inlineStr"/>
      <c r="K24" t="inlineStr"/>
      <c r="L24" t="inlineStr"/>
      <c r="M24" t="inlineStr">
        <is>
          <t>https://www.lazada.com.ph/products/pdp-i4358944057-s24446312395.html</t>
        </is>
      </c>
      <c r="N24" t="n">
        <v>1</v>
      </c>
    </row>
    <row r="25">
      <c r="A25" t="inlineStr">
        <is>
          <t>effectiveness: nnnnnn scent: nnnnnn eco-friendliness: nnnnnn</t>
        </is>
      </c>
      <c r="B25" t="inlineStr">
        <is>
          <t>NEGATIVE</t>
        </is>
      </c>
      <c r="C25">
        <f>IF(B25="NEUTRAL","TS","OS")</f>
        <v/>
      </c>
      <c r="D25" t="n">
        <v>4</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IF(AND(B25="NEUTRAL",F25="Low"),"LOW",IF(AND(C25="TS",F25="High",D25=3),"HIGH",IF(AND(C25="TS",F25="High",OR(D25=2,D25=4)),"MODERATE",IF(AND(C25="TS",F25="High",OR(D25=1,D25=5)),"LOW",IF(AND(C25="OS",E25="Consistent",OR(D25=1,D25=5)),"MODERATE",IF(AND(C25="OS",E25="Partially Consistent",OR(D25=2,D25=4)),"MODERATE","LOW"))))))</f>
        <v/>
      </c>
      <c r="H25" t="inlineStr"/>
      <c r="I25" t="inlineStr"/>
      <c r="J25" t="inlineStr"/>
      <c r="K25" t="inlineStr"/>
      <c r="L25" t="inlineStr"/>
      <c r="M25" t="inlineStr">
        <is>
          <t>https://www.lazada.com.ph/products/pdp-i4358944057-s24446312395.html</t>
        </is>
      </c>
      <c r="N25" t="n">
        <v>1</v>
      </c>
    </row>
    <row r="26">
      <c r="A26" t="inlineStr">
        <is>
          <t>great for everyday use, versatile scent options,</t>
        </is>
      </c>
      <c r="B26" t="inlineStr">
        <is>
          <t>POSITIVE</t>
        </is>
      </c>
      <c r="C26">
        <f>IF(B26="NEUTRAL","TS","OS")</f>
        <v/>
      </c>
      <c r="D26" t="n">
        <v>4</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IF(AND(B26="NEUTRAL",F26="Low"),"LOW",IF(AND(C26="TS",F26="High",D26=3),"HIGH",IF(AND(C26="TS",F26="High",OR(D26=2,D26=4)),"MODERATE",IF(AND(C26="TS",F26="High",OR(D26=1,D26=5)),"LOW",IF(AND(C26="OS",E26="Consistent",OR(D26=1,D26=5)),"MODERATE",IF(AND(C26="OS",E26="Partially Consistent",OR(D26=2,D26=4)),"MODERATE","LOW"))))))</f>
        <v/>
      </c>
      <c r="H26" t="inlineStr"/>
      <c r="I26" t="inlineStr"/>
      <c r="J26" t="inlineStr"/>
      <c r="K26" t="inlineStr"/>
      <c r="L26" t="inlineStr"/>
      <c r="M26" t="inlineStr">
        <is>
          <t>https://www.lazada.com.ph/products/pdp-i4358944057-s24446312395.html</t>
        </is>
      </c>
      <c r="N26" t="n">
        <v>1</v>
      </c>
    </row>
    <row r="27">
      <c r="A27" t="inlineStr">
        <is>
          <t>medyo natagalan ang deliver nasanay kz a mabilis lng ewan kun nagkaponlema sa pag pick up. pero ok lng nagawa kna ang bango ni aat malapot naman salamat selle at s lazada ganon din kay kiya rider</t>
        </is>
      </c>
      <c r="B27" t="inlineStr">
        <is>
          <t>NEUTRAL</t>
        </is>
      </c>
      <c r="C27">
        <f>IF(B27="NEUTRAL","TS","OS")</f>
        <v/>
      </c>
      <c r="D27" t="n">
        <v>4</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IF(AND(B27="NEUTRAL",F27="Low"),"LOW",IF(AND(C27="TS",F27="High",D27=3),"HIGH",IF(AND(C27="TS",F27="High",OR(D27=2,D27=4)),"MODERATE",IF(AND(C27="TS",F27="High",OR(D27=1,D27=5)),"LOW",IF(AND(C27="OS",E27="Consistent",OR(D27=1,D27=5)),"MODERATE",IF(AND(C27="OS",E27="Partially Consistent",OR(D27=2,D27=4)),"MODERATE","LOW"))))))</f>
        <v/>
      </c>
      <c r="H27" t="inlineStr"/>
      <c r="I27" t="inlineStr"/>
      <c r="J27" t="inlineStr"/>
      <c r="K27" t="inlineStr"/>
      <c r="L27" t="inlineStr"/>
      <c r="M27" t="inlineStr">
        <is>
          <t>https://www.lazada.com.ph/products/pdp-i4358944057-s24446312395.html</t>
        </is>
      </c>
      <c r="N27" t="n">
        <v>1</v>
      </c>
    </row>
    <row r="28">
      <c r="A28" t="inlineStr">
        <is>
          <t>ang bilis lang dumating. . thank u po. . will order again pag nau os ko na to. .</t>
        </is>
      </c>
      <c r="B28" t="inlineStr">
        <is>
          <t>POSITIVE</t>
        </is>
      </c>
      <c r="C28">
        <f>IF(B28="NEUTRAL","TS","OS")</f>
        <v/>
      </c>
      <c r="D28" t="n">
        <v>4</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IF(AND(B28="NEUTRAL",F28="Low"),"LOW",IF(AND(C28="TS",F28="High",D28=3),"HIGH",IF(AND(C28="TS",F28="High",OR(D28=2,D28=4)),"MODERATE",IF(AND(C28="TS",F28="High",OR(D28=1,D28=5)),"LOW",IF(AND(C28="OS",E28="Consistent",OR(D28=1,D28=5)),"MODERATE",IF(AND(C28="OS",E28="Partially Consistent",OR(D28=2,D28=4)),"MODERATE","LOW"))))))</f>
        <v/>
      </c>
      <c r="H28" t="inlineStr"/>
      <c r="I28" t="inlineStr"/>
      <c r="J28" t="inlineStr"/>
      <c r="K28" t="inlineStr"/>
      <c r="L28" t="inlineStr"/>
      <c r="M28" t="inlineStr">
        <is>
          <t>https://www.lazada.com.ph/products/pdp-i4358944057-s24446312395.html</t>
        </is>
      </c>
      <c r="N28" t="n">
        <v>1</v>
      </c>
    </row>
    <row r="29">
      <c r="A29" t="inlineStr">
        <is>
          <t>scent: the same as pwd id it was a good day for you guys to come over and</t>
        </is>
      </c>
      <c r="B29" t="inlineStr">
        <is>
          <t>NEUTRAL</t>
        </is>
      </c>
      <c r="C29">
        <f>IF(B29="NEUTRAL","TS","OS")</f>
        <v/>
      </c>
      <c r="D29" t="n">
        <v>4</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IF(AND(B29="NEUTRAL",F29="Low"),"LOW",IF(AND(C29="TS",F29="High",D29=3),"HIGH",IF(AND(C29="TS",F29="High",OR(D29=2,D29=4)),"MODERATE",IF(AND(C29="TS",F29="High",OR(D29=1,D29=5)),"LOW",IF(AND(C29="OS",E29="Consistent",OR(D29=1,D29=5)),"MODERATE",IF(AND(C29="OS",E29="Partially Consistent",OR(D29=2,D29=4)),"MODERATE","LOW"))))))</f>
        <v/>
      </c>
      <c r="H29" t="inlineStr"/>
      <c r="I29" t="inlineStr"/>
      <c r="J29" t="inlineStr"/>
      <c r="K29" t="inlineStr"/>
      <c r="L29" t="inlineStr"/>
      <c r="M29" t="inlineStr">
        <is>
          <t>https://www.lazada.com.ph/products/pdp-i4358944057-s24446312395.html</t>
        </is>
      </c>
      <c r="N29" t="n">
        <v>1</v>
      </c>
    </row>
    <row r="30">
      <c r="A30" t="inlineStr">
        <is>
          <t>ayun na nga nagkalat ang liquid soap medyo madami nasayang. i don' t know if the delivery or the seller is the one responsible. anyways i hope that they check it very well before sending it at also asked the delivery to handle it with care since matusok lang ng onti magkakalat na madami masasayang dahil liquid sya.</t>
        </is>
      </c>
      <c r="B30" t="inlineStr">
        <is>
          <t>NEUTRAL</t>
        </is>
      </c>
      <c r="C30">
        <f>IF(B30="NEUTRAL","TS","OS")</f>
        <v/>
      </c>
      <c r="D30" t="n">
        <v>4</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IF(AND(B30="NEUTRAL",F30="Low"),"LOW",IF(AND(C30="TS",F30="High",D30=3),"HIGH",IF(AND(C30="TS",F30="High",OR(D30=2,D30=4)),"MODERATE",IF(AND(C30="TS",F30="High",OR(D30=1,D30=5)),"LOW",IF(AND(C30="OS",E30="Consistent",OR(D30=1,D30=5)),"MODERATE",IF(AND(C30="OS",E30="Partially Consistent",OR(D30=2,D30=4)),"MODERATE","LOW"))))))</f>
        <v/>
      </c>
      <c r="H30" t="inlineStr"/>
      <c r="I30" t="inlineStr"/>
      <c r="J30" t="inlineStr"/>
      <c r="K30" t="inlineStr"/>
      <c r="L30" t="inlineStr"/>
      <c r="M30" t="inlineStr">
        <is>
          <t>https://www.lazada.com.ph/products/pdp-i4358944057-s24446312395.html</t>
        </is>
      </c>
      <c r="N30" t="n">
        <v>1</v>
      </c>
    </row>
    <row r="31">
      <c r="A31" t="inlineStr">
        <is>
          <t>thank you seller and sa rider</t>
        </is>
      </c>
      <c r="B31" t="inlineStr">
        <is>
          <t>POSITIVE</t>
        </is>
      </c>
      <c r="C31">
        <f>IF(B31="NEUTRAL","TS","OS")</f>
        <v/>
      </c>
      <c r="D31" t="n">
        <v>4</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IF(AND(B31="NEUTRAL",F31="Low"),"LOW",IF(AND(C31="TS",F31="High",D31=3),"HIGH",IF(AND(C31="TS",F31="High",OR(D31=2,D31=4)),"MODERATE",IF(AND(C31="TS",F31="High",OR(D31=1,D31=5)),"LOW",IF(AND(C31="OS",E31="Consistent",OR(D31=1,D31=5)),"MODERATE",IF(AND(C31="OS",E31="Partially Consistent",OR(D31=2,D31=4)),"MODERATE","LOW"))))))</f>
        <v/>
      </c>
      <c r="H31" t="inlineStr"/>
      <c r="I31" t="inlineStr"/>
      <c r="J31" t="inlineStr"/>
      <c r="K31" t="inlineStr"/>
      <c r="L31" t="inlineStr"/>
      <c r="M31" t="inlineStr">
        <is>
          <t>https://www.lazada.com.ph/products/pdp-i4358944057-s24446312395.html</t>
        </is>
      </c>
      <c r="N31" t="n">
        <v>1</v>
      </c>
    </row>
    <row r="32">
      <c r="A32" t="inlineStr">
        <is>
          <t>value for money, gentle on hands, versatile scent options, efficient cleaning power, eco-friendly packaging,</t>
        </is>
      </c>
      <c r="B32" t="inlineStr">
        <is>
          <t>NEGATIVE</t>
        </is>
      </c>
      <c r="C32">
        <f>IF(B32="NEUTRAL","TS","OS")</f>
        <v/>
      </c>
      <c r="D32" t="n">
        <v>4</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IF(AND(B32="NEUTRAL",F32="Low"),"LOW",IF(AND(C32="TS",F32="High",D32=3),"HIGH",IF(AND(C32="TS",F32="High",OR(D32=2,D32=4)),"MODERATE",IF(AND(C32="TS",F32="High",OR(D32=1,D32=5)),"LOW",IF(AND(C32="OS",E32="Consistent",OR(D32=1,D32=5)),"MODERATE",IF(AND(C32="OS",E32="Partially Consistent",OR(D32=2,D32=4)),"MODERATE","LOW"))))))</f>
        <v/>
      </c>
      <c r="H32" t="inlineStr"/>
      <c r="I32" t="inlineStr"/>
      <c r="J32" t="inlineStr"/>
      <c r="K32" t="inlineStr"/>
      <c r="L32" t="inlineStr"/>
      <c r="M32" t="inlineStr">
        <is>
          <t>https://www.lazada.com.ph/products/pdp-i4358944057-s24446312395.html</t>
        </is>
      </c>
      <c r="N32" t="n">
        <v>1</v>
      </c>
    </row>
    <row r="33">
      <c r="A33" t="inlineStr">
        <is>
          <t>value for money, convenient and easy to use, great for everyday use, xkkzksjxksksjdjxnsjsjx</t>
        </is>
      </c>
      <c r="B33" t="inlineStr">
        <is>
          <t>POSITIVE</t>
        </is>
      </c>
      <c r="C33">
        <f>IF(B33="NEUTRAL","TS","OS")</f>
        <v/>
      </c>
      <c r="D33" t="n">
        <v>4</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IF(AND(B33="NEUTRAL",F33="Low"),"LOW",IF(AND(C33="TS",F33="High",D33=3),"HIGH",IF(AND(C33="TS",F33="High",OR(D33=2,D33=4)),"MODERATE",IF(AND(C33="TS",F33="High",OR(D33=1,D33=5)),"LOW",IF(AND(C33="OS",E33="Consistent",OR(D33=1,D33=5)),"MODERATE",IF(AND(C33="OS",E33="Partially Consistent",OR(D33=2,D33=4)),"MODERATE","LOW"))))))</f>
        <v/>
      </c>
      <c r="H33" t="inlineStr"/>
      <c r="I33" t="inlineStr"/>
      <c r="J33" t="inlineStr"/>
      <c r="K33" t="inlineStr"/>
      <c r="L33" t="inlineStr"/>
      <c r="M33" t="inlineStr">
        <is>
          <t>https://www.lazada.com.ph/products/pdp-i4358944057-s24446312395.html</t>
        </is>
      </c>
      <c r="N33" t="n">
        <v>1</v>
      </c>
    </row>
    <row r="34">
      <c r="A34" t="inlineStr">
        <is>
          <t>effectiveness: good scent: good eco-friendliness: good great for everyday use, convenient and easy to use. but i was disappointed the items are not complete instead of 6pcs. pack of fave dishwashing liquid i already received 5pcs. only. i pay the said amount but they didn' t give me the complete items i ordered. i keep on chatting with them but they always keep on getting my details only.</t>
        </is>
      </c>
      <c r="B34" t="inlineStr">
        <is>
          <t>NEUTRAL</t>
        </is>
      </c>
      <c r="C34">
        <f>IF(B34="NEUTRAL","TS","OS")</f>
        <v/>
      </c>
      <c r="D34" t="n">
        <v>4</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IF(AND(B34="NEUTRAL",F34="Low"),"LOW",IF(AND(C34="TS",F34="High",D34=3),"HIGH",IF(AND(C34="TS",F34="High",OR(D34=2,D34=4)),"MODERATE",IF(AND(C34="TS",F34="High",OR(D34=1,D34=5)),"LOW",IF(AND(C34="OS",E34="Consistent",OR(D34=1,D34=5)),"MODERATE",IF(AND(C34="OS",E34="Partially Consistent",OR(D34=2,D34=4)),"MODERATE","LOW"))))))</f>
        <v/>
      </c>
      <c r="H34" t="inlineStr"/>
      <c r="I34" t="inlineStr"/>
      <c r="J34" t="inlineStr"/>
      <c r="K34" t="inlineStr"/>
      <c r="L34" t="inlineStr"/>
      <c r="M34" t="inlineStr">
        <is>
          <t>https://www.lazada.com.ph/products/pdp-i4358944057-s24446312395.html</t>
        </is>
      </c>
      <c r="N34" t="n">
        <v>1</v>
      </c>
    </row>
    <row r="35">
      <c r="A35" t="inlineStr">
        <is>
          <t>great for everyday use, eco-friendly packaging, efficient cleaning power, affordable price</t>
        </is>
      </c>
      <c r="B35" t="inlineStr">
        <is>
          <t>POSITIVE</t>
        </is>
      </c>
      <c r="C35">
        <f>IF(B35="NEUTRAL","TS","OS")</f>
        <v/>
      </c>
      <c r="D35" t="n">
        <v>4</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IF(AND(B35="NEUTRAL",F35="Low"),"LOW",IF(AND(C35="TS",F35="High",D35=3),"HIGH",IF(AND(C35="TS",F35="High",OR(D35=2,D35=4)),"MODERATE",IF(AND(C35="TS",F35="High",OR(D35=1,D35=5)),"LOW",IF(AND(C35="OS",E35="Consistent",OR(D35=1,D35=5)),"MODERATE",IF(AND(C35="OS",E35="Partially Consistent",OR(D35=2,D35=4)),"MODERATE","LOW"))))))</f>
        <v/>
      </c>
      <c r="H35" t="inlineStr"/>
      <c r="I35" t="inlineStr"/>
      <c r="J35" t="inlineStr"/>
      <c r="K35" t="inlineStr"/>
      <c r="L35" t="inlineStr"/>
      <c r="M35" t="inlineStr">
        <is>
          <t>https://www.lazada.com.ph/products/pdp-i4358944057-s24446312395.html</t>
        </is>
      </c>
      <c r="N35" t="n">
        <v>1</v>
      </c>
    </row>
    <row r="36">
      <c r="A36" t="inlineStr">
        <is>
          <t>effectiveness: leaves dishes sparkling clean, scent: versatile scent options, eco-friendliness: yes mabango. di naman nakapit amoy pag banlaw</t>
        </is>
      </c>
      <c r="B36" t="inlineStr">
        <is>
          <t>NEUTRAL</t>
        </is>
      </c>
      <c r="C36">
        <f>IF(B36="NEUTRAL","TS","OS")</f>
        <v/>
      </c>
      <c r="D36" t="n">
        <v>4</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IF(AND(B36="NEUTRAL",F36="Low"),"LOW",IF(AND(C36="TS",F36="High",D36=3),"HIGH",IF(AND(C36="TS",F36="High",OR(D36=2,D36=4)),"MODERATE",IF(AND(C36="TS",F36="High",OR(D36=1,D36=5)),"LOW",IF(AND(C36="OS",E36="Consistent",OR(D36=1,D36=5)),"MODERATE",IF(AND(C36="OS",E36="Partially Consistent",OR(D36=2,D36=4)),"MODERATE","LOW"))))))</f>
        <v/>
      </c>
      <c r="H36" t="inlineStr"/>
      <c r="I36" t="inlineStr"/>
      <c r="J36" t="inlineStr"/>
      <c r="K36" t="inlineStr"/>
      <c r="L36" t="inlineStr"/>
      <c r="M36" t="inlineStr">
        <is>
          <t>https://www.lazada.com.ph/products/pdp-i4358944057-s24446312395.html</t>
        </is>
      </c>
      <c r="N36" t="n">
        <v>1</v>
      </c>
    </row>
    <row r="37">
      <c r="A37" t="inlineStr">
        <is>
          <t>ayos nmn po ang parcel wala damage o anumang sira. . madaming beses nko nag order d2 itoy subok kna po. . salamat seller at sa lazada ganon din sa inyong rider</t>
        </is>
      </c>
      <c r="B37" t="inlineStr">
        <is>
          <t>POSITIVE</t>
        </is>
      </c>
      <c r="C37">
        <f>IF(B37="NEUTRAL","TS","OS")</f>
        <v/>
      </c>
      <c r="D37" t="n">
        <v>4</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IF(AND(B37="NEUTRAL",F37="Low"),"LOW",IF(AND(C37="TS",F37="High",D37=3),"HIGH",IF(AND(C37="TS",F37="High",OR(D37=2,D37=4)),"MODERATE",IF(AND(C37="TS",F37="High",OR(D37=1,D37=5)),"LOW",IF(AND(C37="OS",E37="Consistent",OR(D37=1,D37=5)),"MODERATE",IF(AND(C37="OS",E37="Partially Consistent",OR(D37=2,D37=4)),"MODERATE","LOW"))))))</f>
        <v/>
      </c>
      <c r="H37" t="inlineStr"/>
      <c r="I37" t="inlineStr"/>
      <c r="J37" t="inlineStr"/>
      <c r="K37" t="inlineStr"/>
      <c r="L37" t="inlineStr"/>
      <c r="M37" t="inlineStr">
        <is>
          <t>https://www.lazada.com.ph/products/pdp-i4358944057-s24446312395.html</t>
        </is>
      </c>
      <c r="N37" t="n">
        <v>1</v>
      </c>
    </row>
    <row r="38">
      <c r="A38" t="inlineStr">
        <is>
          <t>quality: 9 value for money: 9 packaging: 9 okay na okay xa</t>
        </is>
      </c>
      <c r="B38" t="inlineStr">
        <is>
          <t>NEUTRAL</t>
        </is>
      </c>
      <c r="C38">
        <f>IF(B38="NEUTRAL","TS","OS")</f>
        <v/>
      </c>
      <c r="D38" t="n">
        <v>4</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IF(AND(B38="NEUTRAL",F38="Low"),"LOW",IF(AND(C38="TS",F38="High",D38=3),"HIGH",IF(AND(C38="TS",F38="High",OR(D38=2,D38=4)),"MODERATE",IF(AND(C38="TS",F38="High",OR(D38=1,D38=5)),"LOW",IF(AND(C38="OS",E38="Consistent",OR(D38=1,D38=5)),"MODERATE",IF(AND(C38="OS",E38="Partially Consistent",OR(D38=2,D38=4)),"MODERATE","LOW"))))))</f>
        <v/>
      </c>
      <c r="H38" t="inlineStr"/>
      <c r="I38" t="inlineStr"/>
      <c r="J38" t="inlineStr"/>
      <c r="K38" t="inlineStr"/>
      <c r="L38" t="inlineStr"/>
      <c r="M38" t="inlineStr">
        <is>
          <t>https://www.lazada.com.ph/products/pdp-i4358944057-s24446312395.html</t>
        </is>
      </c>
      <c r="N38" t="n">
        <v>1</v>
      </c>
    </row>
    <row r="39">
      <c r="A39" t="inlineStr">
        <is>
          <t>great for everyday use,</t>
        </is>
      </c>
      <c r="B39" t="inlineStr">
        <is>
          <t>POSITIVE</t>
        </is>
      </c>
      <c r="C39">
        <f>IF(B39="NEUTRAL","TS","OS")</f>
        <v/>
      </c>
      <c r="D39" t="n">
        <v>4</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IF(AND(B39="NEUTRAL",F39="Low"),"LOW",IF(AND(C39="TS",F39="High",D39=3),"HIGH",IF(AND(C39="TS",F39="High",OR(D39=2,D39=4)),"MODERATE",IF(AND(C39="TS",F39="High",OR(D39=1,D39=5)),"LOW",IF(AND(C39="OS",E39="Consistent",OR(D39=1,D39=5)),"MODERATE",IF(AND(C39="OS",E39="Partially Consistent",OR(D39=2,D39=4)),"MODERATE","LOW"))))))</f>
        <v/>
      </c>
      <c r="H39" t="inlineStr"/>
      <c r="I39" t="inlineStr"/>
      <c r="J39" t="inlineStr"/>
      <c r="K39" t="inlineStr"/>
      <c r="L39" t="inlineStr"/>
      <c r="M39" t="inlineStr">
        <is>
          <t>https://www.lazada.com.ph/products/pdp-i4358944057-s24446312395.html</t>
        </is>
      </c>
      <c r="N39" t="n">
        <v>1</v>
      </c>
    </row>
    <row r="40">
      <c r="A40" t="inlineStr">
        <is>
          <t>ang tagal dumating. .</t>
        </is>
      </c>
      <c r="B40" t="inlineStr">
        <is>
          <t>NEGATIVE</t>
        </is>
      </c>
      <c r="C40">
        <f>IF(B40="NEUTRAL","TS","OS")</f>
        <v/>
      </c>
      <c r="D40" t="n">
        <v>4</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IF(AND(B40="NEUTRAL",F40="Low"),"LOW",IF(AND(C40="TS",F40="High",D40=3),"HIGH",IF(AND(C40="TS",F40="High",OR(D40=2,D40=4)),"MODERATE",IF(AND(C40="TS",F40="High",OR(D40=1,D40=5)),"LOW",IF(AND(C40="OS",E40="Consistent",OR(D40=1,D40=5)),"MODERATE",IF(AND(C40="OS",E40="Partially Consistent",OR(D40=2,D40=4)),"MODERATE","LOW"))))))</f>
        <v/>
      </c>
      <c r="H40" t="inlineStr"/>
      <c r="I40" t="inlineStr"/>
      <c r="J40" t="inlineStr"/>
      <c r="K40" t="inlineStr"/>
      <c r="L40" t="inlineStr"/>
      <c r="M40" t="inlineStr">
        <is>
          <t>https://www.lazada.com.ph/products/pdp-i4358944057-s24446312395.html</t>
        </is>
      </c>
      <c r="N40" t="n">
        <v>1</v>
      </c>
    </row>
    <row r="41">
      <c r="A41" t="inlineStr">
        <is>
          <t>ang tagal dumating. . nakakayamot. .</t>
        </is>
      </c>
      <c r="B41" t="inlineStr">
        <is>
          <t>NEGATIVE</t>
        </is>
      </c>
      <c r="C41">
        <f>IF(B41="NEUTRAL","TS","OS")</f>
        <v/>
      </c>
      <c r="D41" t="n">
        <v>4</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IF(AND(B41="NEUTRAL",F41="Low"),"LOW",IF(AND(C41="TS",F41="High",D41=3),"HIGH",IF(AND(C41="TS",F41="High",OR(D41=2,D41=4)),"MODERATE",IF(AND(C41="TS",F41="High",OR(D41=1,D41=5)),"LOW",IF(AND(C41="OS",E41="Consistent",OR(D41=1,D41=5)),"MODERATE",IF(AND(C41="OS",E41="Partially Consistent",OR(D41=2,D41=4)),"MODERATE","LOW"))))))</f>
        <v/>
      </c>
      <c r="H41" t="inlineStr"/>
      <c r="I41" t="inlineStr"/>
      <c r="J41" t="inlineStr"/>
      <c r="K41" t="inlineStr"/>
      <c r="L41" t="inlineStr"/>
      <c r="M41" t="inlineStr">
        <is>
          <t>https://www.lazada.com.ph/products/pdp-i4358944057-s24446312395.html</t>
        </is>
      </c>
      <c r="N41" t="n">
        <v>1</v>
      </c>
    </row>
    <row r="42">
      <c r="A42" t="inlineStr">
        <is>
          <t>wrong item. i ordered lemon but you sent me calamansi. next time please double check the order before packing</t>
        </is>
      </c>
      <c r="B42" t="inlineStr">
        <is>
          <t>NEUTRAL</t>
        </is>
      </c>
      <c r="C42">
        <f>IF(B42="NEUTRAL","TS","OS")</f>
        <v/>
      </c>
      <c r="D42" t="n">
        <v>2</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IF(AND(B42="NEUTRAL",F42="Low"),"LOW",IF(AND(C42="TS",F42="High",D42=3),"HIGH",IF(AND(C42="TS",F42="High",OR(D42=2,D42=4)),"MODERATE",IF(AND(C42="TS",F42="High",OR(D42=1,D42=5)),"LOW",IF(AND(C42="OS",E42="Consistent",OR(D42=1,D42=5)),"MODERATE",IF(AND(C42="OS",E42="Partially Consistent",OR(D42=2,D42=4)),"MODERATE","LOW"))))))</f>
        <v/>
      </c>
      <c r="H42" t="inlineStr"/>
      <c r="I42" t="inlineStr"/>
      <c r="J42" t="inlineStr"/>
      <c r="K42" t="inlineStr"/>
      <c r="L42" t="inlineStr"/>
      <c r="M42" t="inlineStr">
        <is>
          <t>https://www.lazada.com.ph/products/pdp-i4358944057-s24446312395.html</t>
        </is>
      </c>
      <c r="N42" t="n">
        <v>1</v>
      </c>
    </row>
    <row r="43">
      <c r="A43" t="inlineStr">
        <is>
          <t>late delivery driver tag on first day of delivery customer request for redelivery didn' t inform me for that, and i didn' t request for redelivery</t>
        </is>
      </c>
      <c r="B43" t="inlineStr">
        <is>
          <t>NEGATIVE</t>
        </is>
      </c>
      <c r="C43">
        <f>IF(B43="NEUTRAL","TS","OS")</f>
        <v/>
      </c>
      <c r="D43" t="n">
        <v>2</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IF(AND(B43="NEUTRAL",F43="Low"),"LOW",IF(AND(C43="TS",F43="High",D43=3),"HIGH",IF(AND(C43="TS",F43="High",OR(D43=2,D43=4)),"MODERATE",IF(AND(C43="TS",F43="High",OR(D43=1,D43=5)),"LOW",IF(AND(C43="OS",E43="Consistent",OR(D43=1,D43=5)),"MODERATE",IF(AND(C43="OS",E43="Partially Consistent",OR(D43=2,D43=4)),"MODERATE","LOW"))))))</f>
        <v/>
      </c>
      <c r="H43" t="inlineStr"/>
      <c r="I43" t="inlineStr"/>
      <c r="J43" t="inlineStr"/>
      <c r="K43" t="inlineStr"/>
      <c r="L43" t="inlineStr"/>
      <c r="M43" t="inlineStr">
        <is>
          <t>https://www.lazada.com.ph/products/pdp-i4358944057-s24446312395.html</t>
        </is>
      </c>
      <c r="N43" t="n">
        <v>1</v>
      </c>
    </row>
    <row r="44">
      <c r="A44" t="inlineStr">
        <is>
          <t>kulang po ung order ko na dumating dapat 18l po ung kalamansi. . 6l lang po ang dumating</t>
        </is>
      </c>
      <c r="B44" t="inlineStr">
        <is>
          <t>NEGATIVE</t>
        </is>
      </c>
      <c r="C44">
        <f>IF(B44="NEUTRAL","TS","OS")</f>
        <v/>
      </c>
      <c r="D44" t="n">
        <v>2</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IF(AND(B44="NEUTRAL",F44="Low"),"LOW",IF(AND(C44="TS",F44="High",D44=3),"HIGH",IF(AND(C44="TS",F44="High",OR(D44=2,D44=4)),"MODERATE",IF(AND(C44="TS",F44="High",OR(D44=1,D44=5)),"LOW",IF(AND(C44="OS",E44="Consistent",OR(D44=1,D44=5)),"MODERATE",IF(AND(C44="OS",E44="Partially Consistent",OR(D44=2,D44=4)),"MODERATE","LOW"))))))</f>
        <v/>
      </c>
      <c r="H44" t="inlineStr"/>
      <c r="I44" t="inlineStr"/>
      <c r="J44" t="inlineStr"/>
      <c r="K44" t="inlineStr"/>
      <c r="L44" t="inlineStr"/>
      <c r="M44" t="inlineStr">
        <is>
          <t>https://www.lazada.com.ph/products/pdp-i4358944057-s24446312395.html</t>
        </is>
      </c>
      <c r="N44" t="n">
        <v>1</v>
      </c>
    </row>
    <row r="45">
      <c r="A45" t="inlineStr">
        <is>
          <t>ano ba yan seller. . hnd nyo binalot ng maayos. . dapat nilagyan nyo ng carton. . natapon</t>
        </is>
      </c>
      <c r="B45" t="inlineStr">
        <is>
          <t>NEGATIVE</t>
        </is>
      </c>
      <c r="C45">
        <f>IF(B45="NEUTRAL","TS","OS")</f>
        <v/>
      </c>
      <c r="D45" t="n">
        <v>2</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IF(AND(B45="NEUTRAL",F45="Low"),"LOW",IF(AND(C45="TS",F45="High",D45=3),"HIGH",IF(AND(C45="TS",F45="High",OR(D45=2,D45=4)),"MODERATE",IF(AND(C45="TS",F45="High",OR(D45=1,D45=5)),"LOW",IF(AND(C45="OS",E45="Consistent",OR(D45=1,D45=5)),"MODERATE",IF(AND(C45="OS",E45="Partially Consistent",OR(D45=2,D45=4)),"MODERATE","LOW"))))))</f>
        <v/>
      </c>
      <c r="H45" t="inlineStr"/>
      <c r="I45" t="inlineStr"/>
      <c r="J45" t="inlineStr"/>
      <c r="K45" t="inlineStr"/>
      <c r="L45" t="inlineStr"/>
      <c r="M45" t="inlineStr">
        <is>
          <t>https://www.lazada.com.ph/products/pdp-i4358944057-s24446312395.html</t>
        </is>
      </c>
      <c r="N45" t="n">
        <v>1</v>
      </c>
    </row>
    <row r="46">
      <c r="A46" t="inlineStr">
        <is>
          <t>eco-friendliness: convenient and easy to use, great for everyday use,</t>
        </is>
      </c>
      <c r="B46" t="inlineStr">
        <is>
          <t>POSITIVE</t>
        </is>
      </c>
      <c r="C46">
        <f>IF(B46="NEUTRAL","TS","OS")</f>
        <v/>
      </c>
      <c r="D46" t="n">
        <v>2</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IF(AND(B46="NEUTRAL",F46="Low"),"LOW",IF(AND(C46="TS",F46="High",D46=3),"HIGH",IF(AND(C46="TS",F46="High",OR(D46=2,D46=4)),"MODERATE",IF(AND(C46="TS",F46="High",OR(D46=1,D46=5)),"LOW",IF(AND(C46="OS",E46="Consistent",OR(D46=1,D46=5)),"MODERATE",IF(AND(C46="OS",E46="Partially Consistent",OR(D46=2,D46=4)),"MODERATE","LOW"))))))</f>
        <v/>
      </c>
      <c r="H46" t="inlineStr"/>
      <c r="I46" t="inlineStr"/>
      <c r="J46" t="inlineStr"/>
      <c r="K46" t="inlineStr"/>
      <c r="L46" t="inlineStr"/>
      <c r="M46" t="inlineStr">
        <is>
          <t>https://www.lazada.com.ph/products/pdp-i4358944057-s24446312395.html</t>
        </is>
      </c>
      <c r="N46" t="n">
        <v>1</v>
      </c>
    </row>
    <row r="47">
      <c r="A47" t="inlineStr">
        <is>
          <t>leaves dishes sparkling clean,</t>
        </is>
      </c>
      <c r="B47" t="inlineStr">
        <is>
          <t>NEGATIVE</t>
        </is>
      </c>
      <c r="C47">
        <f>IF(B47="NEUTRAL","TS","OS")</f>
        <v/>
      </c>
      <c r="D47" t="n">
        <v>2</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IF(AND(B47="NEUTRAL",F47="Low"),"LOW",IF(AND(C47="TS",F47="High",D47=3),"HIGH",IF(AND(C47="TS",F47="High",OR(D47=2,D47=4)),"MODERATE",IF(AND(C47="TS",F47="High",OR(D47=1,D47=5)),"LOW",IF(AND(C47="OS",E47="Consistent",OR(D47=1,D47=5)),"MODERATE",IF(AND(C47="OS",E47="Partially Consistent",OR(D47=2,D47=4)),"MODERATE","LOW"))))))</f>
        <v/>
      </c>
      <c r="H47" t="inlineStr"/>
      <c r="I47" t="inlineStr"/>
      <c r="J47" t="inlineStr"/>
      <c r="K47" t="inlineStr"/>
      <c r="L47" t="inlineStr"/>
      <c r="M47" t="inlineStr">
        <is>
          <t>https://www.lazada.com.ph/products/pdp-i4358944057-s24446312395.html</t>
        </is>
      </c>
      <c r="N47" t="n">
        <v>1</v>
      </c>
    </row>
    <row r="48">
      <c r="A48" t="inlineStr">
        <is>
          <t>i received the item kanina. di ko agad nabuksan kasi umalis kami. ang order ko po is 6liters and 1 liters. ang dumating 3liters lang pumapatak na 60pesos lang ang item na pinadala nyo. ang tagal din ng deliver.</t>
        </is>
      </c>
      <c r="B48" t="inlineStr">
        <is>
          <t>NEGATIVE</t>
        </is>
      </c>
      <c r="C48">
        <f>IF(B48="NEUTRAL","TS","OS")</f>
        <v/>
      </c>
      <c r="D48" t="n">
        <v>2</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IF(AND(B48="NEUTRAL",F48="Low"),"LOW",IF(AND(C48="TS",F48="High",D48=3),"HIGH",IF(AND(C48="TS",F48="High",OR(D48=2,D48=4)),"MODERATE",IF(AND(C48="TS",F48="High",OR(D48=1,D48=5)),"LOW",IF(AND(C48="OS",E48="Consistent",OR(D48=1,D48=5)),"MODERATE",IF(AND(C48="OS",E48="Partially Consistent",OR(D48=2,D48=4)),"MODERATE","LOW"))))))</f>
        <v/>
      </c>
      <c r="H48" t="inlineStr"/>
      <c r="I48" t="inlineStr"/>
      <c r="J48" t="inlineStr"/>
      <c r="K48" t="inlineStr"/>
      <c r="L48" t="inlineStr"/>
      <c r="M48" t="inlineStr">
        <is>
          <t>https://www.lazada.com.ph/products/pdp-i4358944057-s24446312395.html</t>
        </is>
      </c>
      <c r="N48" t="n">
        <v>1</v>
      </c>
    </row>
    <row r="49">
      <c r="A49" t="inlineStr">
        <is>
          <t>i received the item kanina. di ko agad nabuksan kasi umalis kami. ang order ko po is 6liters and 1 liters. ang dumating 3liters lang pumapatak na 60pesos lang ang item na pinadala nyo. ang tagal din ng deliver.</t>
        </is>
      </c>
      <c r="B49" t="inlineStr">
        <is>
          <t>NEGATIVE</t>
        </is>
      </c>
      <c r="C49">
        <f>IF(B49="NEUTRAL","TS","OS")</f>
        <v/>
      </c>
      <c r="D49" t="n">
        <v>2</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IF(AND(B49="NEUTRAL",F49="Low"),"LOW",IF(AND(C49="TS",F49="High",D49=3),"HIGH",IF(AND(C49="TS",F49="High",OR(D49=2,D49=4)),"MODERATE",IF(AND(C49="TS",F49="High",OR(D49=1,D49=5)),"LOW",IF(AND(C49="OS",E49="Consistent",OR(D49=1,D49=5)),"MODERATE",IF(AND(C49="OS",E49="Partially Consistent",OR(D49=2,D49=4)),"MODERATE","LOW"))))))</f>
        <v/>
      </c>
      <c r="H49" t="inlineStr"/>
      <c r="I49" t="inlineStr"/>
      <c r="J49" t="inlineStr"/>
      <c r="K49" t="inlineStr"/>
      <c r="L49" t="inlineStr"/>
      <c r="M49" t="inlineStr">
        <is>
          <t>https://www.lazada.com.ph/products/pdp-i4358944057-s24446312395.html</t>
        </is>
      </c>
      <c r="N49" t="n">
        <v>1</v>
      </c>
    </row>
    <row r="50">
      <c r="A50" t="inlineStr">
        <is>
          <t>ung deliver po skin mali, , 18 liters po ing inorder co e 6 liters lang po ang dumating. antibac po</t>
        </is>
      </c>
      <c r="B50" t="inlineStr">
        <is>
          <t>NEGATIVE</t>
        </is>
      </c>
      <c r="C50">
        <f>IF(B50="NEUTRAL","TS","OS")</f>
        <v/>
      </c>
      <c r="D50" t="n">
        <v>2</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IF(AND(B50="NEUTRAL",F50="Low"),"LOW",IF(AND(C50="TS",F50="High",D50=3),"HIGH",IF(AND(C50="TS",F50="High",OR(D50=2,D50=4)),"MODERATE",IF(AND(C50="TS",F50="High",OR(D50=1,D50=5)),"LOW",IF(AND(C50="OS",E50="Consistent",OR(D50=1,D50=5)),"MODERATE",IF(AND(C50="OS",E50="Partially Consistent",OR(D50=2,D50=4)),"MODERATE","LOW"))))))</f>
        <v/>
      </c>
      <c r="H50" t="inlineStr"/>
      <c r="I50" t="inlineStr"/>
      <c r="J50" t="inlineStr"/>
      <c r="K50" t="inlineStr"/>
      <c r="L50" t="inlineStr"/>
      <c r="M50" t="inlineStr">
        <is>
          <t>https://www.lazada.com.ph/products/pdp-i4358944057-s24446312395.html</t>
        </is>
      </c>
      <c r="N50" t="n">
        <v>1</v>
      </c>
    </row>
    <row r="51">
      <c r="A51" t="inlineStr">
        <is>
          <t>di mabango.</t>
        </is>
      </c>
      <c r="B51" t="inlineStr">
        <is>
          <t>NEUTRAL</t>
        </is>
      </c>
      <c r="C51">
        <f>IF(B51="NEUTRAL","TS","OS")</f>
        <v/>
      </c>
      <c r="D51" t="n">
        <v>2</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IF(AND(B51="NEUTRAL",F51="Low"),"LOW",IF(AND(C51="TS",F51="High",D51=3),"HIGH",IF(AND(C51="TS",F51="High",OR(D51=2,D51=4)),"MODERATE",IF(AND(C51="TS",F51="High",OR(D51=1,D51=5)),"LOW",IF(AND(C51="OS",E51="Consistent",OR(D51=1,D51=5)),"MODERATE",IF(AND(C51="OS",E51="Partially Consistent",OR(D51=2,D51=4)),"MODERATE","LOW"))))))</f>
        <v/>
      </c>
      <c r="H51" t="inlineStr"/>
      <c r="I51" t="inlineStr"/>
      <c r="J51" t="inlineStr"/>
      <c r="K51" t="inlineStr"/>
      <c r="L51" t="inlineStr"/>
      <c r="M51" t="inlineStr">
        <is>
          <t>https://www.lazada.com.ph/products/pdp-i4358944057-s24446312395.html</t>
        </is>
      </c>
      <c r="N51" t="n">
        <v>1</v>
      </c>
    </row>
    <row r="52">
      <c r="A52" t="inlineStr">
        <is>
          <t>nag iiba na timpla niyo lumabnaw na tapos hndi po pasyadong green. . yan yung dati natira malamnaw din tapos dumating ngayon malabnaw na maputla pa hay</t>
        </is>
      </c>
      <c r="B52" t="inlineStr">
        <is>
          <t>NEGATIVE</t>
        </is>
      </c>
      <c r="C52">
        <f>IF(B52="NEUTRAL","TS","OS")</f>
        <v/>
      </c>
      <c r="D52" t="n">
        <v>2</v>
      </c>
      <c r="E52">
        <f>IF(C52="TS",IF(D52=3,"Consistent",IF(OR(D52=2,D52=4),"Partially Consistent","Inconsistent")),IF(D52=3,"Inconsistent",IF(AND(D52=5,B52="POSITIVE"),"Consistent",IF(AND(D52=1,B52="NEGATIVE"),"Consistent",IF(AND(D52=4,B52="POSITIVE"),"Partially Consistent",IF(AND(D52=2,B52="NEGATIVE"),"Partially Consistent","Inconsistent"))))))</f>
        <v/>
      </c>
      <c r="F52">
        <f>IF(C52="TS","High","Low")</f>
        <v/>
      </c>
      <c r="G52">
        <f>IF(AND(B52="NEUTRAL",F52="Low"),"LOW",IF(AND(C52="TS",F52="High",D52=3),"HIGH",IF(AND(C52="TS",F52="High",OR(D52=2,D52=4)),"MODERATE",IF(AND(C52="TS",F52="High",OR(D52=1,D52=5)),"LOW",IF(AND(C52="OS",E52="Consistent",OR(D52=1,D52=5)),"MODERATE",IF(AND(C52="OS",E52="Partially Consistent",OR(D52=2,D52=4)),"MODERATE","LOW"))))))</f>
        <v/>
      </c>
      <c r="H52" t="inlineStr"/>
      <c r="I52" t="inlineStr"/>
      <c r="J52" t="inlineStr"/>
      <c r="K52" t="inlineStr"/>
      <c r="L52" t="inlineStr"/>
      <c r="M52" t="inlineStr">
        <is>
          <t>https://www.lazada.com.ph/products/pdp-i4358944057-s24446312395.html</t>
        </is>
      </c>
      <c r="N52" t="n">
        <v>1</v>
      </c>
    </row>
    <row r="53">
      <c r="A53" t="inlineStr">
        <is>
          <t>mabango pero masyadong maaksaya bago makalinis ng hugasin. . saglit lng nmn naubos ang 3l</t>
        </is>
      </c>
      <c r="B53" t="inlineStr">
        <is>
          <t>NEUTRAL</t>
        </is>
      </c>
      <c r="C53">
        <f>IF(B53="NEUTRAL","TS","OS")</f>
        <v/>
      </c>
      <c r="D53" t="n">
        <v>2</v>
      </c>
      <c r="E53">
        <f>IF(C53="TS",IF(D53=3,"Consistent",IF(OR(D53=2,D53=4),"Partially Consistent","Inconsistent")),IF(D53=3,"Inconsistent",IF(AND(D53=5,B53="POSITIVE"),"Consistent",IF(AND(D53=1,B53="NEGATIVE"),"Consistent",IF(AND(D53=4,B53="POSITIVE"),"Partially Consistent",IF(AND(D53=2,B53="NEGATIVE"),"Partially Consistent","Inconsistent"))))))</f>
        <v/>
      </c>
      <c r="F53">
        <f>IF(C53="TS","High","Low")</f>
        <v/>
      </c>
      <c r="G53">
        <f>IF(AND(B53="NEUTRAL",F53="Low"),"LOW",IF(AND(C53="TS",F53="High",D53=3),"HIGH",IF(AND(C53="TS",F53="High",OR(D53=2,D53=4)),"MODERATE",IF(AND(C53="TS",F53="High",OR(D53=1,D53=5)),"LOW",IF(AND(C53="OS",E53="Consistent",OR(D53=1,D53=5)),"MODERATE",IF(AND(C53="OS",E53="Partially Consistent",OR(D53=2,D53=4)),"MODERATE","LOW"))))))</f>
        <v/>
      </c>
      <c r="H53" t="inlineStr"/>
      <c r="I53" t="inlineStr"/>
      <c r="J53" t="inlineStr"/>
      <c r="K53" t="inlineStr"/>
      <c r="L53" t="inlineStr"/>
      <c r="M53" t="inlineStr">
        <is>
          <t>https://www.lazada.com.ph/products/pdp-i4358944057-s24446312395.html</t>
        </is>
      </c>
      <c r="N53" t="n">
        <v>1</v>
      </c>
    </row>
    <row r="54">
      <c r="A54" t="inlineStr">
        <is>
          <t>hindi na tulad ng dti malabnaw. n. hhnap nko ng ibang seller.</t>
        </is>
      </c>
      <c r="B54" t="inlineStr">
        <is>
          <t>NEGATIVE</t>
        </is>
      </c>
      <c r="C54">
        <f>IF(B54="NEUTRAL","TS","OS")</f>
        <v/>
      </c>
      <c r="D54" t="n">
        <v>2</v>
      </c>
      <c r="E54">
        <f>IF(C54="TS",IF(D54=3,"Consistent",IF(OR(D54=2,D54=4),"Partially Consistent","Inconsistent")),IF(D54=3,"Inconsistent",IF(AND(D54=5,B54="POSITIVE"),"Consistent",IF(AND(D54=1,B54="NEGATIVE"),"Consistent",IF(AND(D54=4,B54="POSITIVE"),"Partially Consistent",IF(AND(D54=2,B54="NEGATIVE"),"Partially Consistent","Inconsistent"))))))</f>
        <v/>
      </c>
      <c r="F54">
        <f>IF(C54="TS","High","Low")</f>
        <v/>
      </c>
      <c r="G54">
        <f>IF(AND(B54="NEUTRAL",F54="Low"),"LOW",IF(AND(C54="TS",F54="High",D54=3),"HIGH",IF(AND(C54="TS",F54="High",OR(D54=2,D54=4)),"MODERATE",IF(AND(C54="TS",F54="High",OR(D54=1,D54=5)),"LOW",IF(AND(C54="OS",E54="Consistent",OR(D54=1,D54=5)),"MODERATE",IF(AND(C54="OS",E54="Partially Consistent",OR(D54=2,D54=4)),"MODERATE","LOW"))))))</f>
        <v/>
      </c>
      <c r="H54" t="inlineStr"/>
      <c r="I54" t="inlineStr"/>
      <c r="J54" t="inlineStr"/>
      <c r="K54" t="inlineStr"/>
      <c r="L54" t="inlineStr"/>
      <c r="M54" t="inlineStr">
        <is>
          <t>https://www.lazada.com.ph/products/pdp-i4358944057-s24446312395.html</t>
        </is>
      </c>
      <c r="N54" t="n">
        <v>1</v>
      </c>
    </row>
    <row r="55">
      <c r="A55" t="inlineStr">
        <is>
          <t>wrong flavor ung isa, i ordered 1 lemon and 1 calamansi, dumating po 2 calamansi flavor</t>
        </is>
      </c>
      <c r="B55" t="inlineStr">
        <is>
          <t>NEGATIVE</t>
        </is>
      </c>
      <c r="C55">
        <f>IF(B55="NEUTRAL","TS","OS")</f>
        <v/>
      </c>
      <c r="D55" t="n">
        <v>2</v>
      </c>
      <c r="E55">
        <f>IF(C55="TS",IF(D55=3,"Consistent",IF(OR(D55=2,D55=4),"Partially Consistent","Inconsistent")),IF(D55=3,"Inconsistent",IF(AND(D55=5,B55="POSITIVE"),"Consistent",IF(AND(D55=1,B55="NEGATIVE"),"Consistent",IF(AND(D55=4,B55="POSITIVE"),"Partially Consistent",IF(AND(D55=2,B55="NEGATIVE"),"Partially Consistent","Inconsistent"))))))</f>
        <v/>
      </c>
      <c r="F55">
        <f>IF(C55="TS","High","Low")</f>
        <v/>
      </c>
      <c r="G55">
        <f>IF(AND(B55="NEUTRAL",F55="Low"),"LOW",IF(AND(C55="TS",F55="High",D55=3),"HIGH",IF(AND(C55="TS",F55="High",OR(D55=2,D55=4)),"MODERATE",IF(AND(C55="TS",F55="High",OR(D55=1,D55=5)),"LOW",IF(AND(C55="OS",E55="Consistent",OR(D55=1,D55=5)),"MODERATE",IF(AND(C55="OS",E55="Partially Consistent",OR(D55=2,D55=4)),"MODERATE","LOW"))))))</f>
        <v/>
      </c>
      <c r="H55" t="inlineStr"/>
      <c r="I55" t="inlineStr"/>
      <c r="J55" t="inlineStr"/>
      <c r="K55" t="inlineStr"/>
      <c r="L55" t="inlineStr"/>
      <c r="M55" t="inlineStr">
        <is>
          <t>https://www.lazada.com.ph/products/pdp-i4358944057-s24446312395.html</t>
        </is>
      </c>
      <c r="N55" t="n">
        <v>1</v>
      </c>
    </row>
    <row r="56">
      <c r="A56" t="inlineStr">
        <is>
          <t>ok</t>
        </is>
      </c>
      <c r="B56" t="inlineStr">
        <is>
          <t>NEUTRAL</t>
        </is>
      </c>
      <c r="C56">
        <f>IF(B56="NEUTRAL","TS","OS")</f>
        <v/>
      </c>
      <c r="D56" t="n">
        <v>2</v>
      </c>
      <c r="E56">
        <f>IF(C56="TS",IF(D56=3,"Consistent",IF(OR(D56=2,D56=4),"Partially Consistent","Inconsistent")),IF(D56=3,"Inconsistent",IF(AND(D56=5,B56="POSITIVE"),"Consistent",IF(AND(D56=1,B56="NEGATIVE"),"Consistent",IF(AND(D56=4,B56="POSITIVE"),"Partially Consistent",IF(AND(D56=2,B56="NEGATIVE"),"Partially Consistent","Inconsistent"))))))</f>
        <v/>
      </c>
      <c r="F56">
        <f>IF(C56="TS","High","Low")</f>
        <v/>
      </c>
      <c r="G56">
        <f>IF(AND(B56="NEUTRAL",F56="Low"),"LOW",IF(AND(C56="TS",F56="High",D56=3),"HIGH",IF(AND(C56="TS",F56="High",OR(D56=2,D56=4)),"MODERATE",IF(AND(C56="TS",F56="High",OR(D56=1,D56=5)),"LOW",IF(AND(C56="OS",E56="Consistent",OR(D56=1,D56=5)),"MODERATE",IF(AND(C56="OS",E56="Partially Consistent",OR(D56=2,D56=4)),"MODERATE","LOW"))))))</f>
        <v/>
      </c>
      <c r="H56" t="inlineStr"/>
      <c r="I56" t="inlineStr"/>
      <c r="J56" t="inlineStr"/>
      <c r="K56" t="inlineStr"/>
      <c r="L56" t="inlineStr"/>
      <c r="M56" t="inlineStr">
        <is>
          <t>https://www.lazada.com.ph/products/pdp-i4358944057-s24446312395.html</t>
        </is>
      </c>
      <c r="N56" t="n">
        <v>1</v>
      </c>
    </row>
    <row r="57">
      <c r="A57" t="inlineStr">
        <is>
          <t>pag tumagal ang baho nya</t>
        </is>
      </c>
      <c r="B57" t="inlineStr">
        <is>
          <t>NEUTRAL</t>
        </is>
      </c>
      <c r="C57">
        <f>IF(B57="NEUTRAL","TS","OS")</f>
        <v/>
      </c>
      <c r="D57" t="n">
        <v>2</v>
      </c>
      <c r="E57">
        <f>IF(C57="TS",IF(D57=3,"Consistent",IF(OR(D57=2,D57=4),"Partially Consistent","Inconsistent")),IF(D57=3,"Inconsistent",IF(AND(D57=5,B57="POSITIVE"),"Consistent",IF(AND(D57=1,B57="NEGATIVE"),"Consistent",IF(AND(D57=4,B57="POSITIVE"),"Partially Consistent",IF(AND(D57=2,B57="NEGATIVE"),"Partially Consistent","Inconsistent"))))))</f>
        <v/>
      </c>
      <c r="F57">
        <f>IF(C57="TS","High","Low")</f>
        <v/>
      </c>
      <c r="G57">
        <f>IF(AND(B57="NEUTRAL",F57="Low"),"LOW",IF(AND(C57="TS",F57="High",D57=3),"HIGH",IF(AND(C57="TS",F57="High",OR(D57=2,D57=4)),"MODERATE",IF(AND(C57="TS",F57="High",OR(D57=1,D57=5)),"LOW",IF(AND(C57="OS",E57="Consistent",OR(D57=1,D57=5)),"MODERATE",IF(AND(C57="OS",E57="Partially Consistent",OR(D57=2,D57=4)),"MODERATE","LOW"))))))</f>
        <v/>
      </c>
      <c r="H57" t="inlineStr"/>
      <c r="I57" t="inlineStr"/>
      <c r="J57" t="inlineStr"/>
      <c r="K57" t="inlineStr"/>
      <c r="L57" t="inlineStr"/>
      <c r="M57" t="inlineStr">
        <is>
          <t>https://www.lazada.com.ph/products/pdp-i4358944057-s24446312395.html</t>
        </is>
      </c>
      <c r="N57" t="n">
        <v>1</v>
      </c>
    </row>
    <row r="58">
      <c r="A58" t="inlineStr">
        <is>
          <t>efficient cleaning power,</t>
        </is>
      </c>
      <c r="B58" t="inlineStr">
        <is>
          <t>NEGATIVE</t>
        </is>
      </c>
      <c r="C58">
        <f>IF(B58="NEUTRAL","TS","OS")</f>
        <v/>
      </c>
      <c r="D58" t="n">
        <v>2</v>
      </c>
      <c r="E58">
        <f>IF(C58="TS",IF(D58=3,"Consistent",IF(OR(D58=2,D58=4),"Partially Consistent","Inconsistent")),IF(D58=3,"Inconsistent",IF(AND(D58=5,B58="POSITIVE"),"Consistent",IF(AND(D58=1,B58="NEGATIVE"),"Consistent",IF(AND(D58=4,B58="POSITIVE"),"Partially Consistent",IF(AND(D58=2,B58="NEGATIVE"),"Partially Consistent","Inconsistent"))))))</f>
        <v/>
      </c>
      <c r="F58">
        <f>IF(C58="TS","High","Low")</f>
        <v/>
      </c>
      <c r="G58">
        <f>IF(AND(B58="NEUTRAL",F58="Low"),"LOW",IF(AND(C58="TS",F58="High",D58=3),"HIGH",IF(AND(C58="TS",F58="High",OR(D58=2,D58=4)),"MODERATE",IF(AND(C58="TS",F58="High",OR(D58=1,D58=5)),"LOW",IF(AND(C58="OS",E58="Consistent",OR(D58=1,D58=5)),"MODERATE",IF(AND(C58="OS",E58="Partially Consistent",OR(D58=2,D58=4)),"MODERATE","LOW"))))))</f>
        <v/>
      </c>
      <c r="H58" t="inlineStr"/>
      <c r="I58" t="inlineStr"/>
      <c r="J58" t="inlineStr"/>
      <c r="K58" t="inlineStr"/>
      <c r="L58" t="inlineStr"/>
      <c r="M58" t="inlineStr">
        <is>
          <t>https://www.lazada.com.ph/products/pdp-i4358944057-s24446312395.html</t>
        </is>
      </c>
      <c r="N58" t="n">
        <v>1</v>
      </c>
    </row>
    <row r="59">
      <c r="A59" t="inlineStr">
        <is>
          <t>bt mlbnaw n xa kht konti lng ung tubig</t>
        </is>
      </c>
      <c r="B59" t="inlineStr">
        <is>
          <t>NEGATIVE</t>
        </is>
      </c>
      <c r="C59">
        <f>IF(B59="NEUTRAL","TS","OS")</f>
        <v/>
      </c>
      <c r="D59" t="n">
        <v>2</v>
      </c>
      <c r="E59">
        <f>IF(C59="TS",IF(D59=3,"Consistent",IF(OR(D59=2,D59=4),"Partially Consistent","Inconsistent")),IF(D59=3,"Inconsistent",IF(AND(D59=5,B59="POSITIVE"),"Consistent",IF(AND(D59=1,B59="NEGATIVE"),"Consistent",IF(AND(D59=4,B59="POSITIVE"),"Partially Consistent",IF(AND(D59=2,B59="NEGATIVE"),"Partially Consistent","Inconsistent"))))))</f>
        <v/>
      </c>
      <c r="F59">
        <f>IF(C59="TS","High","Low")</f>
        <v/>
      </c>
      <c r="G59">
        <f>IF(AND(B59="NEUTRAL",F59="Low"),"LOW",IF(AND(C59="TS",F59="High",D59=3),"HIGH",IF(AND(C59="TS",F59="High",OR(D59=2,D59=4)),"MODERATE",IF(AND(C59="TS",F59="High",OR(D59=1,D59=5)),"LOW",IF(AND(C59="OS",E59="Consistent",OR(D59=1,D59=5)),"MODERATE",IF(AND(C59="OS",E59="Partially Consistent",OR(D59=2,D59=4)),"MODERATE","LOW"))))))</f>
        <v/>
      </c>
      <c r="H59" t="inlineStr"/>
      <c r="I59" t="inlineStr"/>
      <c r="J59" t="inlineStr"/>
      <c r="K59" t="inlineStr"/>
      <c r="L59" t="inlineStr"/>
      <c r="M59" t="inlineStr">
        <is>
          <t>https://www.lazada.com.ph/products/pdp-i4358944057-s24446312395.html</t>
        </is>
      </c>
      <c r="N59" t="n">
        <v>1</v>
      </c>
    </row>
    <row r="60">
      <c r="A60" t="inlineStr">
        <is>
          <t>effectiveness: 30% scent: yes i used 2 liters instead of 2. 5 nag sigurado akong mag bawas ng tubig, hindi pa rin effective. pwedi sa walang mantika.</t>
        </is>
      </c>
      <c r="B60" t="inlineStr">
        <is>
          <t>NEGATIVE</t>
        </is>
      </c>
      <c r="C60">
        <f>IF(B60="NEUTRAL","TS","OS")</f>
        <v/>
      </c>
      <c r="D60" t="n">
        <v>2</v>
      </c>
      <c r="E60">
        <f>IF(C60="TS",IF(D60=3,"Consistent",IF(OR(D60=2,D60=4),"Partially Consistent","Inconsistent")),IF(D60=3,"Inconsistent",IF(AND(D60=5,B60="POSITIVE"),"Consistent",IF(AND(D60=1,B60="NEGATIVE"),"Consistent",IF(AND(D60=4,B60="POSITIVE"),"Partially Consistent",IF(AND(D60=2,B60="NEGATIVE"),"Partially Consistent","Inconsistent"))))))</f>
        <v/>
      </c>
      <c r="F60">
        <f>IF(C60="TS","High","Low")</f>
        <v/>
      </c>
      <c r="G60">
        <f>IF(AND(B60="NEUTRAL",F60="Low"),"LOW",IF(AND(C60="TS",F60="High",D60=3),"HIGH",IF(AND(C60="TS",F60="High",OR(D60=2,D60=4)),"MODERATE",IF(AND(C60="TS",F60="High",OR(D60=1,D60=5)),"LOW",IF(AND(C60="OS",E60="Consistent",OR(D60=1,D60=5)),"MODERATE",IF(AND(C60="OS",E60="Partially Consistent",OR(D60=2,D60=4)),"MODERATE","LOW"))))))</f>
        <v/>
      </c>
      <c r="H60" t="inlineStr"/>
      <c r="I60" t="inlineStr"/>
      <c r="J60" t="inlineStr"/>
      <c r="K60" t="inlineStr"/>
      <c r="L60" t="inlineStr"/>
      <c r="M60" t="inlineStr">
        <is>
          <t>https://www.lazada.com.ph/products/pdp-i4358944057-s24446312395.html</t>
        </is>
      </c>
      <c r="N60" t="n">
        <v>1</v>
      </c>
    </row>
    <row r="61">
      <c r="A61" t="inlineStr">
        <is>
          <t>long-lasting freshness, great for everyday use scent: mabango</t>
        </is>
      </c>
      <c r="B61" t="inlineStr">
        <is>
          <t>POSITIVE</t>
        </is>
      </c>
      <c r="C61">
        <f>IF(B61="NEUTRAL","TS","OS")</f>
        <v/>
      </c>
      <c r="D61" t="n">
        <v>2</v>
      </c>
      <c r="E61">
        <f>IF(C61="TS",IF(D61=3,"Consistent",IF(OR(D61=2,D61=4),"Partially Consistent","Inconsistent")),IF(D61=3,"Inconsistent",IF(AND(D61=5,B61="POSITIVE"),"Consistent",IF(AND(D61=1,B61="NEGATIVE"),"Consistent",IF(AND(D61=4,B61="POSITIVE"),"Partially Consistent",IF(AND(D61=2,B61="NEGATIVE"),"Partially Consistent","Inconsistent"))))))</f>
        <v/>
      </c>
      <c r="F61">
        <f>IF(C61="TS","High","Low")</f>
        <v/>
      </c>
      <c r="G61">
        <f>IF(AND(B61="NEUTRAL",F61="Low"),"LOW",IF(AND(C61="TS",F61="High",D61=3),"HIGH",IF(AND(C61="TS",F61="High",OR(D61=2,D61=4)),"MODERATE",IF(AND(C61="TS",F61="High",OR(D61=1,D61=5)),"LOW",IF(AND(C61="OS",E61="Consistent",OR(D61=1,D61=5)),"MODERATE",IF(AND(C61="OS",E61="Partially Consistent",OR(D61=2,D61=4)),"MODERATE","LOW"))))))</f>
        <v/>
      </c>
      <c r="H61" t="inlineStr"/>
      <c r="I61" t="inlineStr"/>
      <c r="J61" t="inlineStr"/>
      <c r="K61" t="inlineStr"/>
      <c r="L61" t="inlineStr"/>
      <c r="M61" t="inlineStr">
        <is>
          <t>https://www.lazada.com.ph/products/pdp-i4358944057-s24446312395.html</t>
        </is>
      </c>
      <c r="N61" t="n">
        <v>1</v>
      </c>
    </row>
    <row r="62">
      <c r="A62" t="inlineStr">
        <is>
          <t>long-lasting freshness, long-lasting freshness, long-lasting freshness, long-lasting freshness, long-lasting freshness,</t>
        </is>
      </c>
      <c r="B62" t="inlineStr">
        <is>
          <t>NEUTRAL</t>
        </is>
      </c>
      <c r="C62">
        <f>IF(B62="NEUTRAL","TS","OS")</f>
        <v/>
      </c>
      <c r="D62" t="n">
        <v>1</v>
      </c>
      <c r="E62">
        <f>IF(C62="TS",IF(D62=3,"Consistent",IF(OR(D62=2,D62=4),"Partially Consistent","Inconsistent")),IF(D62=3,"Inconsistent",IF(AND(D62=5,B62="POSITIVE"),"Consistent",IF(AND(D62=1,B62="NEGATIVE"),"Consistent",IF(AND(D62=4,B62="POSITIVE"),"Partially Consistent",IF(AND(D62=2,B62="NEGATIVE"),"Partially Consistent","Inconsistent"))))))</f>
        <v/>
      </c>
      <c r="F62">
        <f>IF(C62="TS","High","Low")</f>
        <v/>
      </c>
      <c r="G62">
        <f>IF(AND(B62="NEUTRAL",F62="Low"),"LOW",IF(AND(C62="TS",F62="High",D62=3),"HIGH",IF(AND(C62="TS",F62="High",OR(D62=2,D62=4)),"MODERATE",IF(AND(C62="TS",F62="High",OR(D62=1,D62=5)),"LOW",IF(AND(C62="OS",E62="Consistent",OR(D62=1,D62=5)),"MODERATE",IF(AND(C62="OS",E62="Partially Consistent",OR(D62=2,D62=4)),"MODERATE","LOW"))))))</f>
        <v/>
      </c>
      <c r="H62" t="inlineStr"/>
      <c r="I62" t="inlineStr"/>
      <c r="J62" t="inlineStr"/>
      <c r="K62" t="inlineStr"/>
      <c r="L62" t="inlineStr"/>
      <c r="M62" t="inlineStr">
        <is>
          <t>https://www.lazada.com.ph/products/pdp-i4358944057-s24446312395.html</t>
        </is>
      </c>
      <c r="N62" t="n">
        <v>1</v>
      </c>
    </row>
    <row r="63">
      <c r="A63" t="inlineStr">
        <is>
          <t>2 items bakit isa lng dumating</t>
        </is>
      </c>
      <c r="B63" t="inlineStr">
        <is>
          <t>NEGATIVE</t>
        </is>
      </c>
      <c r="C63">
        <f>IF(B63="NEUTRAL","TS","OS")</f>
        <v/>
      </c>
      <c r="D63" t="n">
        <v>1</v>
      </c>
      <c r="E63">
        <f>IF(C63="TS",IF(D63=3,"Consistent",IF(OR(D63=2,D63=4),"Partially Consistent","Inconsistent")),IF(D63=3,"Inconsistent",IF(AND(D63=5,B63="POSITIVE"),"Consistent",IF(AND(D63=1,B63="NEGATIVE"),"Consistent",IF(AND(D63=4,B63="POSITIVE"),"Partially Consistent",IF(AND(D63=2,B63="NEGATIVE"),"Partially Consistent","Inconsistent"))))))</f>
        <v/>
      </c>
      <c r="F63">
        <f>IF(C63="TS","High","Low")</f>
        <v/>
      </c>
      <c r="G63">
        <f>IF(AND(B63="NEUTRAL",F63="Low"),"LOW",IF(AND(C63="TS",F63="High",D63=3),"HIGH",IF(AND(C63="TS",F63="High",OR(D63=2,D63=4)),"MODERATE",IF(AND(C63="TS",F63="High",OR(D63=1,D63=5)),"LOW",IF(AND(C63="OS",E63="Consistent",OR(D63=1,D63=5)),"MODERATE",IF(AND(C63="OS",E63="Partially Consistent",OR(D63=2,D63=4)),"MODERATE","LOW"))))))</f>
        <v/>
      </c>
      <c r="H63" t="inlineStr"/>
      <c r="I63" t="inlineStr"/>
      <c r="J63" t="inlineStr"/>
      <c r="K63" t="inlineStr"/>
      <c r="L63" t="inlineStr"/>
      <c r="M63" t="inlineStr">
        <is>
          <t>https://www.lazada.com.ph/products/pdp-i4358944057-s24446312395.html</t>
        </is>
      </c>
      <c r="N63" t="n">
        <v>1</v>
      </c>
    </row>
    <row r="64">
      <c r="A64" t="inlineStr">
        <is>
          <t>nabutas ung plastic</t>
        </is>
      </c>
      <c r="B64" t="inlineStr">
        <is>
          <t>NEGATIVE</t>
        </is>
      </c>
      <c r="C64">
        <f>IF(B64="NEUTRAL","TS","OS")</f>
        <v/>
      </c>
      <c r="D64" t="n">
        <v>1</v>
      </c>
      <c r="E64">
        <f>IF(C64="TS",IF(D64=3,"Consistent",IF(OR(D64=2,D64=4),"Partially Consistent","Inconsistent")),IF(D64=3,"Inconsistent",IF(AND(D64=5,B64="POSITIVE"),"Consistent",IF(AND(D64=1,B64="NEGATIVE"),"Consistent",IF(AND(D64=4,B64="POSITIVE"),"Partially Consistent",IF(AND(D64=2,B64="NEGATIVE"),"Partially Consistent","Inconsistent"))))))</f>
        <v/>
      </c>
      <c r="F64">
        <f>IF(C64="TS","High","Low")</f>
        <v/>
      </c>
      <c r="G64">
        <f>IF(AND(B64="NEUTRAL",F64="Low"),"LOW",IF(AND(C64="TS",F64="High",D64=3),"HIGH",IF(AND(C64="TS",F64="High",OR(D64=2,D64=4)),"MODERATE",IF(AND(C64="TS",F64="High",OR(D64=1,D64=5)),"LOW",IF(AND(C64="OS",E64="Consistent",OR(D64=1,D64=5)),"MODERATE",IF(AND(C64="OS",E64="Partially Consistent",OR(D64=2,D64=4)),"MODERATE","LOW"))))))</f>
        <v/>
      </c>
      <c r="H64" t="inlineStr"/>
      <c r="I64" t="inlineStr"/>
      <c r="J64" t="inlineStr"/>
      <c r="K64" t="inlineStr"/>
      <c r="L64" t="inlineStr"/>
      <c r="M64" t="inlineStr">
        <is>
          <t>https://www.lazada.com.ph/products/pdp-i4358944057-s24446312395.html</t>
        </is>
      </c>
      <c r="N64" t="n">
        <v>1</v>
      </c>
    </row>
    <row r="65">
      <c r="A65" t="inlineStr">
        <is>
          <t>ang labnaw hindi manlang lumapot 4. 5 litera na nilagay ko tubig tulok at bulok ang fave easymix</t>
        </is>
      </c>
      <c r="B65" t="inlineStr">
        <is>
          <t>NEGATIVE</t>
        </is>
      </c>
      <c r="C65">
        <f>IF(B65="NEUTRAL","TS","OS")</f>
        <v/>
      </c>
      <c r="D65" t="n">
        <v>1</v>
      </c>
      <c r="E65">
        <f>IF(C65="TS",IF(D65=3,"Consistent",IF(OR(D65=2,D65=4),"Partially Consistent","Inconsistent")),IF(D65=3,"Inconsistent",IF(AND(D65=5,B65="POSITIVE"),"Consistent",IF(AND(D65=1,B65="NEGATIVE"),"Consistent",IF(AND(D65=4,B65="POSITIVE"),"Partially Consistent",IF(AND(D65=2,B65="NEGATIVE"),"Partially Consistent","Inconsistent"))))))</f>
        <v/>
      </c>
      <c r="F65">
        <f>IF(C65="TS","High","Low")</f>
        <v/>
      </c>
      <c r="G65">
        <f>IF(AND(B65="NEUTRAL",F65="Low"),"LOW",IF(AND(C65="TS",F65="High",D65=3),"HIGH",IF(AND(C65="TS",F65="High",OR(D65=2,D65=4)),"MODERATE",IF(AND(C65="TS",F65="High",OR(D65=1,D65=5)),"LOW",IF(AND(C65="OS",E65="Consistent",OR(D65=1,D65=5)),"MODERATE",IF(AND(C65="OS",E65="Partially Consistent",OR(D65=2,D65=4)),"MODERATE","LOW"))))))</f>
        <v/>
      </c>
      <c r="H65" t="inlineStr"/>
      <c r="I65" t="inlineStr"/>
      <c r="J65" t="inlineStr"/>
      <c r="K65" t="inlineStr"/>
      <c r="L65" t="inlineStr"/>
      <c r="M65" t="inlineStr">
        <is>
          <t>https://www.lazada.com.ph/products/pdp-i4358944057-s24446312395.html</t>
        </is>
      </c>
      <c r="N65" t="n">
        <v>1</v>
      </c>
    </row>
    <row r="66">
      <c r="A66" t="inlineStr">
        <is>
          <t>tagal mag response</t>
        </is>
      </c>
      <c r="B66" t="inlineStr">
        <is>
          <t>NEGATIVE</t>
        </is>
      </c>
      <c r="C66">
        <f>IF(B66="NEUTRAL","TS","OS")</f>
        <v/>
      </c>
      <c r="D66" t="n">
        <v>1</v>
      </c>
      <c r="E66">
        <f>IF(C66="TS",IF(D66=3,"Consistent",IF(OR(D66=2,D66=4),"Partially Consistent","Inconsistent")),IF(D66=3,"Inconsistent",IF(AND(D66=5,B66="POSITIVE"),"Consistent",IF(AND(D66=1,B66="NEGATIVE"),"Consistent",IF(AND(D66=4,B66="POSITIVE"),"Partially Consistent",IF(AND(D66=2,B66="NEGATIVE"),"Partially Consistent","Inconsistent"))))))</f>
        <v/>
      </c>
      <c r="F66">
        <f>IF(C66="TS","High","Low")</f>
        <v/>
      </c>
      <c r="G66">
        <f>IF(AND(B66="NEUTRAL",F66="Low"),"LOW",IF(AND(C66="TS",F66="High",D66=3),"HIGH",IF(AND(C66="TS",F66="High",OR(D66=2,D66=4)),"MODERATE",IF(AND(C66="TS",F66="High",OR(D66=1,D66=5)),"LOW",IF(AND(C66="OS",E66="Consistent",OR(D66=1,D66=5)),"MODERATE",IF(AND(C66="OS",E66="Partially Consistent",OR(D66=2,D66=4)),"MODERATE","LOW"))))))</f>
        <v/>
      </c>
      <c r="H66" t="inlineStr"/>
      <c r="I66" t="inlineStr"/>
      <c r="J66" t="inlineStr"/>
      <c r="K66" t="inlineStr"/>
      <c r="L66" t="inlineStr"/>
      <c r="M66" t="inlineStr">
        <is>
          <t>https://www.lazada.com.ph/products/pdp-i4358944057-s24446312395.html</t>
        </is>
      </c>
      <c r="N66" t="n">
        <v>1</v>
      </c>
    </row>
    <row r="67">
      <c r="A67" t="inlineStr">
        <is>
          <t>disappointed aq sa pinadala nyo sakin butas ang binigay nyo. maging responsible sana kau sa pagbabalot lagyan nyo ng bubbles wrap para safe ang product nyo! !</t>
        </is>
      </c>
      <c r="B67" t="inlineStr">
        <is>
          <t>NEGATIVE</t>
        </is>
      </c>
      <c r="C67">
        <f>IF(B67="NEUTRAL","TS","OS")</f>
        <v/>
      </c>
      <c r="D67" t="n">
        <v>1</v>
      </c>
      <c r="E67">
        <f>IF(C67="TS",IF(D67=3,"Consistent",IF(OR(D67=2,D67=4),"Partially Consistent","Inconsistent")),IF(D67=3,"Inconsistent",IF(AND(D67=5,B67="POSITIVE"),"Consistent",IF(AND(D67=1,B67="NEGATIVE"),"Consistent",IF(AND(D67=4,B67="POSITIVE"),"Partially Consistent",IF(AND(D67=2,B67="NEGATIVE"),"Partially Consistent","Inconsistent"))))))</f>
        <v/>
      </c>
      <c r="F67">
        <f>IF(C67="TS","High","Low")</f>
        <v/>
      </c>
      <c r="G67">
        <f>IF(AND(B67="NEUTRAL",F67="Low"),"LOW",IF(AND(C67="TS",F67="High",D67=3),"HIGH",IF(AND(C67="TS",F67="High",OR(D67=2,D67=4)),"MODERATE",IF(AND(C67="TS",F67="High",OR(D67=1,D67=5)),"LOW",IF(AND(C67="OS",E67="Consistent",OR(D67=1,D67=5)),"MODERATE",IF(AND(C67="OS",E67="Partially Consistent",OR(D67=2,D67=4)),"MODERATE","LOW"))))))</f>
        <v/>
      </c>
      <c r="H67" t="inlineStr"/>
      <c r="I67" t="inlineStr"/>
      <c r="J67" t="inlineStr"/>
      <c r="K67" t="inlineStr"/>
      <c r="L67" t="inlineStr"/>
      <c r="M67" t="inlineStr">
        <is>
          <t>https://www.lazada.com.ph/products/pdp-i4358944057-s24446312395.html</t>
        </is>
      </c>
      <c r="N67" t="n">
        <v>1</v>
      </c>
    </row>
    <row r="68">
      <c r="A68" t="inlineStr">
        <is>
          <t>sira na ang packaging pagdating. late na nga dumating ganon pa nangyari. nag leak na yung liquid sa packaging.</t>
        </is>
      </c>
      <c r="B68" t="inlineStr">
        <is>
          <t>NEGATIVE</t>
        </is>
      </c>
      <c r="C68">
        <f>IF(B68="NEUTRAL","TS","OS")</f>
        <v/>
      </c>
      <c r="D68" t="n">
        <v>1</v>
      </c>
      <c r="E68">
        <f>IF(C68="TS",IF(D68=3,"Consistent",IF(OR(D68=2,D68=4),"Partially Consistent","Inconsistent")),IF(D68=3,"Inconsistent",IF(AND(D68=5,B68="POSITIVE"),"Consistent",IF(AND(D68=1,B68="NEGATIVE"),"Consistent",IF(AND(D68=4,B68="POSITIVE"),"Partially Consistent",IF(AND(D68=2,B68="NEGATIVE"),"Partially Consistent","Inconsistent"))))))</f>
        <v/>
      </c>
      <c r="F68">
        <f>IF(C68="TS","High","Low")</f>
        <v/>
      </c>
      <c r="G68">
        <f>IF(AND(B68="NEUTRAL",F68="Low"),"LOW",IF(AND(C68="TS",F68="High",D68=3),"HIGH",IF(AND(C68="TS",F68="High",OR(D68=2,D68=4)),"MODERATE",IF(AND(C68="TS",F68="High",OR(D68=1,D68=5)),"LOW",IF(AND(C68="OS",E68="Consistent",OR(D68=1,D68=5)),"MODERATE",IF(AND(C68="OS",E68="Partially Consistent",OR(D68=2,D68=4)),"MODERATE","LOW"))))))</f>
        <v/>
      </c>
      <c r="H68" t="inlineStr"/>
      <c r="I68" t="inlineStr"/>
      <c r="J68" t="inlineStr"/>
      <c r="K68" t="inlineStr"/>
      <c r="L68" t="inlineStr"/>
      <c r="M68" t="inlineStr">
        <is>
          <t>https://www.lazada.com.ph/products/pdp-i4358944057-s24446312395.html</t>
        </is>
      </c>
      <c r="N68" t="n">
        <v>1</v>
      </c>
    </row>
    <row r="69">
      <c r="A69" t="inlineStr">
        <is>
          <t>scammer kulang ng isang kilo pinadala dnt buy to this shop dnt support bugos seller</t>
        </is>
      </c>
      <c r="B69" t="inlineStr">
        <is>
          <t>NEGATIVE</t>
        </is>
      </c>
      <c r="C69">
        <f>IF(B69="NEUTRAL","TS","OS")</f>
        <v/>
      </c>
      <c r="D69" t="n">
        <v>1</v>
      </c>
      <c r="E69">
        <f>IF(C69="TS",IF(D69=3,"Consistent",IF(OR(D69=2,D69=4),"Partially Consistent","Inconsistent")),IF(D69=3,"Inconsistent",IF(AND(D69=5,B69="POSITIVE"),"Consistent",IF(AND(D69=1,B69="NEGATIVE"),"Consistent",IF(AND(D69=4,B69="POSITIVE"),"Partially Consistent",IF(AND(D69=2,B69="NEGATIVE"),"Partially Consistent","Inconsistent"))))))</f>
        <v/>
      </c>
      <c r="F69">
        <f>IF(C69="TS","High","Low")</f>
        <v/>
      </c>
      <c r="G69">
        <f>IF(AND(B69="NEUTRAL",F69="Low"),"LOW",IF(AND(C69="TS",F69="High",D69=3),"HIGH",IF(AND(C69="TS",F69="High",OR(D69=2,D69=4)),"MODERATE",IF(AND(C69="TS",F69="High",OR(D69=1,D69=5)),"LOW",IF(AND(C69="OS",E69="Consistent",OR(D69=1,D69=5)),"MODERATE",IF(AND(C69="OS",E69="Partially Consistent",OR(D69=2,D69=4)),"MODERATE","LOW"))))))</f>
        <v/>
      </c>
      <c r="H69" t="inlineStr"/>
      <c r="I69" t="inlineStr"/>
      <c r="J69" t="inlineStr"/>
      <c r="K69" t="inlineStr"/>
      <c r="L69" t="inlineStr"/>
      <c r="M69" t="inlineStr">
        <is>
          <t>https://www.lazada.com.ph/products/pdp-i4358944057-s24446312395.html</t>
        </is>
      </c>
      <c r="N69" t="n">
        <v>1</v>
      </c>
    </row>
    <row r="70">
      <c r="A70" t="inlineStr">
        <is>
          <t>great for everyday use, efficient cleaning power, gentle on hands, convenient and easy to use,</t>
        </is>
      </c>
      <c r="B70" t="inlineStr">
        <is>
          <t>POSITIVE</t>
        </is>
      </c>
      <c r="C70">
        <f>IF(B70="NEUTRAL","TS","OS")</f>
        <v/>
      </c>
      <c r="D70" t="n">
        <v>1</v>
      </c>
      <c r="E70">
        <f>IF(C70="TS",IF(D70=3,"Consistent",IF(OR(D70=2,D70=4),"Partially Consistent","Inconsistent")),IF(D70=3,"Inconsistent",IF(AND(D70=5,B70="POSITIVE"),"Consistent",IF(AND(D70=1,B70="NEGATIVE"),"Consistent",IF(AND(D70=4,B70="POSITIVE"),"Partially Consistent",IF(AND(D70=2,B70="NEGATIVE"),"Partially Consistent","Inconsistent"))))))</f>
        <v/>
      </c>
      <c r="F70">
        <f>IF(C70="TS","High","Low")</f>
        <v/>
      </c>
      <c r="G70">
        <f>IF(AND(B70="NEUTRAL",F70="Low"),"LOW",IF(AND(C70="TS",F70="High",D70=3),"HIGH",IF(AND(C70="TS",F70="High",OR(D70=2,D70=4)),"MODERATE",IF(AND(C70="TS",F70="High",OR(D70=1,D70=5)),"LOW",IF(AND(C70="OS",E70="Consistent",OR(D70=1,D70=5)),"MODERATE",IF(AND(C70="OS",E70="Partially Consistent",OR(D70=2,D70=4)),"MODERATE","LOW"))))))</f>
        <v/>
      </c>
      <c r="H70" t="inlineStr"/>
      <c r="I70" t="inlineStr"/>
      <c r="J70" t="inlineStr"/>
      <c r="K70" t="inlineStr"/>
      <c r="L70" t="inlineStr"/>
      <c r="M70" t="inlineStr">
        <is>
          <t>https://www.lazada.com.ph/products/pdp-i4358944057-s24446312395.html</t>
        </is>
      </c>
      <c r="N70" t="n">
        <v>1</v>
      </c>
    </row>
    <row r="71">
      <c r="A71" t="inlineStr">
        <is>
          <t>walang bula, di nkakatanggal ng sebo!</t>
        </is>
      </c>
      <c r="B71" t="inlineStr">
        <is>
          <t>NEGATIVE</t>
        </is>
      </c>
      <c r="C71">
        <f>IF(B71="NEUTRAL","TS","OS")</f>
        <v/>
      </c>
      <c r="D71" t="n">
        <v>1</v>
      </c>
      <c r="E71">
        <f>IF(C71="TS",IF(D71=3,"Consistent",IF(OR(D71=2,D71=4),"Partially Consistent","Inconsistent")),IF(D71=3,"Inconsistent",IF(AND(D71=5,B71="POSITIVE"),"Consistent",IF(AND(D71=1,B71="NEGATIVE"),"Consistent",IF(AND(D71=4,B71="POSITIVE"),"Partially Consistent",IF(AND(D71=2,B71="NEGATIVE"),"Partially Consistent","Inconsistent"))))))</f>
        <v/>
      </c>
      <c r="F71">
        <f>IF(C71="TS","High","Low")</f>
        <v/>
      </c>
      <c r="G71">
        <f>IF(AND(B71="NEUTRAL",F71="Low"),"LOW",IF(AND(C71="TS",F71="High",D71=3),"HIGH",IF(AND(C71="TS",F71="High",OR(D71=2,D71=4)),"MODERATE",IF(AND(C71="TS",F71="High",OR(D71=1,D71=5)),"LOW",IF(AND(C71="OS",E71="Consistent",OR(D71=1,D71=5)),"MODERATE",IF(AND(C71="OS",E71="Partially Consistent",OR(D71=2,D71=4)),"MODERATE","LOW"))))))</f>
        <v/>
      </c>
      <c r="H71" t="inlineStr"/>
      <c r="I71" t="inlineStr"/>
      <c r="J71" t="inlineStr"/>
      <c r="K71" t="inlineStr"/>
      <c r="L71" t="inlineStr"/>
      <c r="M71" t="inlineStr">
        <is>
          <t>https://www.lazada.com.ph/products/pdp-i4358944057-s24446312395.html</t>
        </is>
      </c>
      <c r="N71" t="n">
        <v>1</v>
      </c>
    </row>
    <row r="72">
      <c r="A72" t="inlineStr">
        <is>
          <t>mabaho amoy ipis pag natuyo sa kamay</t>
        </is>
      </c>
      <c r="B72" t="inlineStr">
        <is>
          <t>NEGATIVE</t>
        </is>
      </c>
      <c r="C72">
        <f>IF(B72="NEUTRAL","TS","OS")</f>
        <v/>
      </c>
      <c r="D72" t="n">
        <v>1</v>
      </c>
      <c r="E72">
        <f>IF(C72="TS",IF(D72=3,"Consistent",IF(OR(D72=2,D72=4),"Partially Consistent","Inconsistent")),IF(D72=3,"Inconsistent",IF(AND(D72=5,B72="POSITIVE"),"Consistent",IF(AND(D72=1,B72="NEGATIVE"),"Consistent",IF(AND(D72=4,B72="POSITIVE"),"Partially Consistent",IF(AND(D72=2,B72="NEGATIVE"),"Partially Consistent","Inconsistent"))))))</f>
        <v/>
      </c>
      <c r="F72">
        <f>IF(C72="TS","High","Low")</f>
        <v/>
      </c>
      <c r="G72">
        <f>IF(AND(B72="NEUTRAL",F72="Low"),"LOW",IF(AND(C72="TS",F72="High",D72=3),"HIGH",IF(AND(C72="TS",F72="High",OR(D72=2,D72=4)),"MODERATE",IF(AND(C72="TS",F72="High",OR(D72=1,D72=5)),"LOW",IF(AND(C72="OS",E72="Consistent",OR(D72=1,D72=5)),"MODERATE",IF(AND(C72="OS",E72="Partially Consistent",OR(D72=2,D72=4)),"MODERATE","LOW"))))))</f>
        <v/>
      </c>
      <c r="H72" t="inlineStr"/>
      <c r="I72" t="inlineStr"/>
      <c r="J72" t="inlineStr"/>
      <c r="K72" t="inlineStr"/>
      <c r="L72" t="inlineStr"/>
      <c r="M72" t="inlineStr">
        <is>
          <t>https://www.lazada.com.ph/products/pdp-i4358944057-s24446312395.html</t>
        </is>
      </c>
      <c r="N72" t="n">
        <v>1</v>
      </c>
    </row>
    <row r="73">
      <c r="A73" t="inlineStr">
        <is>
          <t>ok naman yung product pero yung free na bittle yupi na. so poor ang delivery service</t>
        </is>
      </c>
      <c r="B73" t="inlineStr">
        <is>
          <t>NEUTRAL</t>
        </is>
      </c>
      <c r="C73">
        <f>IF(B73="NEUTRAL","TS","OS")</f>
        <v/>
      </c>
      <c r="D73" t="n">
        <v>1</v>
      </c>
      <c r="E73">
        <f>IF(C73="TS",IF(D73=3,"Consistent",IF(OR(D73=2,D73=4),"Partially Consistent","Inconsistent")),IF(D73=3,"Inconsistent",IF(AND(D73=5,B73="POSITIVE"),"Consistent",IF(AND(D73=1,B73="NEGATIVE"),"Consistent",IF(AND(D73=4,B73="POSITIVE"),"Partially Consistent",IF(AND(D73=2,B73="NEGATIVE"),"Partially Consistent","Inconsistent"))))))</f>
        <v/>
      </c>
      <c r="F73">
        <f>IF(C73="TS","High","Low")</f>
        <v/>
      </c>
      <c r="G73">
        <f>IF(AND(B73="NEUTRAL",F73="Low"),"LOW",IF(AND(C73="TS",F73="High",D73=3),"HIGH",IF(AND(C73="TS",F73="High",OR(D73=2,D73=4)),"MODERATE",IF(AND(C73="TS",F73="High",OR(D73=1,D73=5)),"LOW",IF(AND(C73="OS",E73="Consistent",OR(D73=1,D73=5)),"MODERATE",IF(AND(C73="OS",E73="Partially Consistent",OR(D73=2,D73=4)),"MODERATE","LOW"))))))</f>
        <v/>
      </c>
      <c r="H73" t="inlineStr"/>
      <c r="I73" t="inlineStr"/>
      <c r="J73" t="inlineStr"/>
      <c r="K73" t="inlineStr"/>
      <c r="L73" t="inlineStr"/>
      <c r="M73" t="inlineStr">
        <is>
          <t>https://www.lazada.com.ph/products/pdp-i4358944057-s24446312395.html</t>
        </is>
      </c>
      <c r="N73" t="n">
        <v>1</v>
      </c>
    </row>
    <row r="74">
      <c r="A74" t="inlineStr">
        <is>
          <t>ayaw sumagot ng seller. ano ba yan. naka dismaya</t>
        </is>
      </c>
      <c r="B74" t="inlineStr">
        <is>
          <t>NEGATIVE</t>
        </is>
      </c>
      <c r="C74">
        <f>IF(B74="NEUTRAL","TS","OS")</f>
        <v/>
      </c>
      <c r="D74" t="n">
        <v>1</v>
      </c>
      <c r="E74">
        <f>IF(C74="TS",IF(D74=3,"Consistent",IF(OR(D74=2,D74=4),"Partially Consistent","Inconsistent")),IF(D74=3,"Inconsistent",IF(AND(D74=5,B74="POSITIVE"),"Consistent",IF(AND(D74=1,B74="NEGATIVE"),"Consistent",IF(AND(D74=4,B74="POSITIVE"),"Partially Consistent",IF(AND(D74=2,B74="NEGATIVE"),"Partially Consistent","Inconsistent"))))))</f>
        <v/>
      </c>
      <c r="F74">
        <f>IF(C74="TS","High","Low")</f>
        <v/>
      </c>
      <c r="G74">
        <f>IF(AND(B74="NEUTRAL",F74="Low"),"LOW",IF(AND(C74="TS",F74="High",D74=3),"HIGH",IF(AND(C74="TS",F74="High",OR(D74=2,D74=4)),"MODERATE",IF(AND(C74="TS",F74="High",OR(D74=1,D74=5)),"LOW",IF(AND(C74="OS",E74="Consistent",OR(D74=1,D74=5)),"MODERATE",IF(AND(C74="OS",E74="Partially Consistent",OR(D74=2,D74=4)),"MODERATE","LOW"))))))</f>
        <v/>
      </c>
      <c r="H74" t="inlineStr"/>
      <c r="I74" t="inlineStr"/>
      <c r="J74" t="inlineStr"/>
      <c r="K74" t="inlineStr"/>
      <c r="L74" t="inlineStr"/>
      <c r="M74" t="inlineStr">
        <is>
          <t>https://www.lazada.com.ph/products/pdp-i4358944057-s24446312395.html</t>
        </is>
      </c>
      <c r="N74" t="n">
        <v>1</v>
      </c>
    </row>
    <row r="75">
      <c r="A75" t="inlineStr">
        <is>
          <t>convenient and easy to use, versatile scent options,</t>
        </is>
      </c>
      <c r="B75" t="inlineStr">
        <is>
          <t>POSITIVE</t>
        </is>
      </c>
      <c r="C75">
        <f>IF(B75="NEUTRAL","TS","OS")</f>
        <v/>
      </c>
      <c r="D75" t="n">
        <v>1</v>
      </c>
      <c r="E75">
        <f>IF(C75="TS",IF(D75=3,"Consistent",IF(OR(D75=2,D75=4),"Partially Consistent","Inconsistent")),IF(D75=3,"Inconsistent",IF(AND(D75=5,B75="POSITIVE"),"Consistent",IF(AND(D75=1,B75="NEGATIVE"),"Consistent",IF(AND(D75=4,B75="POSITIVE"),"Partially Consistent",IF(AND(D75=2,B75="NEGATIVE"),"Partially Consistent","Inconsistent"))))))</f>
        <v/>
      </c>
      <c r="F75">
        <f>IF(C75="TS","High","Low")</f>
        <v/>
      </c>
      <c r="G75">
        <f>IF(AND(B75="NEUTRAL",F75="Low"),"LOW",IF(AND(C75="TS",F75="High",D75=3),"HIGH",IF(AND(C75="TS",F75="High",OR(D75=2,D75=4)),"MODERATE",IF(AND(C75="TS",F75="High",OR(D75=1,D75=5)),"LOW",IF(AND(C75="OS",E75="Consistent",OR(D75=1,D75=5)),"MODERATE",IF(AND(C75="OS",E75="Partially Consistent",OR(D75=2,D75=4)),"MODERATE","LOW"))))))</f>
        <v/>
      </c>
      <c r="H75" t="inlineStr"/>
      <c r="I75" t="inlineStr"/>
      <c r="J75" t="inlineStr"/>
      <c r="K75" t="inlineStr"/>
      <c r="L75" t="inlineStr"/>
      <c r="M75" t="inlineStr">
        <is>
          <t>https://www.lazada.com.ph/products/pdp-i4358944057-s24446312395.html</t>
        </is>
      </c>
      <c r="N75" t="n">
        <v>1</v>
      </c>
    </row>
    <row r="76">
      <c r="A76" t="inlineStr">
        <is>
          <t>kulang yung item</t>
        </is>
      </c>
      <c r="B76" t="inlineStr">
        <is>
          <t>NEGATIVE</t>
        </is>
      </c>
      <c r="C76">
        <f>IF(B76="NEUTRAL","TS","OS")</f>
        <v/>
      </c>
      <c r="D76" t="n">
        <v>1</v>
      </c>
      <c r="E76">
        <f>IF(C76="TS",IF(D76=3,"Consistent",IF(OR(D76=2,D76=4),"Partially Consistent","Inconsistent")),IF(D76=3,"Inconsistent",IF(AND(D76=5,B76="POSITIVE"),"Consistent",IF(AND(D76=1,B76="NEGATIVE"),"Consistent",IF(AND(D76=4,B76="POSITIVE"),"Partially Consistent",IF(AND(D76=2,B76="NEGATIVE"),"Partially Consistent","Inconsistent"))))))</f>
        <v/>
      </c>
      <c r="F76">
        <f>IF(C76="TS","High","Low")</f>
        <v/>
      </c>
      <c r="G76">
        <f>IF(AND(B76="NEUTRAL",F76="Low"),"LOW",IF(AND(C76="TS",F76="High",D76=3),"HIGH",IF(AND(C76="TS",F76="High",OR(D76=2,D76=4)),"MODERATE",IF(AND(C76="TS",F76="High",OR(D76=1,D76=5)),"LOW",IF(AND(C76="OS",E76="Consistent",OR(D76=1,D76=5)),"MODERATE",IF(AND(C76="OS",E76="Partially Consistent",OR(D76=2,D76=4)),"MODERATE","LOW"))))))</f>
        <v/>
      </c>
      <c r="H76" t="inlineStr"/>
      <c r="I76" t="inlineStr"/>
      <c r="J76" t="inlineStr"/>
      <c r="K76" t="inlineStr"/>
      <c r="L76" t="inlineStr"/>
      <c r="M76" t="inlineStr">
        <is>
          <t>https://www.lazada.com.ph/products/pdp-i4358944057-s24446312395.html</t>
        </is>
      </c>
      <c r="N76" t="n">
        <v>1</v>
      </c>
    </row>
    <row r="77">
      <c r="A77" t="inlineStr">
        <is>
          <t>. . . . . . . . . . . . . . . .</t>
        </is>
      </c>
      <c r="B77" t="inlineStr">
        <is>
          <t>NEGATIVE</t>
        </is>
      </c>
      <c r="C77">
        <f>IF(B77="NEUTRAL","TS","OS")</f>
        <v/>
      </c>
      <c r="D77" t="n">
        <v>1</v>
      </c>
      <c r="E77">
        <f>IF(C77="TS",IF(D77=3,"Consistent",IF(OR(D77=2,D77=4),"Partially Consistent","Inconsistent")),IF(D77=3,"Inconsistent",IF(AND(D77=5,B77="POSITIVE"),"Consistent",IF(AND(D77=1,B77="NEGATIVE"),"Consistent",IF(AND(D77=4,B77="POSITIVE"),"Partially Consistent",IF(AND(D77=2,B77="NEGATIVE"),"Partially Consistent","Inconsistent"))))))</f>
        <v/>
      </c>
      <c r="F77">
        <f>IF(C77="TS","High","Low")</f>
        <v/>
      </c>
      <c r="G77">
        <f>IF(AND(B77="NEUTRAL",F77="Low"),"LOW",IF(AND(C77="TS",F77="High",D77=3),"HIGH",IF(AND(C77="TS",F77="High",OR(D77=2,D77=4)),"MODERATE",IF(AND(C77="TS",F77="High",OR(D77=1,D77=5)),"LOW",IF(AND(C77="OS",E77="Consistent",OR(D77=1,D77=5)),"MODERATE",IF(AND(C77="OS",E77="Partially Consistent",OR(D77=2,D77=4)),"MODERATE","LOW"))))))</f>
        <v/>
      </c>
      <c r="H77" t="inlineStr"/>
      <c r="I77" t="inlineStr"/>
      <c r="J77" t="inlineStr"/>
      <c r="K77" t="inlineStr"/>
      <c r="L77" t="inlineStr"/>
      <c r="M77" t="inlineStr">
        <is>
          <t>https://www.lazada.com.ph/products/pdp-i4358944057-s24446312395.html</t>
        </is>
      </c>
      <c r="N77" t="n">
        <v>1</v>
      </c>
    </row>
    <row r="78">
      <c r="A78" t="inlineStr">
        <is>
          <t>ayaw iaccept return refund ko 18l yung bili ko with sticker pero 6l lang pinadala wala din makausap sa costumer service nila talagang mapapdasal nalang</t>
        </is>
      </c>
      <c r="B78" t="inlineStr">
        <is>
          <t>NEGATIVE</t>
        </is>
      </c>
      <c r="C78">
        <f>IF(B78="NEUTRAL","TS","OS")</f>
        <v/>
      </c>
      <c r="D78" t="n">
        <v>1</v>
      </c>
      <c r="E78">
        <f>IF(C78="TS",IF(D78=3,"Consistent",IF(OR(D78=2,D78=4),"Partially Consistent","Inconsistent")),IF(D78=3,"Inconsistent",IF(AND(D78=5,B78="POSITIVE"),"Consistent",IF(AND(D78=1,B78="NEGATIVE"),"Consistent",IF(AND(D78=4,B78="POSITIVE"),"Partially Consistent",IF(AND(D78=2,B78="NEGATIVE"),"Partially Consistent","Inconsistent"))))))</f>
        <v/>
      </c>
      <c r="F78">
        <f>IF(C78="TS","High","Low")</f>
        <v/>
      </c>
      <c r="G78">
        <f>IF(AND(B78="NEUTRAL",F78="Low"),"LOW",IF(AND(C78="TS",F78="High",D78=3),"HIGH",IF(AND(C78="TS",F78="High",OR(D78=2,D78=4)),"MODERATE",IF(AND(C78="TS",F78="High",OR(D78=1,D78=5)),"LOW",IF(AND(C78="OS",E78="Consistent",OR(D78=1,D78=5)),"MODERATE",IF(AND(C78="OS",E78="Partially Consistent",OR(D78=2,D78=4)),"MODERATE","LOW"))))))</f>
        <v/>
      </c>
      <c r="H78" t="inlineStr"/>
      <c r="I78" t="inlineStr"/>
      <c r="J78" t="inlineStr"/>
      <c r="K78" t="inlineStr"/>
      <c r="L78" t="inlineStr"/>
      <c r="M78" t="inlineStr">
        <is>
          <t>https://www.lazada.com.ph/products/pdp-i4358944057-s24446312395.html</t>
        </is>
      </c>
      <c r="N78" t="n">
        <v>1</v>
      </c>
    </row>
    <row r="79">
      <c r="A79" t="inlineStr">
        <is>
          <t>perfect</t>
        </is>
      </c>
      <c r="B79" t="inlineStr">
        <is>
          <t>POSITIVE</t>
        </is>
      </c>
      <c r="C79">
        <f>IF(B79="NEUTRAL","TS","OS")</f>
        <v/>
      </c>
      <c r="D79" t="n">
        <v>1</v>
      </c>
      <c r="E79">
        <f>IF(C79="TS",IF(D79=3,"Consistent",IF(OR(D79=2,D79=4),"Partially Consistent","Inconsistent")),IF(D79=3,"Inconsistent",IF(AND(D79=5,B79="POSITIVE"),"Consistent",IF(AND(D79=1,B79="NEGATIVE"),"Consistent",IF(AND(D79=4,B79="POSITIVE"),"Partially Consistent",IF(AND(D79=2,B79="NEGATIVE"),"Partially Consistent","Inconsistent"))))))</f>
        <v/>
      </c>
      <c r="F79">
        <f>IF(C79="TS","High","Low")</f>
        <v/>
      </c>
      <c r="G79">
        <f>IF(AND(B79="NEUTRAL",F79="Low"),"LOW",IF(AND(C79="TS",F79="High",D79=3),"HIGH",IF(AND(C79="TS",F79="High",OR(D79=2,D79=4)),"MODERATE",IF(AND(C79="TS",F79="High",OR(D79=1,D79=5)),"LOW",IF(AND(C79="OS",E79="Consistent",OR(D79=1,D79=5)),"MODERATE",IF(AND(C79="OS",E79="Partially Consistent",OR(D79=2,D79=4)),"MODERATE","LOW"))))))</f>
        <v/>
      </c>
      <c r="H79" t="inlineStr"/>
      <c r="I79" t="inlineStr"/>
      <c r="J79" t="inlineStr"/>
      <c r="K79" t="inlineStr"/>
      <c r="L79" t="inlineStr"/>
      <c r="M79" t="inlineStr">
        <is>
          <t>https://www.lazada.com.ph/products/pdp-i4358944057-s24446312395.html</t>
        </is>
      </c>
      <c r="N79" t="n">
        <v>1</v>
      </c>
    </row>
    <row r="80">
      <c r="A80" t="inlineStr">
        <is>
          <t>pakiging is not safe na damage cya kc nga hindi nilalagay sa box kya nadadamage sa pg balibagan b nmn ng mga voreyer e</t>
        </is>
      </c>
      <c r="B80" t="inlineStr">
        <is>
          <t>NEUTRAL</t>
        </is>
      </c>
      <c r="C80">
        <f>IF(B80="NEUTRAL","TS","OS")</f>
        <v/>
      </c>
      <c r="D80" t="n">
        <v>1</v>
      </c>
      <c r="E80">
        <f>IF(C80="TS",IF(D80=3,"Consistent",IF(OR(D80=2,D80=4),"Partially Consistent","Inconsistent")),IF(D80=3,"Inconsistent",IF(AND(D80=5,B80="POSITIVE"),"Consistent",IF(AND(D80=1,B80="NEGATIVE"),"Consistent",IF(AND(D80=4,B80="POSITIVE"),"Partially Consistent",IF(AND(D80=2,B80="NEGATIVE"),"Partially Consistent","Inconsistent"))))))</f>
        <v/>
      </c>
      <c r="F80">
        <f>IF(C80="TS","High","Low")</f>
        <v/>
      </c>
      <c r="G80">
        <f>IF(AND(B80="NEUTRAL",F80="Low"),"LOW",IF(AND(C80="TS",F80="High",D80=3),"HIGH",IF(AND(C80="TS",F80="High",OR(D80=2,D80=4)),"MODERATE",IF(AND(C80="TS",F80="High",OR(D80=1,D80=5)),"LOW",IF(AND(C80="OS",E80="Consistent",OR(D80=1,D80=5)),"MODERATE",IF(AND(C80="OS",E80="Partially Consistent",OR(D80=2,D80=4)),"MODERATE","LOW"))))))</f>
        <v/>
      </c>
      <c r="H80" t="inlineStr"/>
      <c r="I80" t="inlineStr"/>
      <c r="J80" t="inlineStr"/>
      <c r="K80" t="inlineStr"/>
      <c r="L80" t="inlineStr"/>
      <c r="M80" t="inlineStr">
        <is>
          <t>https://www.lazada.com.ph/products/pdp-i4358944057-s24446312395.html</t>
        </is>
      </c>
      <c r="N80" t="n">
        <v>1</v>
      </c>
    </row>
    <row r="81">
      <c r="A81" t="inlineStr">
        <is>
          <t>ndi po ako nag bayad ng tatlong pirasong dishwashing para sa halagang 1190 madam seller paano po ito paki soli nio naman po ang binayad ko wag naman po kau ganyan tama ang bayad ko kaya sana isoli nio ung ndi nio binigay na items buburahin ko po ito kung makikipag cooperate po kau sa akin ndi ako titigil hanggat binabale wala nio ung kulang na parcel ko beware po wag oorder po sa kanila ng marami oaea ndi po kau matulad sa akin paisa isa lang po ang order aba at tinatanggal nio pa talaga wag kau mag order dito ng marami para ndi kua matulad sa akin na nagbayad ng tama pero kulang ipapadala tapos ayaw pa mag reply ikayaman nio sana yan</t>
        </is>
      </c>
      <c r="B81" t="inlineStr">
        <is>
          <t>NEGATIVE</t>
        </is>
      </c>
      <c r="C81">
        <f>IF(B81="NEUTRAL","TS","OS")</f>
        <v/>
      </c>
      <c r="D81" t="n">
        <v>1</v>
      </c>
      <c r="E81">
        <f>IF(C81="TS",IF(D81=3,"Consistent",IF(OR(D81=2,D81=4),"Partially Consistent","Inconsistent")),IF(D81=3,"Inconsistent",IF(AND(D81=5,B81="POSITIVE"),"Consistent",IF(AND(D81=1,B81="NEGATIVE"),"Consistent",IF(AND(D81=4,B81="POSITIVE"),"Partially Consistent",IF(AND(D81=2,B81="NEGATIVE"),"Partially Consistent","Inconsistent"))))))</f>
        <v/>
      </c>
      <c r="F81">
        <f>IF(C81="TS","High","Low")</f>
        <v/>
      </c>
      <c r="G81">
        <f>IF(AND(B81="NEUTRAL",F81="Low"),"LOW",IF(AND(C81="TS",F81="High",D81=3),"HIGH",IF(AND(C81="TS",F81="High",OR(D81=2,D81=4)),"MODERATE",IF(AND(C81="TS",F81="High",OR(D81=1,D81=5)),"LOW",IF(AND(C81="OS",E81="Consistent",OR(D81=1,D81=5)),"MODERATE",IF(AND(C81="OS",E81="Partially Consistent",OR(D81=2,D81=4)),"MODERATE","LOW"))))))</f>
        <v/>
      </c>
      <c r="H81" t="inlineStr"/>
      <c r="I81" t="inlineStr"/>
      <c r="J81" t="inlineStr"/>
      <c r="K81" t="inlineStr"/>
      <c r="L81" t="inlineStr"/>
      <c r="M81" t="inlineStr">
        <is>
          <t>https://www.lazada.com.ph/products/pdp-i4358944057-s24446312395.html</t>
        </is>
      </c>
      <c r="N81" t="n">
        <v>1</v>
      </c>
    </row>
    <row r="82">
      <c r="A82" t="inlineStr">
        <is>
          <t>maliit hindi ko nagustuhan, hindi katulad ng nabili ko sa iba same price pero mas malaki.</t>
        </is>
      </c>
      <c r="B82" t="inlineStr">
        <is>
          <t>NEUTRAL</t>
        </is>
      </c>
      <c r="C82">
        <f>IF(B82="NEUTRAL","TS","OS")</f>
        <v/>
      </c>
      <c r="D82" t="n">
        <v>3</v>
      </c>
      <c r="E82">
        <f>IF(C82="TS",IF(D82=3,"Consistent",IF(OR(D82=2,D82=4),"Partially Consistent","Inconsistent")),IF(D82=3,"Inconsistent",IF(AND(D82=5,B82="POSITIVE"),"Consistent",IF(AND(D82=1,B82="NEGATIVE"),"Consistent",IF(AND(D82=4,B82="POSITIVE"),"Partially Consistent",IF(AND(D82=2,B82="NEGATIVE"),"Partially Consistent","Inconsistent"))))))</f>
        <v/>
      </c>
      <c r="F82">
        <f>IF(C82="TS","High","Low")</f>
        <v/>
      </c>
      <c r="G82">
        <f>IF(AND(B82="NEUTRAL",F82="Low"),"LOW",IF(AND(C82="TS",F82="High",D82=3),"HIGH",IF(AND(C82="TS",F82="High",OR(D82=2,D82=4)),"MODERATE",IF(AND(C82="TS",F82="High",OR(D82=1,D82=5)),"LOW",IF(AND(C82="OS",E82="Consistent",OR(D82=1,D82=5)),"MODERATE",IF(AND(C82="OS",E82="Partially Consistent",OR(D82=2,D82=4)),"MODERATE","LOW"))))))</f>
        <v/>
      </c>
      <c r="H82" t="inlineStr"/>
      <c r="I82" t="inlineStr"/>
      <c r="J82" t="inlineStr"/>
      <c r="K82" t="inlineStr"/>
      <c r="L82" t="inlineStr"/>
      <c r="M82" t="inlineStr">
        <is>
          <t>https://www.lazada.com.ph/products/pdp-i4358944057-s24446312395.html</t>
        </is>
      </c>
      <c r="N82" t="n">
        <v>1</v>
      </c>
    </row>
    <row r="83">
      <c r="A83" t="inlineStr">
        <is>
          <t>bat ganun 2 binayaran qo isalng ang laman</t>
        </is>
      </c>
      <c r="B83" t="inlineStr">
        <is>
          <t>NEGATIVE</t>
        </is>
      </c>
      <c r="C83">
        <f>IF(B83="NEUTRAL","TS","OS")</f>
        <v/>
      </c>
      <c r="D83" t="n">
        <v>3</v>
      </c>
      <c r="E83">
        <f>IF(C83="TS",IF(D83=3,"Consistent",IF(OR(D83=2,D83=4),"Partially Consistent","Inconsistent")),IF(D83=3,"Inconsistent",IF(AND(D83=5,B83="POSITIVE"),"Consistent",IF(AND(D83=1,B83="NEGATIVE"),"Consistent",IF(AND(D83=4,B83="POSITIVE"),"Partially Consistent",IF(AND(D83=2,B83="NEGATIVE"),"Partially Consistent","Inconsistent"))))))</f>
        <v/>
      </c>
      <c r="F83">
        <f>IF(C83="TS","High","Low")</f>
        <v/>
      </c>
      <c r="G83">
        <f>IF(AND(B83="NEUTRAL",F83="Low"),"LOW",IF(AND(C83="TS",F83="High",D83=3),"HIGH",IF(AND(C83="TS",F83="High",OR(D83=2,D83=4)),"MODERATE",IF(AND(C83="TS",F83="High",OR(D83=1,D83=5)),"LOW",IF(AND(C83="OS",E83="Consistent",OR(D83=1,D83=5)),"MODERATE",IF(AND(C83="OS",E83="Partially Consistent",OR(D83=2,D83=4)),"MODERATE","LOW"))))))</f>
        <v/>
      </c>
      <c r="H83" t="inlineStr"/>
      <c r="I83" t="inlineStr"/>
      <c r="J83" t="inlineStr"/>
      <c r="K83" t="inlineStr"/>
      <c r="L83" t="inlineStr"/>
      <c r="M83" t="inlineStr">
        <is>
          <t>https://www.lazada.com.ph/products/pdp-i4358944057-s24446312395.html</t>
        </is>
      </c>
      <c r="N83" t="n">
        <v>1</v>
      </c>
    </row>
    <row r="84">
      <c r="A84" t="inlineStr">
        <is>
          <t>walang kasama g stickers! ! isa un sa mga habol ko dahil pang business ito. . pakicheck naman ung label ng order! !</t>
        </is>
      </c>
      <c r="B84" t="inlineStr">
        <is>
          <t>NEUTRAL</t>
        </is>
      </c>
      <c r="C84">
        <f>IF(B84="NEUTRAL","TS","OS")</f>
        <v/>
      </c>
      <c r="D84" t="n">
        <v>3</v>
      </c>
      <c r="E84">
        <f>IF(C84="TS",IF(D84=3,"Consistent",IF(OR(D84=2,D84=4),"Partially Consistent","Inconsistent")),IF(D84=3,"Inconsistent",IF(AND(D84=5,B84="POSITIVE"),"Consistent",IF(AND(D84=1,B84="NEGATIVE"),"Consistent",IF(AND(D84=4,B84="POSITIVE"),"Partially Consistent",IF(AND(D84=2,B84="NEGATIVE"),"Partially Consistent","Inconsistent"))))))</f>
        <v/>
      </c>
      <c r="F84">
        <f>IF(C84="TS","High","Low")</f>
        <v/>
      </c>
      <c r="G84">
        <f>IF(AND(B84="NEUTRAL",F84="Low"),"LOW",IF(AND(C84="TS",F84="High",D84=3),"HIGH",IF(AND(C84="TS",F84="High",OR(D84=2,D84=4)),"MODERATE",IF(AND(C84="TS",F84="High",OR(D84=1,D84=5)),"LOW",IF(AND(C84="OS",E84="Consistent",OR(D84=1,D84=5)),"MODERATE",IF(AND(C84="OS",E84="Partially Consistent",OR(D84=2,D84=4)),"MODERATE","LOW"))))))</f>
        <v/>
      </c>
      <c r="H84" t="inlineStr"/>
      <c r="I84" t="inlineStr"/>
      <c r="J84" t="inlineStr"/>
      <c r="K84" t="inlineStr"/>
      <c r="L84" t="inlineStr"/>
      <c r="M84" t="inlineStr">
        <is>
          <t>https://www.lazada.com.ph/products/pdp-i4358944057-s24446312395.html</t>
        </is>
      </c>
      <c r="N84" t="n">
        <v>1</v>
      </c>
    </row>
    <row r="85">
      <c r="A85" t="inlineStr">
        <is>
          <t>thank you. . . . . . . . . . . . . . . . . . . . . . . . . . . . . . . . . . . . . . . . . . . . . . . . . . . . . . . . . . . . . . . . . . . . . . . . . .</t>
        </is>
      </c>
      <c r="B85" t="inlineStr">
        <is>
          <t>POSITIVE</t>
        </is>
      </c>
      <c r="C85">
        <f>IF(B85="NEUTRAL","TS","OS")</f>
        <v/>
      </c>
      <c r="D85" t="n">
        <v>3</v>
      </c>
      <c r="E85">
        <f>IF(C85="TS",IF(D85=3,"Consistent",IF(OR(D85=2,D85=4),"Partially Consistent","Inconsistent")),IF(D85=3,"Inconsistent",IF(AND(D85=5,B85="POSITIVE"),"Consistent",IF(AND(D85=1,B85="NEGATIVE"),"Consistent",IF(AND(D85=4,B85="POSITIVE"),"Partially Consistent",IF(AND(D85=2,B85="NEGATIVE"),"Partially Consistent","Inconsistent"))))))</f>
        <v/>
      </c>
      <c r="F85">
        <f>IF(C85="TS","High","Low")</f>
        <v/>
      </c>
      <c r="G85">
        <f>IF(AND(B85="NEUTRAL",F85="Low"),"LOW",IF(AND(C85="TS",F85="High",D85=3),"HIGH",IF(AND(C85="TS",F85="High",OR(D85=2,D85=4)),"MODERATE",IF(AND(C85="TS",F85="High",OR(D85=1,D85=5)),"LOW",IF(AND(C85="OS",E85="Consistent",OR(D85=1,D85=5)),"MODERATE",IF(AND(C85="OS",E85="Partially Consistent",OR(D85=2,D85=4)),"MODERATE","LOW"))))))</f>
        <v/>
      </c>
      <c r="H85" t="inlineStr"/>
      <c r="I85" t="inlineStr"/>
      <c r="J85" t="inlineStr"/>
      <c r="K85" t="inlineStr"/>
      <c r="L85" t="inlineStr"/>
      <c r="M85" t="inlineStr">
        <is>
          <t>https://www.lazada.com.ph/products/pdp-i4358944057-s24446312395.html</t>
        </is>
      </c>
      <c r="N85" t="n">
        <v>1</v>
      </c>
    </row>
    <row r="86">
      <c r="A86" t="inlineStr">
        <is>
          <t>eco-friendliness: leaves dishes sparkling clean, long-lasting freshness,</t>
        </is>
      </c>
      <c r="B86" t="inlineStr">
        <is>
          <t>NEUTRAL</t>
        </is>
      </c>
      <c r="C86">
        <f>IF(B86="NEUTRAL","TS","OS")</f>
        <v/>
      </c>
      <c r="D86" t="n">
        <v>3</v>
      </c>
      <c r="E86">
        <f>IF(C86="TS",IF(D86=3,"Consistent",IF(OR(D86=2,D86=4),"Partially Consistent","Inconsistent")),IF(D86=3,"Inconsistent",IF(AND(D86=5,B86="POSITIVE"),"Consistent",IF(AND(D86=1,B86="NEGATIVE"),"Consistent",IF(AND(D86=4,B86="POSITIVE"),"Partially Consistent",IF(AND(D86=2,B86="NEGATIVE"),"Partially Consistent","Inconsistent"))))))</f>
        <v/>
      </c>
      <c r="F86">
        <f>IF(C86="TS","High","Low")</f>
        <v/>
      </c>
      <c r="G86">
        <f>IF(AND(B86="NEUTRAL",F86="Low"),"LOW",IF(AND(C86="TS",F86="High",D86=3),"HIGH",IF(AND(C86="TS",F86="High",OR(D86=2,D86=4)),"MODERATE",IF(AND(C86="TS",F86="High",OR(D86=1,D86=5)),"LOW",IF(AND(C86="OS",E86="Consistent",OR(D86=1,D86=5)),"MODERATE",IF(AND(C86="OS",E86="Partially Consistent",OR(D86=2,D86=4)),"MODERATE","LOW"))))))</f>
        <v/>
      </c>
      <c r="H86" t="inlineStr"/>
      <c r="I86" t="inlineStr"/>
      <c r="J86" t="inlineStr"/>
      <c r="K86" t="inlineStr"/>
      <c r="L86" t="inlineStr"/>
      <c r="M86" t="inlineStr">
        <is>
          <t>https://www.lazada.com.ph/products/pdp-i4358944057-s24446312395.html</t>
        </is>
      </c>
      <c r="N86" t="n">
        <v>1</v>
      </c>
    </row>
    <row r="87">
      <c r="A87" t="inlineStr">
        <is>
          <t>versatile scent options, leaves dishes sparkling clean, refreshing citrus scent, great for everyday use, value for money, eco-friendly packaging,</t>
        </is>
      </c>
      <c r="B87" t="inlineStr">
        <is>
          <t>NEUTRAL</t>
        </is>
      </c>
      <c r="C87">
        <f>IF(B87="NEUTRAL","TS","OS")</f>
        <v/>
      </c>
      <c r="D87" t="n">
        <v>3</v>
      </c>
      <c r="E87">
        <f>IF(C87="TS",IF(D87=3,"Consistent",IF(OR(D87=2,D87=4),"Partially Consistent","Inconsistent")),IF(D87=3,"Inconsistent",IF(AND(D87=5,B87="POSITIVE"),"Consistent",IF(AND(D87=1,B87="NEGATIVE"),"Consistent",IF(AND(D87=4,B87="POSITIVE"),"Partially Consistent",IF(AND(D87=2,B87="NEGATIVE"),"Partially Consistent","Inconsistent"))))))</f>
        <v/>
      </c>
      <c r="F87">
        <f>IF(C87="TS","High","Low")</f>
        <v/>
      </c>
      <c r="G87">
        <f>IF(AND(B87="NEUTRAL",F87="Low"),"LOW",IF(AND(C87="TS",F87="High",D87=3),"HIGH",IF(AND(C87="TS",F87="High",OR(D87=2,D87=4)),"MODERATE",IF(AND(C87="TS",F87="High",OR(D87=1,D87=5)),"LOW",IF(AND(C87="OS",E87="Consistent",OR(D87=1,D87=5)),"MODERATE",IF(AND(C87="OS",E87="Partially Consistent",OR(D87=2,D87=4)),"MODERATE","LOW"))))))</f>
        <v/>
      </c>
      <c r="H87" t="inlineStr"/>
      <c r="I87" t="inlineStr"/>
      <c r="J87" t="inlineStr"/>
      <c r="K87" t="inlineStr"/>
      <c r="L87" t="inlineStr"/>
      <c r="M87" t="inlineStr">
        <is>
          <t>https://www.lazada.com.ph/products/pdp-i4358944057-s24446312395.html</t>
        </is>
      </c>
      <c r="N87" t="n">
        <v>1</v>
      </c>
    </row>
    <row r="88">
      <c r="A88" t="inlineStr">
        <is>
          <t>quality and appearance are ok. but the rider of courier are not</t>
        </is>
      </c>
      <c r="B88" t="inlineStr">
        <is>
          <t>NEUTRAL</t>
        </is>
      </c>
      <c r="C88">
        <f>IF(B88="NEUTRAL","TS","OS")</f>
        <v/>
      </c>
      <c r="D88" t="n">
        <v>3</v>
      </c>
      <c r="E88">
        <f>IF(C88="TS",IF(D88=3,"Consistent",IF(OR(D88=2,D88=4),"Partially Consistent","Inconsistent")),IF(D88=3,"Inconsistent",IF(AND(D88=5,B88="POSITIVE"),"Consistent",IF(AND(D88=1,B88="NEGATIVE"),"Consistent",IF(AND(D88=4,B88="POSITIVE"),"Partially Consistent",IF(AND(D88=2,B88="NEGATIVE"),"Partially Consistent","Inconsistent"))))))</f>
        <v/>
      </c>
      <c r="F88">
        <f>IF(C88="TS","High","Low")</f>
        <v/>
      </c>
      <c r="G88">
        <f>IF(AND(B88="NEUTRAL",F88="Low"),"LOW",IF(AND(C88="TS",F88="High",D88=3),"HIGH",IF(AND(C88="TS",F88="High",OR(D88=2,D88=4)),"MODERATE",IF(AND(C88="TS",F88="High",OR(D88=1,D88=5)),"LOW",IF(AND(C88="OS",E88="Consistent",OR(D88=1,D88=5)),"MODERATE",IF(AND(C88="OS",E88="Partially Consistent",OR(D88=2,D88=4)),"MODERATE","LOW"))))))</f>
        <v/>
      </c>
      <c r="H88" t="inlineStr"/>
      <c r="I88" t="inlineStr"/>
      <c r="J88" t="inlineStr"/>
      <c r="K88" t="inlineStr"/>
      <c r="L88" t="inlineStr"/>
      <c r="M88" t="inlineStr">
        <is>
          <t>https://www.lazada.com.ph/products/pdp-i4358944057-s24446312395.html</t>
        </is>
      </c>
      <c r="N88" t="n">
        <v>1</v>
      </c>
    </row>
    <row r="89">
      <c r="A89" t="inlineStr">
        <is>
          <t>long-lasting freshness, refreshing citrus scent, convenient and easy to use, eco-friendly packaging,</t>
        </is>
      </c>
      <c r="B89" t="inlineStr">
        <is>
          <t>POSITIVE</t>
        </is>
      </c>
      <c r="C89">
        <f>IF(B89="NEUTRAL","TS","OS")</f>
        <v/>
      </c>
      <c r="D89" t="n">
        <v>3</v>
      </c>
      <c r="E89">
        <f>IF(C89="TS",IF(D89=3,"Consistent",IF(OR(D89=2,D89=4),"Partially Consistent","Inconsistent")),IF(D89=3,"Inconsistent",IF(AND(D89=5,B89="POSITIVE"),"Consistent",IF(AND(D89=1,B89="NEGATIVE"),"Consistent",IF(AND(D89=4,B89="POSITIVE"),"Partially Consistent",IF(AND(D89=2,B89="NEGATIVE"),"Partially Consistent","Inconsistent"))))))</f>
        <v/>
      </c>
      <c r="F89">
        <f>IF(C89="TS","High","Low")</f>
        <v/>
      </c>
      <c r="G89">
        <f>IF(AND(B89="NEUTRAL",F89="Low"),"LOW",IF(AND(C89="TS",F89="High",D89=3),"HIGH",IF(AND(C89="TS",F89="High",OR(D89=2,D89=4)),"MODERATE",IF(AND(C89="TS",F89="High",OR(D89=1,D89=5)),"LOW",IF(AND(C89="OS",E89="Consistent",OR(D89=1,D89=5)),"MODERATE",IF(AND(C89="OS",E89="Partially Consistent",OR(D89=2,D89=4)),"MODERATE","LOW"))))))</f>
        <v/>
      </c>
      <c r="H89" t="inlineStr"/>
      <c r="I89" t="inlineStr"/>
      <c r="J89" t="inlineStr"/>
      <c r="K89" t="inlineStr"/>
      <c r="L89" t="inlineStr"/>
      <c r="M89" t="inlineStr">
        <is>
          <t>https://www.lazada.com.ph/products/pdp-i4358944057-s24446312395.html</t>
        </is>
      </c>
      <c r="N89" t="n">
        <v>1</v>
      </c>
    </row>
    <row r="90">
      <c r="A90" t="inlineStr">
        <is>
          <t>yupi karamihan ng mga plastic bottles.</t>
        </is>
      </c>
      <c r="B90" t="inlineStr">
        <is>
          <t>NEGATIVE</t>
        </is>
      </c>
      <c r="C90">
        <f>IF(B90="NEUTRAL","TS","OS")</f>
        <v/>
      </c>
      <c r="D90" t="n">
        <v>3</v>
      </c>
      <c r="E90">
        <f>IF(C90="TS",IF(D90=3,"Consistent",IF(OR(D90=2,D90=4),"Partially Consistent","Inconsistent")),IF(D90=3,"Inconsistent",IF(AND(D90=5,B90="POSITIVE"),"Consistent",IF(AND(D90=1,B90="NEGATIVE"),"Consistent",IF(AND(D90=4,B90="POSITIVE"),"Partially Consistent",IF(AND(D90=2,B90="NEGATIVE"),"Partially Consistent","Inconsistent"))))))</f>
        <v/>
      </c>
      <c r="F90">
        <f>IF(C90="TS","High","Low")</f>
        <v/>
      </c>
      <c r="G90">
        <f>IF(AND(B90="NEUTRAL",F90="Low"),"LOW",IF(AND(C90="TS",F90="High",D90=3),"HIGH",IF(AND(C90="TS",F90="High",OR(D90=2,D90=4)),"MODERATE",IF(AND(C90="TS",F90="High",OR(D90=1,D90=5)),"LOW",IF(AND(C90="OS",E90="Consistent",OR(D90=1,D90=5)),"MODERATE",IF(AND(C90="OS",E90="Partially Consistent",OR(D90=2,D90=4)),"MODERATE","LOW"))))))</f>
        <v/>
      </c>
      <c r="H90" t="inlineStr"/>
      <c r="I90" t="inlineStr"/>
      <c r="J90" t="inlineStr"/>
      <c r="K90" t="inlineStr"/>
      <c r="L90" t="inlineStr"/>
      <c r="M90" t="inlineStr">
        <is>
          <t>https://www.lazada.com.ph/products/pdp-i4358944057-s24446312395.html</t>
        </is>
      </c>
      <c r="N90" t="n">
        <v>1</v>
      </c>
    </row>
    <row r="91">
      <c r="A91" t="inlineStr">
        <is>
          <t>akala ko may bottle na kya dto ako ng order kc nung sa sparkly at pinalitan ko ng fave kc akala ko complete package na</t>
        </is>
      </c>
      <c r="B91" t="inlineStr">
        <is>
          <t>NEGATIVE</t>
        </is>
      </c>
      <c r="C91">
        <f>IF(B91="NEUTRAL","TS","OS")</f>
        <v/>
      </c>
      <c r="D91" t="n">
        <v>3</v>
      </c>
      <c r="E91">
        <f>IF(C91="TS",IF(D91=3,"Consistent",IF(OR(D91=2,D91=4),"Partially Consistent","Inconsistent")),IF(D91=3,"Inconsistent",IF(AND(D91=5,B91="POSITIVE"),"Consistent",IF(AND(D91=1,B91="NEGATIVE"),"Consistent",IF(AND(D91=4,B91="POSITIVE"),"Partially Consistent",IF(AND(D91=2,B91="NEGATIVE"),"Partially Consistent","Inconsistent"))))))</f>
        <v/>
      </c>
      <c r="F91">
        <f>IF(C91="TS","High","Low")</f>
        <v/>
      </c>
      <c r="G91">
        <f>IF(AND(B91="NEUTRAL",F91="Low"),"LOW",IF(AND(C91="TS",F91="High",D91=3),"HIGH",IF(AND(C91="TS",F91="High",OR(D91=2,D91=4)),"MODERATE",IF(AND(C91="TS",F91="High",OR(D91=1,D91=5)),"LOW",IF(AND(C91="OS",E91="Consistent",OR(D91=1,D91=5)),"MODERATE",IF(AND(C91="OS",E91="Partially Consistent",OR(D91=2,D91=4)),"MODERATE","LOW"))))))</f>
        <v/>
      </c>
      <c r="H91" t="inlineStr"/>
      <c r="I91" t="inlineStr"/>
      <c r="J91" t="inlineStr"/>
      <c r="K91" t="inlineStr"/>
      <c r="L91" t="inlineStr"/>
      <c r="M91" t="inlineStr">
        <is>
          <t>https://www.lazada.com.ph/products/pdp-i4358944057-s24446312395.html</t>
        </is>
      </c>
      <c r="N91" t="n">
        <v>1</v>
      </c>
    </row>
    <row r="92">
      <c r="A92" t="inlineStr">
        <is>
          <t>butas po yung isang plastic ng calamansi: (</t>
        </is>
      </c>
      <c r="B92" t="inlineStr">
        <is>
          <t>NEGATIVE</t>
        </is>
      </c>
      <c r="C92">
        <f>IF(B92="NEUTRAL","TS","OS")</f>
        <v/>
      </c>
      <c r="D92" t="n">
        <v>3</v>
      </c>
      <c r="E92">
        <f>IF(C92="TS",IF(D92=3,"Consistent",IF(OR(D92=2,D92=4),"Partially Consistent","Inconsistent")),IF(D92=3,"Inconsistent",IF(AND(D92=5,B92="POSITIVE"),"Consistent",IF(AND(D92=1,B92="NEGATIVE"),"Consistent",IF(AND(D92=4,B92="POSITIVE"),"Partially Consistent",IF(AND(D92=2,B92="NEGATIVE"),"Partially Consistent","Inconsistent"))))))</f>
        <v/>
      </c>
      <c r="F92">
        <f>IF(C92="TS","High","Low")</f>
        <v/>
      </c>
      <c r="G92">
        <f>IF(AND(B92="NEUTRAL",F92="Low"),"LOW",IF(AND(C92="TS",F92="High",D92=3),"HIGH",IF(AND(C92="TS",F92="High",OR(D92=2,D92=4)),"MODERATE",IF(AND(C92="TS",F92="High",OR(D92=1,D92=5)),"LOW",IF(AND(C92="OS",E92="Consistent",OR(D92=1,D92=5)),"MODERATE",IF(AND(C92="OS",E92="Partially Consistent",OR(D92=2,D92=4)),"MODERATE","LOW"))))))</f>
        <v/>
      </c>
      <c r="H92" t="inlineStr"/>
      <c r="I92" t="inlineStr"/>
      <c r="J92" t="inlineStr"/>
      <c r="K92" t="inlineStr"/>
      <c r="L92" t="inlineStr"/>
      <c r="M92" t="inlineStr">
        <is>
          <t>https://www.lazada.com.ph/products/pdp-i4358944057-s24446312395.html</t>
        </is>
      </c>
      <c r="N92" t="n">
        <v>1</v>
      </c>
    </row>
    <row r="93">
      <c r="A93" t="inlineStr">
        <is>
          <t>walang problema sa product ang problema ko hindi nila nilagyan ng sticker, saklap pa di ako nag video, hassle po kayu</t>
        </is>
      </c>
      <c r="B93" t="inlineStr">
        <is>
          <t>NEGATIVE</t>
        </is>
      </c>
      <c r="C93">
        <f>IF(B93="NEUTRAL","TS","OS")</f>
        <v/>
      </c>
      <c r="D93" t="n">
        <v>3</v>
      </c>
      <c r="E93">
        <f>IF(C93="TS",IF(D93=3,"Consistent",IF(OR(D93=2,D93=4),"Partially Consistent","Inconsistent")),IF(D93=3,"Inconsistent",IF(AND(D93=5,B93="POSITIVE"),"Consistent",IF(AND(D93=1,B93="NEGATIVE"),"Consistent",IF(AND(D93=4,B93="POSITIVE"),"Partially Consistent",IF(AND(D93=2,B93="NEGATIVE"),"Partially Consistent","Inconsistent"))))))</f>
        <v/>
      </c>
      <c r="F93">
        <f>IF(C93="TS","High","Low")</f>
        <v/>
      </c>
      <c r="G93">
        <f>IF(AND(B93="NEUTRAL",F93="Low"),"LOW",IF(AND(C93="TS",F93="High",D93=3),"HIGH",IF(AND(C93="TS",F93="High",OR(D93=2,D93=4)),"MODERATE",IF(AND(C93="TS",F93="High",OR(D93=1,D93=5)),"LOW",IF(AND(C93="OS",E93="Consistent",OR(D93=1,D93=5)),"MODERATE",IF(AND(C93="OS",E93="Partially Consistent",OR(D93=2,D93=4)),"MODERATE","LOW"))))))</f>
        <v/>
      </c>
      <c r="H93" t="inlineStr"/>
      <c r="I93" t="inlineStr"/>
      <c r="J93" t="inlineStr"/>
      <c r="K93" t="inlineStr"/>
      <c r="L93" t="inlineStr"/>
      <c r="M93" t="inlineStr">
        <is>
          <t>https://www.lazada.com.ph/products/pdp-i4358944057-s24446312395.html</t>
        </is>
      </c>
      <c r="N93" t="n">
        <v>1</v>
      </c>
    </row>
    <row r="94">
      <c r="A94" t="inlineStr">
        <is>
          <t>messy</t>
        </is>
      </c>
      <c r="B94" t="inlineStr">
        <is>
          <t>NEGATIVE</t>
        </is>
      </c>
      <c r="C94">
        <f>IF(B94="NEUTRAL","TS","OS")</f>
        <v/>
      </c>
      <c r="D94" t="n">
        <v>3</v>
      </c>
      <c r="E94">
        <f>IF(C94="TS",IF(D94=3,"Consistent",IF(OR(D94=2,D94=4),"Partially Consistent","Inconsistent")),IF(D94=3,"Inconsistent",IF(AND(D94=5,B94="POSITIVE"),"Consistent",IF(AND(D94=1,B94="NEGATIVE"),"Consistent",IF(AND(D94=4,B94="POSITIVE"),"Partially Consistent",IF(AND(D94=2,B94="NEGATIVE"),"Partially Consistent","Inconsistent"))))))</f>
        <v/>
      </c>
      <c r="F94">
        <f>IF(C94="TS","High","Low")</f>
        <v/>
      </c>
      <c r="G94">
        <f>IF(AND(B94="NEUTRAL",F94="Low"),"LOW",IF(AND(C94="TS",F94="High",D94=3),"HIGH",IF(AND(C94="TS",F94="High",OR(D94=2,D94=4)),"MODERATE",IF(AND(C94="TS",F94="High",OR(D94=1,D94=5)),"LOW",IF(AND(C94="OS",E94="Consistent",OR(D94=1,D94=5)),"MODERATE",IF(AND(C94="OS",E94="Partially Consistent",OR(D94=2,D94=4)),"MODERATE","LOW"))))))</f>
        <v/>
      </c>
      <c r="H94" t="inlineStr"/>
      <c r="I94" t="inlineStr"/>
      <c r="J94" t="inlineStr"/>
      <c r="K94" t="inlineStr"/>
      <c r="L94" t="inlineStr"/>
      <c r="M94" t="inlineStr">
        <is>
          <t>https://www.lazada.com.ph/products/pdp-i4358944057-s24446312395.html</t>
        </is>
      </c>
      <c r="N94" t="n">
        <v>1</v>
      </c>
    </row>
    <row r="95">
      <c r="A95" t="inlineStr">
        <is>
          <t>tnx seller and delivery guy</t>
        </is>
      </c>
      <c r="B95" t="inlineStr">
        <is>
          <t>POSITIVE</t>
        </is>
      </c>
      <c r="C95">
        <f>IF(B95="NEUTRAL","TS","OS")</f>
        <v/>
      </c>
      <c r="D95" t="n">
        <v>3</v>
      </c>
      <c r="E95">
        <f>IF(C95="TS",IF(D95=3,"Consistent",IF(OR(D95=2,D95=4),"Partially Consistent","Inconsistent")),IF(D95=3,"Inconsistent",IF(AND(D95=5,B95="POSITIVE"),"Consistent",IF(AND(D95=1,B95="NEGATIVE"),"Consistent",IF(AND(D95=4,B95="POSITIVE"),"Partially Consistent",IF(AND(D95=2,B95="NEGATIVE"),"Partially Consistent","Inconsistent"))))))</f>
        <v/>
      </c>
      <c r="F95">
        <f>IF(C95="TS","High","Low")</f>
        <v/>
      </c>
      <c r="G95">
        <f>IF(AND(B95="NEUTRAL",F95="Low"),"LOW",IF(AND(C95="TS",F95="High",D95=3),"HIGH",IF(AND(C95="TS",F95="High",OR(D95=2,D95=4)),"MODERATE",IF(AND(C95="TS",F95="High",OR(D95=1,D95=5)),"LOW",IF(AND(C95="OS",E95="Consistent",OR(D95=1,D95=5)),"MODERATE",IF(AND(C95="OS",E95="Partially Consistent",OR(D95=2,D95=4)),"MODERATE","LOW"))))))</f>
        <v/>
      </c>
      <c r="H95" t="inlineStr"/>
      <c r="I95" t="inlineStr"/>
      <c r="J95" t="inlineStr"/>
      <c r="K95" t="inlineStr"/>
      <c r="L95" t="inlineStr"/>
      <c r="M95" t="inlineStr">
        <is>
          <t>https://www.lazada.com.ph/products/pdp-i4358944057-s24446312395.html</t>
        </is>
      </c>
      <c r="N95" t="n">
        <v>1</v>
      </c>
    </row>
    <row r="96">
      <c r="A96" t="inlineStr">
        <is>
          <t>efficient cleaning power,</t>
        </is>
      </c>
      <c r="B96" t="inlineStr">
        <is>
          <t>NEGATIVE</t>
        </is>
      </c>
      <c r="C96">
        <f>IF(B96="NEUTRAL","TS","OS")</f>
        <v/>
      </c>
      <c r="D96" t="n">
        <v>3</v>
      </c>
      <c r="E96">
        <f>IF(C96="TS",IF(D96=3,"Consistent",IF(OR(D96=2,D96=4),"Partially Consistent","Inconsistent")),IF(D96=3,"Inconsistent",IF(AND(D96=5,B96="POSITIVE"),"Consistent",IF(AND(D96=1,B96="NEGATIVE"),"Consistent",IF(AND(D96=4,B96="POSITIVE"),"Partially Consistent",IF(AND(D96=2,B96="NEGATIVE"),"Partially Consistent","Inconsistent"))))))</f>
        <v/>
      </c>
      <c r="F96">
        <f>IF(C96="TS","High","Low")</f>
        <v/>
      </c>
      <c r="G96">
        <f>IF(AND(B96="NEUTRAL",F96="Low"),"LOW",IF(AND(C96="TS",F96="High",D96=3),"HIGH",IF(AND(C96="TS",F96="High",OR(D96=2,D96=4)),"MODERATE",IF(AND(C96="TS",F96="High",OR(D96=1,D96=5)),"LOW",IF(AND(C96="OS",E96="Consistent",OR(D96=1,D96=5)),"MODERATE",IF(AND(C96="OS",E96="Partially Consistent",OR(D96=2,D96=4)),"MODERATE","LOW"))))))</f>
        <v/>
      </c>
      <c r="H96" t="inlineStr"/>
      <c r="I96" t="inlineStr"/>
      <c r="J96" t="inlineStr"/>
      <c r="K96" t="inlineStr"/>
      <c r="L96" t="inlineStr"/>
      <c r="M96" t="inlineStr">
        <is>
          <t>https://www.lazada.com.ph/products/pdp-i4358944057-s24446312395.html</t>
        </is>
      </c>
      <c r="N96" t="n">
        <v>1</v>
      </c>
    </row>
    <row r="97">
      <c r="A97" t="inlineStr">
        <is>
          <t>effectiveness: kxidikdidididikjdjdjjdjdjdjjdjdjdjdjjdj scent: krjrkjfkfkfkfkfkkrkrkkrkrkrkkrkrkrkrkkrkrkrk</t>
        </is>
      </c>
      <c r="B97" t="inlineStr">
        <is>
          <t>NEGATIVE</t>
        </is>
      </c>
      <c r="C97">
        <f>IF(B97="NEUTRAL","TS","OS")</f>
        <v/>
      </c>
      <c r="D97" t="n">
        <v>3</v>
      </c>
      <c r="E97">
        <f>IF(C97="TS",IF(D97=3,"Consistent",IF(OR(D97=2,D97=4),"Partially Consistent","Inconsistent")),IF(D97=3,"Inconsistent",IF(AND(D97=5,B97="POSITIVE"),"Consistent",IF(AND(D97=1,B97="NEGATIVE"),"Consistent",IF(AND(D97=4,B97="POSITIVE"),"Partially Consistent",IF(AND(D97=2,B97="NEGATIVE"),"Partially Consistent","Inconsistent"))))))</f>
        <v/>
      </c>
      <c r="F97">
        <f>IF(C97="TS","High","Low")</f>
        <v/>
      </c>
      <c r="G97">
        <f>IF(AND(B97="NEUTRAL",F97="Low"),"LOW",IF(AND(C97="TS",F97="High",D97=3),"HIGH",IF(AND(C97="TS",F97="High",OR(D97=2,D97=4)),"MODERATE",IF(AND(C97="TS",F97="High",OR(D97=1,D97=5)),"LOW",IF(AND(C97="OS",E97="Consistent",OR(D97=1,D97=5)),"MODERATE",IF(AND(C97="OS",E97="Partially Consistent",OR(D97=2,D97=4)),"MODERATE","LOW"))))))</f>
        <v/>
      </c>
      <c r="H97" t="inlineStr"/>
      <c r="I97" t="inlineStr"/>
      <c r="J97" t="inlineStr"/>
      <c r="K97" t="inlineStr"/>
      <c r="L97" t="inlineStr"/>
      <c r="M97" t="inlineStr">
        <is>
          <t>https://www.lazada.com.ph/products/pdp-i4358944057-s24446312395.html</t>
        </is>
      </c>
      <c r="N97" t="n">
        <v>1</v>
      </c>
    </row>
    <row r="98">
      <c r="A98" t="inlineStr">
        <is>
          <t>5 star sana kasoorder q isa green at isa blue un antibac pinadala ni seller pareho green hayss kains</t>
        </is>
      </c>
      <c r="B98" t="inlineStr">
        <is>
          <t>NEGATIVE</t>
        </is>
      </c>
      <c r="C98">
        <f>IF(B98="NEUTRAL","TS","OS")</f>
        <v/>
      </c>
      <c r="D98" t="n">
        <v>3</v>
      </c>
      <c r="E98">
        <f>IF(C98="TS",IF(D98=3,"Consistent",IF(OR(D98=2,D98=4),"Partially Consistent","Inconsistent")),IF(D98=3,"Inconsistent",IF(AND(D98=5,B98="POSITIVE"),"Consistent",IF(AND(D98=1,B98="NEGATIVE"),"Consistent",IF(AND(D98=4,B98="POSITIVE"),"Partially Consistent",IF(AND(D98=2,B98="NEGATIVE"),"Partially Consistent","Inconsistent"))))))</f>
        <v/>
      </c>
      <c r="F98">
        <f>IF(C98="TS","High","Low")</f>
        <v/>
      </c>
      <c r="G98">
        <f>IF(AND(B98="NEUTRAL",F98="Low"),"LOW",IF(AND(C98="TS",F98="High",D98=3),"HIGH",IF(AND(C98="TS",F98="High",OR(D98=2,D98=4)),"MODERATE",IF(AND(C98="TS",F98="High",OR(D98=1,D98=5)),"LOW",IF(AND(C98="OS",E98="Consistent",OR(D98=1,D98=5)),"MODERATE",IF(AND(C98="OS",E98="Partially Consistent",OR(D98=2,D98=4)),"MODERATE","LOW"))))))</f>
        <v/>
      </c>
      <c r="H98" t="inlineStr"/>
      <c r="I98" t="inlineStr"/>
      <c r="J98" t="inlineStr"/>
      <c r="K98" t="inlineStr"/>
      <c r="L98" t="inlineStr"/>
      <c r="M98" t="inlineStr">
        <is>
          <t>https://www.lazada.com.ph/products/pdp-i4358944057-s24446312395.html</t>
        </is>
      </c>
      <c r="N98" t="n">
        <v>1</v>
      </c>
    </row>
    <row r="99">
      <c r="A99" t="inlineStr">
        <is>
          <t>great for everyday use,</t>
        </is>
      </c>
      <c r="B99" t="inlineStr">
        <is>
          <t>POSITIVE</t>
        </is>
      </c>
      <c r="C99">
        <f>IF(B99="NEUTRAL","TS","OS")</f>
        <v/>
      </c>
      <c r="D99" t="n">
        <v>3</v>
      </c>
      <c r="E99">
        <f>IF(C99="TS",IF(D99=3,"Consistent",IF(OR(D99=2,D99=4),"Partially Consistent","Inconsistent")),IF(D99=3,"Inconsistent",IF(AND(D99=5,B99="POSITIVE"),"Consistent",IF(AND(D99=1,B99="NEGATIVE"),"Consistent",IF(AND(D99=4,B99="POSITIVE"),"Partially Consistent",IF(AND(D99=2,B99="NEGATIVE"),"Partially Consistent","Inconsistent"))))))</f>
        <v/>
      </c>
      <c r="F99">
        <f>IF(C99="TS","High","Low")</f>
        <v/>
      </c>
      <c r="G99">
        <f>IF(AND(B99="NEUTRAL",F99="Low"),"LOW",IF(AND(C99="TS",F99="High",D99=3),"HIGH",IF(AND(C99="TS",F99="High",OR(D99=2,D99=4)),"MODERATE",IF(AND(C99="TS",F99="High",OR(D99=1,D99=5)),"LOW",IF(AND(C99="OS",E99="Consistent",OR(D99=1,D99=5)),"MODERATE",IF(AND(C99="OS",E99="Partially Consistent",OR(D99=2,D99=4)),"MODERATE","LOW"))))))</f>
        <v/>
      </c>
      <c r="H99" t="inlineStr"/>
      <c r="I99" t="inlineStr"/>
      <c r="J99" t="inlineStr"/>
      <c r="K99" t="inlineStr"/>
      <c r="L99" t="inlineStr"/>
      <c r="M99" t="inlineStr">
        <is>
          <t>https://www.lazada.com.ph/products/pdp-i4358944057-s24446312395.html</t>
        </is>
      </c>
      <c r="N99" t="n">
        <v>1</v>
      </c>
    </row>
    <row r="100">
      <c r="A100" t="inlineStr">
        <is>
          <t>courier problem</t>
        </is>
      </c>
      <c r="B100" t="inlineStr">
        <is>
          <t>NEGATIVE</t>
        </is>
      </c>
      <c r="C100">
        <f>IF(B100="NEUTRAL","TS","OS")</f>
        <v/>
      </c>
      <c r="D100" t="n">
        <v>3</v>
      </c>
      <c r="E100">
        <f>IF(C100="TS",IF(D100=3,"Consistent",IF(OR(D100=2,D100=4),"Partially Consistent","Inconsistent")),IF(D100=3,"Inconsistent",IF(AND(D100=5,B100="POSITIVE"),"Consistent",IF(AND(D100=1,B100="NEGATIVE"),"Consistent",IF(AND(D100=4,B100="POSITIVE"),"Partially Consistent",IF(AND(D100=2,B100="NEGATIVE"),"Partially Consistent","Inconsistent"))))))</f>
        <v/>
      </c>
      <c r="F100">
        <f>IF(C100="TS","High","Low")</f>
        <v/>
      </c>
      <c r="G100">
        <f>IF(AND(B100="NEUTRAL",F100="Low"),"LOW",IF(AND(C100="TS",F100="High",D100=3),"HIGH",IF(AND(C100="TS",F100="High",OR(D100=2,D100=4)),"MODERATE",IF(AND(C100="TS",F100="High",OR(D100=1,D100=5)),"LOW",IF(AND(C100="OS",E100="Consistent",OR(D100=1,D100=5)),"MODERATE",IF(AND(C100="OS",E100="Partially Consistent",OR(D100=2,D100=4)),"MODERATE","LOW"))))))</f>
        <v/>
      </c>
      <c r="H100" t="inlineStr"/>
      <c r="I100" t="inlineStr"/>
      <c r="J100" t="inlineStr"/>
      <c r="K100" t="inlineStr"/>
      <c r="L100" t="inlineStr"/>
      <c r="M100" t="inlineStr">
        <is>
          <t>https://www.lazada.com.ph/products/pdp-i4358944057-s24446312395.html</t>
        </is>
      </c>
      <c r="N100" t="n">
        <v>1</v>
      </c>
    </row>
    <row r="101">
      <c r="A101" t="inlineStr">
        <is>
          <t>berry splash ang oder k iba nmn ibinigy nyo detergent antibac nmn sna kung ano yong order ung ang ibigy nyo.</t>
        </is>
      </c>
      <c r="B101" t="inlineStr">
        <is>
          <t>NEGATIVE</t>
        </is>
      </c>
      <c r="C101">
        <f>IF(B101="NEUTRAL","TS","OS")</f>
        <v/>
      </c>
      <c r="D101" t="n">
        <v>3</v>
      </c>
      <c r="E101">
        <f>IF(C101="TS",IF(D101=3,"Consistent",IF(OR(D101=2,D101=4),"Partially Consistent","Inconsistent")),IF(D101=3,"Inconsistent",IF(AND(D101=5,B101="POSITIVE"),"Consistent",IF(AND(D101=1,B101="NEGATIVE"),"Consistent",IF(AND(D101=4,B101="POSITIVE"),"Partially Consistent",IF(AND(D101=2,B101="NEGATIVE"),"Partially Consistent","Inconsistent"))))))</f>
        <v/>
      </c>
      <c r="F101">
        <f>IF(C101="TS","High","Low")</f>
        <v/>
      </c>
      <c r="G101">
        <f>IF(AND(B101="NEUTRAL",F101="Low"),"LOW",IF(AND(C101="TS",F101="High",D101=3),"HIGH",IF(AND(C101="TS",F101="High",OR(D101=2,D101=4)),"MODERATE",IF(AND(C101="TS",F101="High",OR(D101=1,D101=5)),"LOW",IF(AND(C101="OS",E101="Consistent",OR(D101=1,D101=5)),"MODERATE",IF(AND(C101="OS",E101="Partially Consistent",OR(D101=2,D101=4)),"MODERATE","LOW"))))))</f>
        <v/>
      </c>
      <c r="H101" t="inlineStr"/>
      <c r="I101" t="inlineStr"/>
      <c r="J101" t="inlineStr"/>
      <c r="K101" t="inlineStr"/>
      <c r="L101" t="inlineStr"/>
      <c r="M101" t="inlineStr">
        <is>
          <t>https://www.lazada.com.ph/products/pdp-i4358944057-s24446312395.html</t>
        </is>
      </c>
      <c r="N101" t="n">
        <v>1</v>
      </c>
    </row>
    <row r="102">
      <c r="A102" t="inlineStr">
        <is>
          <t>natimpla ko na pero hindi ko pa nagamit and hoping sana na mas maganda eto kaysa sa previous other brand na ginamit ko. for now bigay muna ako ng 3 stars.</t>
        </is>
      </c>
      <c r="B102" t="inlineStr">
        <is>
          <t>NEUTRAL</t>
        </is>
      </c>
      <c r="C102">
        <f>IF(B102="NEUTRAL","TS","OS")</f>
        <v/>
      </c>
      <c r="D102" t="n">
        <v>3</v>
      </c>
      <c r="E102">
        <f>IF(C102="TS",IF(D102=3,"Consistent",IF(OR(D102=2,D102=4),"Partially Consistent","Inconsistent")),IF(D102=3,"Inconsistent",IF(AND(D102=5,B102="POSITIVE"),"Consistent",IF(AND(D102=1,B102="NEGATIVE"),"Consistent",IF(AND(D102=4,B102="POSITIVE"),"Partially Consistent",IF(AND(D102=2,B102="NEGATIVE"),"Partially Consistent","Inconsistent"))))))</f>
        <v/>
      </c>
      <c r="F102">
        <f>IF(C102="TS","High","Low")</f>
        <v/>
      </c>
      <c r="G102">
        <f>IF(AND(B102="NEUTRAL",F102="Low"),"LOW",IF(AND(C102="TS",F102="High",D102=3),"HIGH",IF(AND(C102="TS",F102="High",OR(D102=2,D102=4)),"MODERATE",IF(AND(C102="TS",F102="High",OR(D102=1,D102=5)),"LOW",IF(AND(C102="OS",E102="Consistent",OR(D102=1,D102=5)),"MODERATE",IF(AND(C102="OS",E102="Partially Consistent",OR(D102=2,D102=4)),"MODERATE","LOW"))))))</f>
        <v/>
      </c>
      <c r="H102" t="inlineStr"/>
      <c r="I102" t="inlineStr"/>
      <c r="J102" t="inlineStr"/>
      <c r="K102" t="inlineStr"/>
      <c r="L102" t="inlineStr"/>
      <c r="M102" t="inlineStr">
        <is>
          <t>https://www.lazada.com.ph/products/pdp-i4358944057-s24446312395.html</t>
        </is>
      </c>
      <c r="N102" t="n">
        <v>1</v>
      </c>
    </row>
    <row r="103">
      <c r="A103" t="inlineStr">
        <is>
          <t>2 calamansi order pinadala instaed na 1 antibac at 1 calamqnsi</t>
        </is>
      </c>
      <c r="B103" t="inlineStr">
        <is>
          <t>NEGATIVE</t>
        </is>
      </c>
      <c r="C103">
        <f>IF(B103="NEUTRAL","TS","OS")</f>
        <v/>
      </c>
      <c r="D103" t="n">
        <v>3</v>
      </c>
      <c r="E103">
        <f>IF(C103="TS",IF(D103=3,"Consistent",IF(OR(D103=2,D103=4),"Partially Consistent","Inconsistent")),IF(D103=3,"Inconsistent",IF(AND(D103=5,B103="POSITIVE"),"Consistent",IF(AND(D103=1,B103="NEGATIVE"),"Consistent",IF(AND(D103=4,B103="POSITIVE"),"Partially Consistent",IF(AND(D103=2,B103="NEGATIVE"),"Partially Consistent","Inconsistent"))))))</f>
        <v/>
      </c>
      <c r="F103">
        <f>IF(C103="TS","High","Low")</f>
        <v/>
      </c>
      <c r="G103">
        <f>IF(AND(B103="NEUTRAL",F103="Low"),"LOW",IF(AND(C103="TS",F103="High",D103=3),"HIGH",IF(AND(C103="TS",F103="High",OR(D103=2,D103=4)),"MODERATE",IF(AND(C103="TS",F103="High",OR(D103=1,D103=5)),"LOW",IF(AND(C103="OS",E103="Consistent",OR(D103=1,D103=5)),"MODERATE",IF(AND(C103="OS",E103="Partially Consistent",OR(D103=2,D103=4)),"MODERATE","LOW"))))))</f>
        <v/>
      </c>
      <c r="H103" t="inlineStr"/>
      <c r="I103" t="inlineStr"/>
      <c r="J103" t="inlineStr"/>
      <c r="K103" t="inlineStr"/>
      <c r="L103" t="inlineStr"/>
      <c r="M103" t="inlineStr">
        <is>
          <t>https://www.lazada.com.ph/products/pdp-i4358944057-s24446312395.html</t>
        </is>
      </c>
      <c r="N103" t="n">
        <v>1</v>
      </c>
    </row>
    <row r="104">
      <c r="A104" t="inlineStr">
        <is>
          <t>consistency of viscosity should be maintained</t>
        </is>
      </c>
      <c r="B104" t="inlineStr">
        <is>
          <t>NEGATIVE</t>
        </is>
      </c>
      <c r="C104">
        <f>IF(B104="NEUTRAL","TS","OS")</f>
        <v/>
      </c>
      <c r="D104" t="n">
        <v>3</v>
      </c>
      <c r="E104">
        <f>IF(C104="TS",IF(D104=3,"Consistent",IF(OR(D104=2,D104=4),"Partially Consistent","Inconsistent")),IF(D104=3,"Inconsistent",IF(AND(D104=5,B104="POSITIVE"),"Consistent",IF(AND(D104=1,B104="NEGATIVE"),"Consistent",IF(AND(D104=4,B104="POSITIVE"),"Partially Consistent",IF(AND(D104=2,B104="NEGATIVE"),"Partially Consistent","Inconsistent"))))))</f>
        <v/>
      </c>
      <c r="F104">
        <f>IF(C104="TS","High","Low")</f>
        <v/>
      </c>
      <c r="G104">
        <f>IF(AND(B104="NEUTRAL",F104="Low"),"LOW",IF(AND(C104="TS",F104="High",D104=3),"HIGH",IF(AND(C104="TS",F104="High",OR(D104=2,D104=4)),"MODERATE",IF(AND(C104="TS",F104="High",OR(D104=1,D104=5)),"LOW",IF(AND(C104="OS",E104="Consistent",OR(D104=1,D104=5)),"MODERATE",IF(AND(C104="OS",E104="Partially Consistent",OR(D104=2,D104=4)),"MODERATE","LOW"))))))</f>
        <v/>
      </c>
      <c r="H104" t="inlineStr"/>
      <c r="I104" t="inlineStr"/>
      <c r="J104" t="inlineStr"/>
      <c r="K104" t="inlineStr"/>
      <c r="L104" t="inlineStr"/>
      <c r="M104" t="inlineStr">
        <is>
          <t>https://www.lazada.com.ph/products/pdp-i4358944057-s24446312395.html</t>
        </is>
      </c>
      <c r="N104" t="n">
        <v>1</v>
      </c>
    </row>
    <row r="105">
      <c r="A105" t="inlineStr">
        <is>
          <t>fragrance is light but ok. the thickness isnt thick like i usually buy this product.</t>
        </is>
      </c>
      <c r="B105" t="inlineStr">
        <is>
          <t>NEUTRAL</t>
        </is>
      </c>
      <c r="C105">
        <f>IF(B105="NEUTRAL","TS","OS")</f>
        <v/>
      </c>
      <c r="D105" t="n">
        <v>3</v>
      </c>
      <c r="E105">
        <f>IF(C105="TS",IF(D105=3,"Consistent",IF(OR(D105=2,D105=4),"Partially Consistent","Inconsistent")),IF(D105=3,"Inconsistent",IF(AND(D105=5,B105="POSITIVE"),"Consistent",IF(AND(D105=1,B105="NEGATIVE"),"Consistent",IF(AND(D105=4,B105="POSITIVE"),"Partially Consistent",IF(AND(D105=2,B105="NEGATIVE"),"Partially Consistent","Inconsistent"))))))</f>
        <v/>
      </c>
      <c r="F105">
        <f>IF(C105="TS","High","Low")</f>
        <v/>
      </c>
      <c r="G105">
        <f>IF(AND(B105="NEUTRAL",F105="Low"),"LOW",IF(AND(C105="TS",F105="High",D105=3),"HIGH",IF(AND(C105="TS",F105="High",OR(D105=2,D105=4)),"MODERATE",IF(AND(C105="TS",F105="High",OR(D105=1,D105=5)),"LOW",IF(AND(C105="OS",E105="Consistent",OR(D105=1,D105=5)),"MODERATE",IF(AND(C105="OS",E105="Partially Consistent",OR(D105=2,D105=4)),"MODERATE","LOW"))))))</f>
        <v/>
      </c>
      <c r="H105" t="inlineStr"/>
      <c r="I105" t="inlineStr"/>
      <c r="J105" t="inlineStr"/>
      <c r="K105" t="inlineStr"/>
      <c r="L105" t="inlineStr"/>
      <c r="M105" t="inlineStr">
        <is>
          <t>https://www.lazada.com.ph/products/pdp-i4358944057-s24446312395.html</t>
        </is>
      </c>
      <c r="N105" t="n">
        <v>1</v>
      </c>
    </row>
    <row r="106">
      <c r="A106" t="inlineStr">
        <is>
          <t>gentle on hands, eco-friendly packaging, refreshing citrus scent, convenient and easy to use,</t>
        </is>
      </c>
      <c r="B106" t="inlineStr">
        <is>
          <t>POSITIVE</t>
        </is>
      </c>
      <c r="C106">
        <f>IF(B106="NEUTRAL","TS","OS")</f>
        <v/>
      </c>
      <c r="D106" t="n">
        <v>3</v>
      </c>
      <c r="E106">
        <f>IF(C106="TS",IF(D106=3,"Consistent",IF(OR(D106=2,D106=4),"Partially Consistent","Inconsistent")),IF(D106=3,"Inconsistent",IF(AND(D106=5,B106="POSITIVE"),"Consistent",IF(AND(D106=1,B106="NEGATIVE"),"Consistent",IF(AND(D106=4,B106="POSITIVE"),"Partially Consistent",IF(AND(D106=2,B106="NEGATIVE"),"Partially Consistent","Inconsistent"))))))</f>
        <v/>
      </c>
      <c r="F106">
        <f>IF(C106="TS","High","Low")</f>
        <v/>
      </c>
      <c r="G106">
        <f>IF(AND(B106="NEUTRAL",F106="Low"),"LOW",IF(AND(C106="TS",F106="High",D106=3),"HIGH",IF(AND(C106="TS",F106="High",OR(D106=2,D106=4)),"MODERATE",IF(AND(C106="TS",F106="High",OR(D106=1,D106=5)),"LOW",IF(AND(C106="OS",E106="Consistent",OR(D106=1,D106=5)),"MODERATE",IF(AND(C106="OS",E106="Partially Consistent",OR(D106=2,D106=4)),"MODERATE","LOW"))))))</f>
        <v/>
      </c>
      <c r="H106" t="inlineStr"/>
      <c r="I106" t="inlineStr"/>
      <c r="J106" t="inlineStr"/>
      <c r="K106" t="inlineStr"/>
      <c r="L106" t="inlineStr"/>
      <c r="M106" t="inlineStr">
        <is>
          <t>https://www.lazada.com.ph/products/pdp-i4358944057-s24446312395.html</t>
        </is>
      </c>
      <c r="N106" t="n">
        <v>1</v>
      </c>
    </row>
    <row r="107">
      <c r="A107" t="inlineStr">
        <is>
          <t>akala q may kasama bottle d q din nareview may mas mabango pla original tuloy napili q. .</t>
        </is>
      </c>
      <c r="B107" t="inlineStr">
        <is>
          <t>NEGATIVE</t>
        </is>
      </c>
      <c r="C107">
        <f>IF(B107="NEUTRAL","TS","OS")</f>
        <v/>
      </c>
      <c r="D107" t="n">
        <v>3</v>
      </c>
      <c r="E107">
        <f>IF(C107="TS",IF(D107=3,"Consistent",IF(OR(D107=2,D107=4),"Partially Consistent","Inconsistent")),IF(D107=3,"Inconsistent",IF(AND(D107=5,B107="POSITIVE"),"Consistent",IF(AND(D107=1,B107="NEGATIVE"),"Consistent",IF(AND(D107=4,B107="POSITIVE"),"Partially Consistent",IF(AND(D107=2,B107="NEGATIVE"),"Partially Consistent","Inconsistent"))))))</f>
        <v/>
      </c>
      <c r="F107">
        <f>IF(C107="TS","High","Low")</f>
        <v/>
      </c>
      <c r="G107">
        <f>IF(AND(B107="NEUTRAL",F107="Low"),"LOW",IF(AND(C107="TS",F107="High",D107=3),"HIGH",IF(AND(C107="TS",F107="High",OR(D107=2,D107=4)),"MODERATE",IF(AND(C107="TS",F107="High",OR(D107=1,D107=5)),"LOW",IF(AND(C107="OS",E107="Consistent",OR(D107=1,D107=5)),"MODERATE",IF(AND(C107="OS",E107="Partially Consistent",OR(D107=2,D107=4)),"MODERATE","LOW"))))))</f>
        <v/>
      </c>
      <c r="H107" t="inlineStr"/>
      <c r="I107" t="inlineStr"/>
      <c r="J107" t="inlineStr"/>
      <c r="K107" t="inlineStr"/>
      <c r="L107" t="inlineStr"/>
      <c r="M107" t="inlineStr">
        <is>
          <t>https://www.lazada.com.ph/products/pdp-i4358944057-s24446312395.html</t>
        </is>
      </c>
      <c r="N107" t="n">
        <v>1</v>
      </c>
    </row>
    <row r="108">
      <c r="A108" t="inlineStr">
        <is>
          <t>effectiveness: ok naman xa d lang gaanu nktatangal ng sebu scent: mild lng d matapang eco-friendliness: eco-friendly packaging, gentle on hands,</t>
        </is>
      </c>
      <c r="B108" t="inlineStr">
        <is>
          <t>NEUTRAL</t>
        </is>
      </c>
      <c r="C108">
        <f>IF(B108="NEUTRAL","TS","OS")</f>
        <v/>
      </c>
      <c r="D108" t="n">
        <v>3</v>
      </c>
      <c r="E108">
        <f>IF(C108="TS",IF(D108=3,"Consistent",IF(OR(D108=2,D108=4),"Partially Consistent","Inconsistent")),IF(D108=3,"Inconsistent",IF(AND(D108=5,B108="POSITIVE"),"Consistent",IF(AND(D108=1,B108="NEGATIVE"),"Consistent",IF(AND(D108=4,B108="POSITIVE"),"Partially Consistent",IF(AND(D108=2,B108="NEGATIVE"),"Partially Consistent","Inconsistent"))))))</f>
        <v/>
      </c>
      <c r="F108">
        <f>IF(C108="TS","High","Low")</f>
        <v/>
      </c>
      <c r="G108">
        <f>IF(AND(B108="NEUTRAL",F108="Low"),"LOW",IF(AND(C108="TS",F108="High",D108=3),"HIGH",IF(AND(C108="TS",F108="High",OR(D108=2,D108=4)),"MODERATE",IF(AND(C108="TS",F108="High",OR(D108=1,D108=5)),"LOW",IF(AND(C108="OS",E108="Consistent",OR(D108=1,D108=5)),"MODERATE",IF(AND(C108="OS",E108="Partially Consistent",OR(D108=2,D108=4)),"MODERATE","LOW"))))))</f>
        <v/>
      </c>
      <c r="H108" t="inlineStr"/>
      <c r="I108" t="inlineStr"/>
      <c r="J108" t="inlineStr"/>
      <c r="K108" t="inlineStr"/>
      <c r="L108" t="inlineStr"/>
      <c r="M108" t="inlineStr">
        <is>
          <t>https://www.lazada.com.ph/products/pdp-i4358944057-s24446312395.html</t>
        </is>
      </c>
      <c r="N108" t="n">
        <v>1</v>
      </c>
    </row>
    <row r="109">
      <c r="A109" t="inlineStr">
        <is>
          <t>eco-friendly packaging,</t>
        </is>
      </c>
      <c r="B109" t="inlineStr">
        <is>
          <t>NEGATIVE</t>
        </is>
      </c>
      <c r="C109">
        <f>IF(B109="NEUTRAL","TS","OS")</f>
        <v/>
      </c>
      <c r="D109" t="n">
        <v>3</v>
      </c>
      <c r="E109">
        <f>IF(C109="TS",IF(D109=3,"Consistent",IF(OR(D109=2,D109=4),"Partially Consistent","Inconsistent")),IF(D109=3,"Inconsistent",IF(AND(D109=5,B109="POSITIVE"),"Consistent",IF(AND(D109=1,B109="NEGATIVE"),"Consistent",IF(AND(D109=4,B109="POSITIVE"),"Partially Consistent",IF(AND(D109=2,B109="NEGATIVE"),"Partially Consistent","Inconsistent"))))))</f>
        <v/>
      </c>
      <c r="F109">
        <f>IF(C109="TS","High","Low")</f>
        <v/>
      </c>
      <c r="G109">
        <f>IF(AND(B109="NEUTRAL",F109="Low"),"LOW",IF(AND(C109="TS",F109="High",D109=3),"HIGH",IF(AND(C109="TS",F109="High",OR(D109=2,D109=4)),"MODERATE",IF(AND(C109="TS",F109="High",OR(D109=1,D109=5)),"LOW",IF(AND(C109="OS",E109="Consistent",OR(D109=1,D109=5)),"MODERATE",IF(AND(C109="OS",E109="Partially Consistent",OR(D109=2,D109=4)),"MODERATE","LOW"))))))</f>
        <v/>
      </c>
      <c r="H109" t="inlineStr"/>
      <c r="I109" t="inlineStr"/>
      <c r="J109" t="inlineStr"/>
      <c r="K109" t="inlineStr"/>
      <c r="L109" t="inlineStr"/>
      <c r="M109" t="inlineStr">
        <is>
          <t>https://www.lazada.com.ph/products/pdp-i4358944057-s24446312395.html</t>
        </is>
      </c>
      <c r="N109" t="n">
        <v>1</v>
      </c>
    </row>
    <row r="110">
      <c r="A110" t="inlineStr">
        <is>
          <t>sa boundle na to na dismaya ako hindi man lang inayos basta lang kinahon niyupi ung mga bote, ung sticker gusot gusot. ang panget tuloy tignan. kahit ano ayos nung mga bote kitq pa din ung marka ng pagka yupi ng bote.</t>
        </is>
      </c>
      <c r="B110" t="inlineStr">
        <is>
          <t>NEGATIVE</t>
        </is>
      </c>
      <c r="C110">
        <f>IF(B110="NEUTRAL","TS","OS")</f>
        <v/>
      </c>
      <c r="D110" t="n">
        <v>3</v>
      </c>
      <c r="E110">
        <f>IF(C110="TS",IF(D110=3,"Consistent",IF(OR(D110=2,D110=4),"Partially Consistent","Inconsistent")),IF(D110=3,"Inconsistent",IF(AND(D110=5,B110="POSITIVE"),"Consistent",IF(AND(D110=1,B110="NEGATIVE"),"Consistent",IF(AND(D110=4,B110="POSITIVE"),"Partially Consistent",IF(AND(D110=2,B110="NEGATIVE"),"Partially Consistent","Inconsistent"))))))</f>
        <v/>
      </c>
      <c r="F110">
        <f>IF(C110="TS","High","Low")</f>
        <v/>
      </c>
      <c r="G110">
        <f>IF(AND(B110="NEUTRAL",F110="Low"),"LOW",IF(AND(C110="TS",F110="High",D110=3),"HIGH",IF(AND(C110="TS",F110="High",OR(D110=2,D110=4)),"MODERATE",IF(AND(C110="TS",F110="High",OR(D110=1,D110=5)),"LOW",IF(AND(C110="OS",E110="Consistent",OR(D110=1,D110=5)),"MODERATE",IF(AND(C110="OS",E110="Partially Consistent",OR(D110=2,D110=4)),"MODERATE","LOW"))))))</f>
        <v/>
      </c>
      <c r="H110" t="inlineStr"/>
      <c r="I110" t="inlineStr"/>
      <c r="J110" t="inlineStr"/>
      <c r="K110" t="inlineStr"/>
      <c r="L110" t="inlineStr"/>
      <c r="M110" t="inlineStr">
        <is>
          <t>https://www.lazada.com.ph/products/pdp-i4358944057-s24446312395.html</t>
        </is>
      </c>
      <c r="N110" t="n">
        <v>1</v>
      </c>
    </row>
    <row r="111">
      <c r="A111" t="inlineStr">
        <is>
          <t>great for everyday use,</t>
        </is>
      </c>
      <c r="B111" t="inlineStr">
        <is>
          <t>POSITIVE</t>
        </is>
      </c>
      <c r="C111">
        <f>IF(B111="NEUTRAL","TS","OS")</f>
        <v/>
      </c>
      <c r="D111" t="n">
        <v>3</v>
      </c>
      <c r="E111">
        <f>IF(C111="TS",IF(D111=3,"Consistent",IF(OR(D111=2,D111=4),"Partially Consistent","Inconsistent")),IF(D111=3,"Inconsistent",IF(AND(D111=5,B111="POSITIVE"),"Consistent",IF(AND(D111=1,B111="NEGATIVE"),"Consistent",IF(AND(D111=4,B111="POSITIVE"),"Partially Consistent",IF(AND(D111=2,B111="NEGATIVE"),"Partially Consistent","Inconsistent"))))))</f>
        <v/>
      </c>
      <c r="F111">
        <f>IF(C111="TS","High","Low")</f>
        <v/>
      </c>
      <c r="G111">
        <f>IF(AND(B111="NEUTRAL",F111="Low"),"LOW",IF(AND(C111="TS",F111="High",D111=3),"HIGH",IF(AND(C111="TS",F111="High",OR(D111=2,D111=4)),"MODERATE",IF(AND(C111="TS",F111="High",OR(D111=1,D111=5)),"LOW",IF(AND(C111="OS",E111="Consistent",OR(D111=1,D111=5)),"MODERATE",IF(AND(C111="OS",E111="Partially Consistent",OR(D111=2,D111=4)),"MODERATE","LOW"))))))</f>
        <v/>
      </c>
      <c r="H111" t="inlineStr"/>
      <c r="I111" t="inlineStr"/>
      <c r="J111" t="inlineStr"/>
      <c r="K111" t="inlineStr"/>
      <c r="L111" t="inlineStr"/>
      <c r="M111" t="inlineStr">
        <is>
          <t>https://www.lazada.com.ph/products/pdp-i4358944057-s24446312395.html</t>
        </is>
      </c>
      <c r="N111" t="n">
        <v>1</v>
      </c>
    </row>
    <row r="112">
      <c r="A112" t="inlineStr">
        <is>
          <t>long-lasting freshness, great for everyday use, di pa nattry kung ok ba or hindi baguhin ko rating pag ok n ok</t>
        </is>
      </c>
      <c r="B112" t="inlineStr">
        <is>
          <t>NEUTRAL</t>
        </is>
      </c>
      <c r="C112">
        <f>IF(B112="NEUTRAL","TS","OS")</f>
        <v/>
      </c>
      <c r="D112" t="n">
        <v>3</v>
      </c>
      <c r="E112">
        <f>IF(C112="TS",IF(D112=3,"Consistent",IF(OR(D112=2,D112=4),"Partially Consistent","Inconsistent")),IF(D112=3,"Inconsistent",IF(AND(D112=5,B112="POSITIVE"),"Consistent",IF(AND(D112=1,B112="NEGATIVE"),"Consistent",IF(AND(D112=4,B112="POSITIVE"),"Partially Consistent",IF(AND(D112=2,B112="NEGATIVE"),"Partially Consistent","Inconsistent"))))))</f>
        <v/>
      </c>
      <c r="F112">
        <f>IF(C112="TS","High","Low")</f>
        <v/>
      </c>
      <c r="G112">
        <f>IF(AND(B112="NEUTRAL",F112="Low"),"LOW",IF(AND(C112="TS",F112="High",D112=3),"HIGH",IF(AND(C112="TS",F112="High",OR(D112=2,D112=4)),"MODERATE",IF(AND(C112="TS",F112="High",OR(D112=1,D112=5)),"LOW",IF(AND(C112="OS",E112="Consistent",OR(D112=1,D112=5)),"MODERATE",IF(AND(C112="OS",E112="Partially Consistent",OR(D112=2,D112=4)),"MODERATE","LOW"))))))</f>
        <v/>
      </c>
      <c r="H112" t="inlineStr"/>
      <c r="I112" t="inlineStr"/>
      <c r="J112" t="inlineStr"/>
      <c r="K112" t="inlineStr"/>
      <c r="L112" t="inlineStr"/>
      <c r="M112" t="inlineStr">
        <is>
          <t>https://www.lazada.com.ph/products/pdp-i4358944057-s24446312395.html</t>
        </is>
      </c>
      <c r="N112" t="n">
        <v>1</v>
      </c>
    </row>
    <row r="113">
      <c r="A113" t="inlineStr">
        <is>
          <t>tiramisu cake, tiramisu cake tiramisu cake tiramisu cake tiramisu cake tiramisu cake tiramisu cake tiramisu cake</t>
        </is>
      </c>
      <c r="B113" t="inlineStr">
        <is>
          <t>NEGATIVE</t>
        </is>
      </c>
      <c r="C113">
        <f>IF(B113="NEUTRAL","TS","OS")</f>
        <v/>
      </c>
      <c r="D113" t="n">
        <v>3</v>
      </c>
      <c r="E113">
        <f>IF(C113="TS",IF(D113=3,"Consistent",IF(OR(D113=2,D113=4),"Partially Consistent","Inconsistent")),IF(D113=3,"Inconsistent",IF(AND(D113=5,B113="POSITIVE"),"Consistent",IF(AND(D113=1,B113="NEGATIVE"),"Consistent",IF(AND(D113=4,B113="POSITIVE"),"Partially Consistent",IF(AND(D113=2,B113="NEGATIVE"),"Partially Consistent","Inconsistent"))))))</f>
        <v/>
      </c>
      <c r="F113">
        <f>IF(C113="TS","High","Low")</f>
        <v/>
      </c>
      <c r="G113">
        <f>IF(AND(B113="NEUTRAL",F113="Low"),"LOW",IF(AND(C113="TS",F113="High",D113=3),"HIGH",IF(AND(C113="TS",F113="High",OR(D113=2,D113=4)),"MODERATE",IF(AND(C113="TS",F113="High",OR(D113=1,D113=5)),"LOW",IF(AND(C113="OS",E113="Consistent",OR(D113=1,D113=5)),"MODERATE",IF(AND(C113="OS",E113="Partially Consistent",OR(D113=2,D113=4)),"MODERATE","LOW"))))))</f>
        <v/>
      </c>
      <c r="H113" t="inlineStr"/>
      <c r="I113" t="inlineStr"/>
      <c r="J113" t="inlineStr"/>
      <c r="K113" t="inlineStr"/>
      <c r="L113" t="inlineStr"/>
      <c r="M113" t="inlineStr">
        <is>
          <t>https://www.lazada.com.ph/products/pdp-i4358944057-s24446312395.html</t>
        </is>
      </c>
      <c r="N113" t="n">
        <v>1</v>
      </c>
    </row>
    <row r="114">
      <c r="A114" t="inlineStr">
        <is>
          <t>mabula naman, pero di nakaka tangal ng sebo. need mong mag lagay ng marami. para matangal talaga</t>
        </is>
      </c>
      <c r="B114" t="inlineStr">
        <is>
          <t>NEGATIVE</t>
        </is>
      </c>
      <c r="C114">
        <f>IF(B114="NEUTRAL","TS","OS")</f>
        <v/>
      </c>
      <c r="D114" t="n">
        <v>3</v>
      </c>
      <c r="E114">
        <f>IF(C114="TS",IF(D114=3,"Consistent",IF(OR(D114=2,D114=4),"Partially Consistent","Inconsistent")),IF(D114=3,"Inconsistent",IF(AND(D114=5,B114="POSITIVE"),"Consistent",IF(AND(D114=1,B114="NEGATIVE"),"Consistent",IF(AND(D114=4,B114="POSITIVE"),"Partially Consistent",IF(AND(D114=2,B114="NEGATIVE"),"Partially Consistent","Inconsistent"))))))</f>
        <v/>
      </c>
      <c r="F114">
        <f>IF(C114="TS","High","Low")</f>
        <v/>
      </c>
      <c r="G114">
        <f>IF(AND(B114="NEUTRAL",F114="Low"),"LOW",IF(AND(C114="TS",F114="High",D114=3),"HIGH",IF(AND(C114="TS",F114="High",OR(D114=2,D114=4)),"MODERATE",IF(AND(C114="TS",F114="High",OR(D114=1,D114=5)),"LOW",IF(AND(C114="OS",E114="Consistent",OR(D114=1,D114=5)),"MODERATE",IF(AND(C114="OS",E114="Partially Consistent",OR(D114=2,D114=4)),"MODERATE","LOW"))))))</f>
        <v/>
      </c>
      <c r="H114" t="inlineStr"/>
      <c r="I114" t="inlineStr"/>
      <c r="J114" t="inlineStr"/>
      <c r="K114" t="inlineStr"/>
      <c r="L114" t="inlineStr"/>
      <c r="M114" t="inlineStr">
        <is>
          <t>https://www.lazada.com.ph/products/pdp-i4358944057-s24446312395.html</t>
        </is>
      </c>
      <c r="N114" t="n">
        <v>1</v>
      </c>
    </row>
    <row r="115">
      <c r="A115" t="inlineStr">
        <is>
          <t>aus lng un packaging wala nmn damage or anuman. . salamat seller at ky lazada ganon din sa rider. . . .</t>
        </is>
      </c>
      <c r="B115" t="inlineStr">
        <is>
          <t>POSITIVE</t>
        </is>
      </c>
      <c r="C115">
        <f>IF(B115="NEUTRAL","TS","OS")</f>
        <v/>
      </c>
      <c r="D115" t="n">
        <v>3</v>
      </c>
      <c r="E115">
        <f>IF(C115="TS",IF(D115=3,"Consistent",IF(OR(D115=2,D115=4),"Partially Consistent","Inconsistent")),IF(D115=3,"Inconsistent",IF(AND(D115=5,B115="POSITIVE"),"Consistent",IF(AND(D115=1,B115="NEGATIVE"),"Consistent",IF(AND(D115=4,B115="POSITIVE"),"Partially Consistent",IF(AND(D115=2,B115="NEGATIVE"),"Partially Consistent","Inconsistent"))))))</f>
        <v/>
      </c>
      <c r="F115">
        <f>IF(C115="TS","High","Low")</f>
        <v/>
      </c>
      <c r="G115">
        <f>IF(AND(B115="NEUTRAL",F115="Low"),"LOW",IF(AND(C115="TS",F115="High",D115=3),"HIGH",IF(AND(C115="TS",F115="High",OR(D115=2,D115=4)),"MODERATE",IF(AND(C115="TS",F115="High",OR(D115=1,D115=5)),"LOW",IF(AND(C115="OS",E115="Consistent",OR(D115=1,D115=5)),"MODERATE",IF(AND(C115="OS",E115="Partially Consistent",OR(D115=2,D115=4)),"MODERATE","LOW"))))))</f>
        <v/>
      </c>
      <c r="H115" t="inlineStr"/>
      <c r="I115" t="inlineStr"/>
      <c r="J115" t="inlineStr"/>
      <c r="K115" t="inlineStr"/>
      <c r="L115" t="inlineStr"/>
      <c r="M115" t="inlineStr">
        <is>
          <t>https://www.lazada.com.ph/products/pdp-i4358944057-s24446312395.html</t>
        </is>
      </c>
      <c r="N115" t="n">
        <v>1</v>
      </c>
    </row>
    <row r="116">
      <c r="A116" t="inlineStr">
        <is>
          <t>mabango sya atabula pero hindi inaabot ng 6l, lima lng yung puno bakit kaya? eh punong 1l na bottle n ginaganit ko pantakal sa tubig</t>
        </is>
      </c>
      <c r="B116" t="inlineStr">
        <is>
          <t>NEGATIVE</t>
        </is>
      </c>
      <c r="C116">
        <f>IF(B116="NEUTRAL","TS","OS")</f>
        <v/>
      </c>
      <c r="D116" t="n">
        <v>3</v>
      </c>
      <c r="E116">
        <f>IF(C116="TS",IF(D116=3,"Consistent",IF(OR(D116=2,D116=4),"Partially Consistent","Inconsistent")),IF(D116=3,"Inconsistent",IF(AND(D116=5,B116="POSITIVE"),"Consistent",IF(AND(D116=1,B116="NEGATIVE"),"Consistent",IF(AND(D116=4,B116="POSITIVE"),"Partially Consistent",IF(AND(D116=2,B116="NEGATIVE"),"Partially Consistent","Inconsistent"))))))</f>
        <v/>
      </c>
      <c r="F116">
        <f>IF(C116="TS","High","Low")</f>
        <v/>
      </c>
      <c r="G116">
        <f>IF(AND(B116="NEUTRAL",F116="Low"),"LOW",IF(AND(C116="TS",F116="High",D116=3),"HIGH",IF(AND(C116="TS",F116="High",OR(D116=2,D116=4)),"MODERATE",IF(AND(C116="TS",F116="High",OR(D116=1,D116=5)),"LOW",IF(AND(C116="OS",E116="Consistent",OR(D116=1,D116=5)),"MODERATE",IF(AND(C116="OS",E116="Partially Consistent",OR(D116=2,D116=4)),"MODERATE","LOW"))))))</f>
        <v/>
      </c>
      <c r="H116" t="inlineStr"/>
      <c r="I116" t="inlineStr"/>
      <c r="J116" t="inlineStr"/>
      <c r="K116" t="inlineStr"/>
      <c r="L116" t="inlineStr"/>
      <c r="M116" t="inlineStr">
        <is>
          <t>https://www.lazada.com.ph/products/pdp-i4358944057-s24446312395.html</t>
        </is>
      </c>
      <c r="N116" t="n">
        <v>1</v>
      </c>
    </row>
    <row r="117">
      <c r="A117" t="inlineStr">
        <is>
          <t>walang proper instructions nag mix ako nh 10 minutes ginaya ko nalang ibang brand kasi walang instructions ilang minutes mo i mix tapos ilang hours mo ibabad after 8 hours ko binabad mabila pa rin.</t>
        </is>
      </c>
      <c r="B117" t="inlineStr">
        <is>
          <t>NEGATIVE</t>
        </is>
      </c>
      <c r="C117">
        <f>IF(B117="NEUTRAL","TS","OS")</f>
        <v/>
      </c>
      <c r="D117" t="n">
        <v>3</v>
      </c>
      <c r="E117">
        <f>IF(C117="TS",IF(D117=3,"Consistent",IF(OR(D117=2,D117=4),"Partially Consistent","Inconsistent")),IF(D117=3,"Inconsistent",IF(AND(D117=5,B117="POSITIVE"),"Consistent",IF(AND(D117=1,B117="NEGATIVE"),"Consistent",IF(AND(D117=4,B117="POSITIVE"),"Partially Consistent",IF(AND(D117=2,B117="NEGATIVE"),"Partially Consistent","Inconsistent"))))))</f>
        <v/>
      </c>
      <c r="F117">
        <f>IF(C117="TS","High","Low")</f>
        <v/>
      </c>
      <c r="G117">
        <f>IF(AND(B117="NEUTRAL",F117="Low"),"LOW",IF(AND(C117="TS",F117="High",D117=3),"HIGH",IF(AND(C117="TS",F117="High",OR(D117=2,D117=4)),"MODERATE",IF(AND(C117="TS",F117="High",OR(D117=1,D117=5)),"LOW",IF(AND(C117="OS",E117="Consistent",OR(D117=1,D117=5)),"MODERATE",IF(AND(C117="OS",E117="Partially Consistent",OR(D117=2,D117=4)),"MODERATE","LOW"))))))</f>
        <v/>
      </c>
      <c r="H117" t="inlineStr"/>
      <c r="I117" t="inlineStr"/>
      <c r="J117" t="inlineStr"/>
      <c r="K117" t="inlineStr"/>
      <c r="L117" t="inlineStr"/>
      <c r="M117" t="inlineStr">
        <is>
          <t>https://www.lazada.com.ph/products/pdp-i4358944057-s24446312395.html</t>
        </is>
      </c>
      <c r="N117" t="n">
        <v>1</v>
      </c>
    </row>
    <row r="118">
      <c r="A118" t="inlineStr">
        <is>
          <t>last time i cant give an honest review bcoz i havent tried it. . but now that i have mixed it this is what i experienced: this liquid soap is not very effective in removing grease from a plastic ware. i was disappointed so i guess i will try another brand. altho i have tried other brands like maxglow very effective sa grease kya lang medyo expensive. i will experiment on other brands na cheaper but effective din against grease/sebo. quality: di effective sa sebo, para sa dumi lang value for money: pwede na packaging: good</t>
        </is>
      </c>
      <c r="B118" t="inlineStr">
        <is>
          <t>NEUTRAL</t>
        </is>
      </c>
      <c r="C118">
        <f>IF(B118="NEUTRAL","TS","OS")</f>
        <v/>
      </c>
      <c r="D118" t="n">
        <v>3</v>
      </c>
      <c r="E118">
        <f>IF(C118="TS",IF(D118=3,"Consistent",IF(OR(D118=2,D118=4),"Partially Consistent","Inconsistent")),IF(D118=3,"Inconsistent",IF(AND(D118=5,B118="POSITIVE"),"Consistent",IF(AND(D118=1,B118="NEGATIVE"),"Consistent",IF(AND(D118=4,B118="POSITIVE"),"Partially Consistent",IF(AND(D118=2,B118="NEGATIVE"),"Partially Consistent","Inconsistent"))))))</f>
        <v/>
      </c>
      <c r="F118">
        <f>IF(C118="TS","High","Low")</f>
        <v/>
      </c>
      <c r="G118">
        <f>IF(AND(B118="NEUTRAL",F118="Low"),"LOW",IF(AND(C118="TS",F118="High",D118=3),"HIGH",IF(AND(C118="TS",F118="High",OR(D118=2,D118=4)),"MODERATE",IF(AND(C118="TS",F118="High",OR(D118=1,D118=5)),"LOW",IF(AND(C118="OS",E118="Consistent",OR(D118=1,D118=5)),"MODERATE",IF(AND(C118="OS",E118="Partially Consistent",OR(D118=2,D118=4)),"MODERATE","LOW"))))))</f>
        <v/>
      </c>
      <c r="H118" t="inlineStr"/>
      <c r="I118" t="inlineStr"/>
      <c r="J118" t="inlineStr"/>
      <c r="K118" t="inlineStr"/>
      <c r="L118" t="inlineStr"/>
      <c r="M118" t="inlineStr">
        <is>
          <t>https://www.lazada.com.ph/products/pdp-i4358944057-s24446312395.html</t>
        </is>
      </c>
      <c r="N118" t="n">
        <v>1</v>
      </c>
    </row>
    <row r="119">
      <c r="A119" t="inlineStr">
        <is>
          <t>long-lasting freshness, great for everyday use, convenient and easy to use, leaves dishes sparkling clean, ok naman sya kaso di sya ganun ka bango</t>
        </is>
      </c>
      <c r="B119" t="inlineStr">
        <is>
          <t>NEUTRAL</t>
        </is>
      </c>
      <c r="C119">
        <f>IF(B119="NEUTRAL","TS","OS")</f>
        <v/>
      </c>
      <c r="D119" t="n">
        <v>3</v>
      </c>
      <c r="E119">
        <f>IF(C119="TS",IF(D119=3,"Consistent",IF(OR(D119=2,D119=4),"Partially Consistent","Inconsistent")),IF(D119=3,"Inconsistent",IF(AND(D119=5,B119="POSITIVE"),"Consistent",IF(AND(D119=1,B119="NEGATIVE"),"Consistent",IF(AND(D119=4,B119="POSITIVE"),"Partially Consistent",IF(AND(D119=2,B119="NEGATIVE"),"Partially Consistent","Inconsistent"))))))</f>
        <v/>
      </c>
      <c r="F119">
        <f>IF(C119="TS","High","Low")</f>
        <v/>
      </c>
      <c r="G119">
        <f>IF(AND(B119="NEUTRAL",F119="Low"),"LOW",IF(AND(C119="TS",F119="High",D119=3),"HIGH",IF(AND(C119="TS",F119="High",OR(D119=2,D119=4)),"MODERATE",IF(AND(C119="TS",F119="High",OR(D119=1,D119=5)),"LOW",IF(AND(C119="OS",E119="Consistent",OR(D119=1,D119=5)),"MODERATE",IF(AND(C119="OS",E119="Partially Consistent",OR(D119=2,D119=4)),"MODERATE","LOW"))))))</f>
        <v/>
      </c>
      <c r="H119" t="inlineStr"/>
      <c r="I119" t="inlineStr"/>
      <c r="J119" t="inlineStr"/>
      <c r="K119" t="inlineStr"/>
      <c r="L119" t="inlineStr"/>
      <c r="M119" t="inlineStr">
        <is>
          <t>https://www.lazada.com.ph/products/pdp-i4358944057-s24446312395.html</t>
        </is>
      </c>
      <c r="N119" t="n">
        <v>1</v>
      </c>
    </row>
    <row r="120">
      <c r="A120" t="inlineStr">
        <is>
          <t>efficient cleaning power, versatile scent options, refreshing citrus scent, value for money, great for everyday use,</t>
        </is>
      </c>
      <c r="B120" t="inlineStr">
        <is>
          <t>NEUTRAL</t>
        </is>
      </c>
      <c r="C120">
        <f>IF(B120="NEUTRAL","TS","OS")</f>
        <v/>
      </c>
      <c r="D120" t="n">
        <v>3</v>
      </c>
      <c r="E120">
        <f>IF(C120="TS",IF(D120=3,"Consistent",IF(OR(D120=2,D120=4),"Partially Consistent","Inconsistent")),IF(D120=3,"Inconsistent",IF(AND(D120=5,B120="POSITIVE"),"Consistent",IF(AND(D120=1,B120="NEGATIVE"),"Consistent",IF(AND(D120=4,B120="POSITIVE"),"Partially Consistent",IF(AND(D120=2,B120="NEGATIVE"),"Partially Consistent","Inconsistent"))))))</f>
        <v/>
      </c>
      <c r="F120">
        <f>IF(C120="TS","High","Low")</f>
        <v/>
      </c>
      <c r="G120">
        <f>IF(AND(B120="NEUTRAL",F120="Low"),"LOW",IF(AND(C120="TS",F120="High",D120=3),"HIGH",IF(AND(C120="TS",F120="High",OR(D120=2,D120=4)),"MODERATE",IF(AND(C120="TS",F120="High",OR(D120=1,D120=5)),"LOW",IF(AND(C120="OS",E120="Consistent",OR(D120=1,D120=5)),"MODERATE",IF(AND(C120="OS",E120="Partially Consistent",OR(D120=2,D120=4)),"MODERATE","LOW"))))))</f>
        <v/>
      </c>
      <c r="H120" t="inlineStr"/>
      <c r="I120" t="inlineStr"/>
      <c r="J120" t="inlineStr"/>
      <c r="K120" t="inlineStr"/>
      <c r="L120" t="inlineStr"/>
      <c r="M120" t="inlineStr">
        <is>
          <t>https://www.lazada.com.ph/products/pdp-i4358944057-s24446312395.html</t>
        </is>
      </c>
      <c r="N120" t="n">
        <v>1</v>
      </c>
    </row>
    <row r="121">
      <c r="A121" t="inlineStr">
        <is>
          <t>i want refund, indi po lumapot ung kulay green sayang pinambayad</t>
        </is>
      </c>
      <c r="B121" t="inlineStr">
        <is>
          <t>NEGATIVE</t>
        </is>
      </c>
      <c r="C121">
        <f>IF(B121="NEUTRAL","TS","OS")</f>
        <v/>
      </c>
      <c r="D121" t="n">
        <v>3</v>
      </c>
      <c r="E121">
        <f>IF(C121="TS",IF(D121=3,"Consistent",IF(OR(D121=2,D121=4),"Partially Consistent","Inconsistent")),IF(D121=3,"Inconsistent",IF(AND(D121=5,B121="POSITIVE"),"Consistent",IF(AND(D121=1,B121="NEGATIVE"),"Consistent",IF(AND(D121=4,B121="POSITIVE"),"Partially Consistent",IF(AND(D121=2,B121="NEGATIVE"),"Partially Consistent","Inconsistent"))))))</f>
        <v/>
      </c>
      <c r="F121">
        <f>IF(C121="TS","High","Low")</f>
        <v/>
      </c>
      <c r="G121">
        <f>IF(AND(B121="NEUTRAL",F121="Low"),"LOW",IF(AND(C121="TS",F121="High",D121=3),"HIGH",IF(AND(C121="TS",F121="High",OR(D121=2,D121=4)),"MODERATE",IF(AND(C121="TS",F121="High",OR(D121=1,D121=5)),"LOW",IF(AND(C121="OS",E121="Consistent",OR(D121=1,D121=5)),"MODERATE",IF(AND(C121="OS",E121="Partially Consistent",OR(D121=2,D121=4)),"MODERATE","LOW"))))))</f>
        <v/>
      </c>
      <c r="H121" t="inlineStr"/>
      <c r="I121" t="inlineStr"/>
      <c r="J121" t="inlineStr"/>
      <c r="K121" t="inlineStr"/>
      <c r="L121" t="inlineStr"/>
      <c r="M121" t="inlineStr">
        <is>
          <t>https://www.lazada.com.ph/products/pdp-i4358944057-s24446312395.html</t>
        </is>
      </c>
      <c r="N121" t="n">
        <v>1</v>
      </c>
    </row>
    <row r="122">
      <c r="A122" t="inlineStr">
        <is>
          <t>convenient and easy to use, value for money, great for everyday use, efficient cleaning power,</t>
        </is>
      </c>
      <c r="B122" t="inlineStr">
        <is>
          <t>POSITIVE</t>
        </is>
      </c>
      <c r="C122">
        <f>IF(B122="NEUTRAL","TS","OS")</f>
        <v/>
      </c>
      <c r="D122" t="n">
        <v>3</v>
      </c>
      <c r="E122">
        <f>IF(C122="TS",IF(D122=3,"Consistent",IF(OR(D122=2,D122=4),"Partially Consistent","Inconsistent")),IF(D122=3,"Inconsistent",IF(AND(D122=5,B122="POSITIVE"),"Consistent",IF(AND(D122=1,B122="NEGATIVE"),"Consistent",IF(AND(D122=4,B122="POSITIVE"),"Partially Consistent",IF(AND(D122=2,B122="NEGATIVE"),"Partially Consistent","Inconsistent"))))))</f>
        <v/>
      </c>
      <c r="F122">
        <f>IF(C122="TS","High","Low")</f>
        <v/>
      </c>
      <c r="G122">
        <f>IF(AND(B122="NEUTRAL",F122="Low"),"LOW",IF(AND(C122="TS",F122="High",D122=3),"HIGH",IF(AND(C122="TS",F122="High",OR(D122=2,D122=4)),"MODERATE",IF(AND(C122="TS",F122="High",OR(D122=1,D122=5)),"LOW",IF(AND(C122="OS",E122="Consistent",OR(D122=1,D122=5)),"MODERATE",IF(AND(C122="OS",E122="Partially Consistent",OR(D122=2,D122=4)),"MODERATE","LOW"))))))</f>
        <v/>
      </c>
      <c r="H122" t="inlineStr"/>
      <c r="I122" t="inlineStr"/>
      <c r="J122" t="inlineStr"/>
      <c r="K122" t="inlineStr"/>
      <c r="L122" t="inlineStr"/>
      <c r="M122" t="inlineStr">
        <is>
          <t>https://www.lazada.com.ph/products/pdp-i4358944057-s24446312395.html</t>
        </is>
      </c>
      <c r="N122" t="n">
        <v>1</v>
      </c>
    </row>
    <row r="123">
      <c r="A123" t="inlineStr">
        <is>
          <t>ok po sana kya lng po pakiayos nmn packaging kasi pwed sya mabutas at naka open n yun balot na plastic</t>
        </is>
      </c>
      <c r="B123" t="inlineStr">
        <is>
          <t>NEUTRAL</t>
        </is>
      </c>
      <c r="C123">
        <f>IF(B123="NEUTRAL","TS","OS")</f>
        <v/>
      </c>
      <c r="D123" t="n">
        <v>3</v>
      </c>
      <c r="E123">
        <f>IF(C123="TS",IF(D123=3,"Consistent",IF(OR(D123=2,D123=4),"Partially Consistent","Inconsistent")),IF(D123=3,"Inconsistent",IF(AND(D123=5,B123="POSITIVE"),"Consistent",IF(AND(D123=1,B123="NEGATIVE"),"Consistent",IF(AND(D123=4,B123="POSITIVE"),"Partially Consistent",IF(AND(D123=2,B123="NEGATIVE"),"Partially Consistent","Inconsistent"))))))</f>
        <v/>
      </c>
      <c r="F123">
        <f>IF(C123="TS","High","Low")</f>
        <v/>
      </c>
      <c r="G123">
        <f>IF(AND(B123="NEUTRAL",F123="Low"),"LOW",IF(AND(C123="TS",F123="High",D123=3),"HIGH",IF(AND(C123="TS",F123="High",OR(D123=2,D123=4)),"MODERATE",IF(AND(C123="TS",F123="High",OR(D123=1,D123=5)),"LOW",IF(AND(C123="OS",E123="Consistent",OR(D123=1,D123=5)),"MODERATE",IF(AND(C123="OS",E123="Partially Consistent",OR(D123=2,D123=4)),"MODERATE","LOW"))))))</f>
        <v/>
      </c>
      <c r="H123" t="inlineStr"/>
      <c r="I123" t="inlineStr"/>
      <c r="J123" t="inlineStr"/>
      <c r="K123" t="inlineStr"/>
      <c r="L123" t="inlineStr"/>
      <c r="M123" t="inlineStr">
        <is>
          <t>https://www.lazada.com.ph/products/pdp-i4358944057-s24446312395.html</t>
        </is>
      </c>
      <c r="N123" t="n">
        <v>1</v>
      </c>
    </row>
    <row r="124">
      <c r="A124" t="inlineStr">
        <is>
          <t>efficient cleaning power, convenient and easy to use,</t>
        </is>
      </c>
      <c r="B124" t="inlineStr">
        <is>
          <t>NEUTRAL</t>
        </is>
      </c>
      <c r="C124">
        <f>IF(B124="NEUTRAL","TS","OS")</f>
        <v/>
      </c>
      <c r="D124" t="n">
        <v>3</v>
      </c>
      <c r="E124">
        <f>IF(C124="TS",IF(D124=3,"Consistent",IF(OR(D124=2,D124=4),"Partially Consistent","Inconsistent")),IF(D124=3,"Inconsistent",IF(AND(D124=5,B124="POSITIVE"),"Consistent",IF(AND(D124=1,B124="NEGATIVE"),"Consistent",IF(AND(D124=4,B124="POSITIVE"),"Partially Consistent",IF(AND(D124=2,B124="NEGATIVE"),"Partially Consistent","Inconsistent"))))))</f>
        <v/>
      </c>
      <c r="F124">
        <f>IF(C124="TS","High","Low")</f>
        <v/>
      </c>
      <c r="G124">
        <f>IF(AND(B124="NEUTRAL",F124="Low"),"LOW",IF(AND(C124="TS",F124="High",D124=3),"HIGH",IF(AND(C124="TS",F124="High",OR(D124=2,D124=4)),"MODERATE",IF(AND(C124="TS",F124="High",OR(D124=1,D124=5)),"LOW",IF(AND(C124="OS",E124="Consistent",OR(D124=1,D124=5)),"MODERATE",IF(AND(C124="OS",E124="Partially Consistent",OR(D124=2,D124=4)),"MODERATE","LOW"))))))</f>
        <v/>
      </c>
      <c r="H124" t="inlineStr"/>
      <c r="I124" t="inlineStr"/>
      <c r="J124" t="inlineStr"/>
      <c r="K124" t="inlineStr"/>
      <c r="L124" t="inlineStr"/>
      <c r="M124" t="inlineStr">
        <is>
          <t>https://www.lazada.com.ph/products/pdp-i4358944057-s24446312395.html</t>
        </is>
      </c>
      <c r="N124" t="n">
        <v>1</v>
      </c>
    </row>
    <row r="125">
      <c r="A125" t="inlineStr">
        <is>
          <t>poor packaging</t>
        </is>
      </c>
      <c r="B125" t="inlineStr">
        <is>
          <t>NEGATIVE</t>
        </is>
      </c>
      <c r="C125">
        <f>IF(B125="NEUTRAL","TS","OS")</f>
        <v/>
      </c>
      <c r="D125" t="n">
        <v>3</v>
      </c>
      <c r="E125">
        <f>IF(C125="TS",IF(D125=3,"Consistent",IF(OR(D125=2,D125=4),"Partially Consistent","Inconsistent")),IF(D125=3,"Inconsistent",IF(AND(D125=5,B125="POSITIVE"),"Consistent",IF(AND(D125=1,B125="NEGATIVE"),"Consistent",IF(AND(D125=4,B125="POSITIVE"),"Partially Consistent",IF(AND(D125=2,B125="NEGATIVE"),"Partially Consistent","Inconsistent"))))))</f>
        <v/>
      </c>
      <c r="F125">
        <f>IF(C125="TS","High","Low")</f>
        <v/>
      </c>
      <c r="G125">
        <f>IF(AND(B125="NEUTRAL",F125="Low"),"LOW",IF(AND(C125="TS",F125="High",D125=3),"HIGH",IF(AND(C125="TS",F125="High",OR(D125=2,D125=4)),"MODERATE",IF(AND(C125="TS",F125="High",OR(D125=1,D125=5)),"LOW",IF(AND(C125="OS",E125="Consistent",OR(D125=1,D125=5)),"MODERATE",IF(AND(C125="OS",E125="Partially Consistent",OR(D125=2,D125=4)),"MODERATE","LOW"))))))</f>
        <v/>
      </c>
      <c r="H125" t="inlineStr"/>
      <c r="I125" t="inlineStr"/>
      <c r="J125" t="inlineStr"/>
      <c r="K125" t="inlineStr"/>
      <c r="L125" t="inlineStr"/>
      <c r="M125" t="inlineStr">
        <is>
          <t>https://www.lazada.com.ph/products/pdp-i4358944057-s24446312395.html</t>
        </is>
      </c>
      <c r="N125" t="n">
        <v>1</v>
      </c>
    </row>
    <row r="126">
      <c r="A126" t="inlineStr">
        <is>
          <t>value for money, value for money: refreshing citrus scent, eco-friendly packaging, versatile scent options, efficient cleaning power, great for everyday use, gentle on hands, long-lasting freshness, efficient cleaning power,</t>
        </is>
      </c>
      <c r="B126" t="inlineStr">
        <is>
          <t>NEUTRAL</t>
        </is>
      </c>
      <c r="C126">
        <f>IF(B126="NEUTRAL","TS","OS")</f>
        <v/>
      </c>
      <c r="D126" t="n">
        <v>3</v>
      </c>
      <c r="E126">
        <f>IF(C126="TS",IF(D126=3,"Consistent",IF(OR(D126=2,D126=4),"Partially Consistent","Inconsistent")),IF(D126=3,"Inconsistent",IF(AND(D126=5,B126="POSITIVE"),"Consistent",IF(AND(D126=1,B126="NEGATIVE"),"Consistent",IF(AND(D126=4,B126="POSITIVE"),"Partially Consistent",IF(AND(D126=2,B126="NEGATIVE"),"Partially Consistent","Inconsistent"))))))</f>
        <v/>
      </c>
      <c r="F126">
        <f>IF(C126="TS","High","Low")</f>
        <v/>
      </c>
      <c r="G126">
        <f>IF(AND(B126="NEUTRAL",F126="Low"),"LOW",IF(AND(C126="TS",F126="High",D126=3),"HIGH",IF(AND(C126="TS",F126="High",OR(D126=2,D126=4)),"MODERATE",IF(AND(C126="TS",F126="High",OR(D126=1,D126=5)),"LOW",IF(AND(C126="OS",E126="Consistent",OR(D126=1,D126=5)),"MODERATE",IF(AND(C126="OS",E126="Partially Consistent",OR(D126=2,D126=4)),"MODERATE","LOW"))))))</f>
        <v/>
      </c>
      <c r="H126" t="inlineStr"/>
      <c r="I126" t="inlineStr"/>
      <c r="J126" t="inlineStr"/>
      <c r="K126" t="inlineStr"/>
      <c r="L126" t="inlineStr"/>
      <c r="M126" t="inlineStr">
        <is>
          <t>https://www.lazada.com.ph/products/pdp-i4358944057-s24446312395.html</t>
        </is>
      </c>
      <c r="N126" t="n">
        <v>1</v>
      </c>
    </row>
    <row r="127">
      <c r="A127" t="inlineStr">
        <is>
          <t>butas ng dumating nagkalat sayang.</t>
        </is>
      </c>
      <c r="B127" t="inlineStr">
        <is>
          <t>NEGATIVE</t>
        </is>
      </c>
      <c r="C127">
        <f>IF(B127="NEUTRAL","TS","OS")</f>
        <v/>
      </c>
      <c r="D127" t="n">
        <v>3</v>
      </c>
      <c r="E127">
        <f>IF(C127="TS",IF(D127=3,"Consistent",IF(OR(D127=2,D127=4),"Partially Consistent","Inconsistent")),IF(D127=3,"Inconsistent",IF(AND(D127=5,B127="POSITIVE"),"Consistent",IF(AND(D127=1,B127="NEGATIVE"),"Consistent",IF(AND(D127=4,B127="POSITIVE"),"Partially Consistent",IF(AND(D127=2,B127="NEGATIVE"),"Partially Consistent","Inconsistent"))))))</f>
        <v/>
      </c>
      <c r="F127">
        <f>IF(C127="TS","High","Low")</f>
        <v/>
      </c>
      <c r="G127">
        <f>IF(AND(B127="NEUTRAL",F127="Low"),"LOW",IF(AND(C127="TS",F127="High",D127=3),"HIGH",IF(AND(C127="TS",F127="High",OR(D127=2,D127=4)),"MODERATE",IF(AND(C127="TS",F127="High",OR(D127=1,D127=5)),"LOW",IF(AND(C127="OS",E127="Consistent",OR(D127=1,D127=5)),"MODERATE",IF(AND(C127="OS",E127="Partially Consistent",OR(D127=2,D127=4)),"MODERATE","LOW"))))))</f>
        <v/>
      </c>
      <c r="H127" t="inlineStr"/>
      <c r="I127" t="inlineStr"/>
      <c r="J127" t="inlineStr"/>
      <c r="K127" t="inlineStr"/>
      <c r="L127" t="inlineStr"/>
      <c r="M127" t="inlineStr">
        <is>
          <t>https://www.lazada.com.ph/products/pdp-i4358944057-s24446312395.html</t>
        </is>
      </c>
      <c r="N127" t="n">
        <v>1</v>
      </c>
    </row>
    <row r="128">
      <c r="A128" t="inlineStr">
        <is>
          <t>wrong item. i ordered antibac scent but you sent calamansi scent.</t>
        </is>
      </c>
      <c r="B128" t="inlineStr">
        <is>
          <t>NEGATIVE</t>
        </is>
      </c>
      <c r="C128">
        <f>IF(B128="NEUTRAL","TS","OS")</f>
        <v/>
      </c>
      <c r="D128" t="n">
        <v>3</v>
      </c>
      <c r="E128">
        <f>IF(C128="TS",IF(D128=3,"Consistent",IF(OR(D128=2,D128=4),"Partially Consistent","Inconsistent")),IF(D128=3,"Inconsistent",IF(AND(D128=5,B128="POSITIVE"),"Consistent",IF(AND(D128=1,B128="NEGATIVE"),"Consistent",IF(AND(D128=4,B128="POSITIVE"),"Partially Consistent",IF(AND(D128=2,B128="NEGATIVE"),"Partially Consistent","Inconsistent"))))))</f>
        <v/>
      </c>
      <c r="F128">
        <f>IF(C128="TS","High","Low")</f>
        <v/>
      </c>
      <c r="G128">
        <f>IF(AND(B128="NEUTRAL",F128="Low"),"LOW",IF(AND(C128="TS",F128="High",D128=3),"HIGH",IF(AND(C128="TS",F128="High",OR(D128=2,D128=4)),"MODERATE",IF(AND(C128="TS",F128="High",OR(D128=1,D128=5)),"LOW",IF(AND(C128="OS",E128="Consistent",OR(D128=1,D128=5)),"MODERATE",IF(AND(C128="OS",E128="Partially Consistent",OR(D128=2,D128=4)),"MODERATE","LOW"))))))</f>
        <v/>
      </c>
      <c r="H128" t="inlineStr"/>
      <c r="I128" t="inlineStr"/>
      <c r="J128" t="inlineStr"/>
      <c r="K128" t="inlineStr"/>
      <c r="L128" t="inlineStr"/>
      <c r="M128" t="inlineStr">
        <is>
          <t>https://www.lazada.com.ph/products/pdp-i4358944057-s24446312395.html</t>
        </is>
      </c>
      <c r="N128" t="n">
        <v>1</v>
      </c>
    </row>
    <row r="129">
      <c r="A129" t="inlineStr">
        <is>
          <t>paano gumawa to ilan balde po ito</t>
        </is>
      </c>
      <c r="B129" t="inlineStr">
        <is>
          <t>NEGATIVE</t>
        </is>
      </c>
      <c r="C129">
        <f>IF(B129="NEUTRAL","TS","OS")</f>
        <v/>
      </c>
      <c r="D129" t="n">
        <v>3</v>
      </c>
      <c r="E129">
        <f>IF(C129="TS",IF(D129=3,"Consistent",IF(OR(D129=2,D129=4),"Partially Consistent","Inconsistent")),IF(D129=3,"Inconsistent",IF(AND(D129=5,B129="POSITIVE"),"Consistent",IF(AND(D129=1,B129="NEGATIVE"),"Consistent",IF(AND(D129=4,B129="POSITIVE"),"Partially Consistent",IF(AND(D129=2,B129="NEGATIVE"),"Partially Consistent","Inconsistent"))))))</f>
        <v/>
      </c>
      <c r="F129">
        <f>IF(C129="TS","High","Low")</f>
        <v/>
      </c>
      <c r="G129">
        <f>IF(AND(B129="NEUTRAL",F129="Low"),"LOW",IF(AND(C129="TS",F129="High",D129=3),"HIGH",IF(AND(C129="TS",F129="High",OR(D129=2,D129=4)),"MODERATE",IF(AND(C129="TS",F129="High",OR(D129=1,D129=5)),"LOW",IF(AND(C129="OS",E129="Consistent",OR(D129=1,D129=5)),"MODERATE",IF(AND(C129="OS",E129="Partially Consistent",OR(D129=2,D129=4)),"MODERATE","LOW"))))))</f>
        <v/>
      </c>
      <c r="H129" t="inlineStr"/>
      <c r="I129" t="inlineStr"/>
      <c r="J129" t="inlineStr"/>
      <c r="K129" t="inlineStr"/>
      <c r="L129" t="inlineStr"/>
      <c r="M129" t="inlineStr">
        <is>
          <t>https://www.lazada.com.ph/products/pdp-i4358944057-s24446312395.html</t>
        </is>
      </c>
      <c r="N129" t="n">
        <v>1</v>
      </c>
    </row>
    <row r="130">
      <c r="A130" t="inlineStr">
        <is>
          <t>quality</t>
        </is>
      </c>
      <c r="B130" t="inlineStr">
        <is>
          <t>POSITIVE</t>
        </is>
      </c>
      <c r="C130">
        <f>IF(B130="NEUTRAL","TS","OS")</f>
        <v/>
      </c>
      <c r="D130" t="n">
        <v>3</v>
      </c>
      <c r="E130">
        <f>IF(C130="TS",IF(D130=3,"Consistent",IF(OR(D130=2,D130=4),"Partially Consistent","Inconsistent")),IF(D130=3,"Inconsistent",IF(AND(D130=5,B130="POSITIVE"),"Consistent",IF(AND(D130=1,B130="NEGATIVE"),"Consistent",IF(AND(D130=4,B130="POSITIVE"),"Partially Consistent",IF(AND(D130=2,B130="NEGATIVE"),"Partially Consistent","Inconsistent"))))))</f>
        <v/>
      </c>
      <c r="F130">
        <f>IF(C130="TS","High","Low")</f>
        <v/>
      </c>
      <c r="G130">
        <f>IF(AND(B130="NEUTRAL",F130="Low"),"LOW",IF(AND(C130="TS",F130="High",D130=3),"HIGH",IF(AND(C130="TS",F130="High",OR(D130=2,D130=4)),"MODERATE",IF(AND(C130="TS",F130="High",OR(D130=1,D130=5)),"LOW",IF(AND(C130="OS",E130="Consistent",OR(D130=1,D130=5)),"MODERATE",IF(AND(C130="OS",E130="Partially Consistent",OR(D130=2,D130=4)),"MODERATE","LOW"))))))</f>
        <v/>
      </c>
      <c r="H130" t="inlineStr"/>
      <c r="I130" t="inlineStr"/>
      <c r="J130" t="inlineStr"/>
      <c r="K130" t="inlineStr"/>
      <c r="L130" t="inlineStr"/>
      <c r="M130" t="inlineStr">
        <is>
          <t>https://www.lazada.com.ph/products/pdp-i4358944057-s24446312395.html</t>
        </is>
      </c>
      <c r="N130" t="n">
        <v>1</v>
      </c>
    </row>
    <row r="131">
      <c r="A131" t="inlineStr">
        <is>
          <t>malabnaw compare sa dati kong ginagawa, pero sana ok nman makatanggal ng sebo</t>
        </is>
      </c>
      <c r="B131" t="inlineStr">
        <is>
          <t>NEUTRAL</t>
        </is>
      </c>
      <c r="C131">
        <f>IF(B131="NEUTRAL","TS","OS")</f>
        <v/>
      </c>
      <c r="D131" t="n">
        <v>3</v>
      </c>
      <c r="E131">
        <f>IF(C131="TS",IF(D131=3,"Consistent",IF(OR(D131=2,D131=4),"Partially Consistent","Inconsistent")),IF(D131=3,"Inconsistent",IF(AND(D131=5,B131="POSITIVE"),"Consistent",IF(AND(D131=1,B131="NEGATIVE"),"Consistent",IF(AND(D131=4,B131="POSITIVE"),"Partially Consistent",IF(AND(D131=2,B131="NEGATIVE"),"Partially Consistent","Inconsistent"))))))</f>
        <v/>
      </c>
      <c r="F131">
        <f>IF(C131="TS","High","Low")</f>
        <v/>
      </c>
      <c r="G131">
        <f>IF(AND(B131="NEUTRAL",F131="Low"),"LOW",IF(AND(C131="TS",F131="High",D131=3),"HIGH",IF(AND(C131="TS",F131="High",OR(D131=2,D131=4)),"MODERATE",IF(AND(C131="TS",F131="High",OR(D131=1,D131=5)),"LOW",IF(AND(C131="OS",E131="Consistent",OR(D131=1,D131=5)),"MODERATE",IF(AND(C131="OS",E131="Partially Consistent",OR(D131=2,D131=4)),"MODERATE","LOW"))))))</f>
        <v/>
      </c>
      <c r="H131" t="inlineStr"/>
      <c r="I131" t="inlineStr"/>
      <c r="J131" t="inlineStr"/>
      <c r="K131" t="inlineStr"/>
      <c r="L131" t="inlineStr"/>
      <c r="M131" t="inlineStr">
        <is>
          <t>https://www.lazada.com.ph/products/pdp-i4358944057-s24446312395.html</t>
        </is>
      </c>
      <c r="N131" t="n">
        <v>1</v>
      </c>
    </row>
    <row r="132">
      <c r="A132" t="inlineStr">
        <is>
          <t>hays. ilang beses na ko umorder dito lagi naman may free sticker. paninda ko kasi yan. tapos ngayon kung kelan dalawa inorder ko tsaka naman walang sticker. hindi din nagreresponse si seller sa message.</t>
        </is>
      </c>
      <c r="B132" t="inlineStr">
        <is>
          <t>NEGATIVE</t>
        </is>
      </c>
      <c r="C132">
        <f>IF(B132="NEUTRAL","TS","OS")</f>
        <v/>
      </c>
      <c r="D132" t="n">
        <v>3</v>
      </c>
      <c r="E132">
        <f>IF(C132="TS",IF(D132=3,"Consistent",IF(OR(D132=2,D132=4),"Partially Consistent","Inconsistent")),IF(D132=3,"Inconsistent",IF(AND(D132=5,B132="POSITIVE"),"Consistent",IF(AND(D132=1,B132="NEGATIVE"),"Consistent",IF(AND(D132=4,B132="POSITIVE"),"Partially Consistent",IF(AND(D132=2,B132="NEGATIVE"),"Partially Consistent","Inconsistent"))))))</f>
        <v/>
      </c>
      <c r="F132">
        <f>IF(C132="TS","High","Low")</f>
        <v/>
      </c>
      <c r="G132">
        <f>IF(AND(B132="NEUTRAL",F132="Low"),"LOW",IF(AND(C132="TS",F132="High",D132=3),"HIGH",IF(AND(C132="TS",F132="High",OR(D132=2,D132=4)),"MODERATE",IF(AND(C132="TS",F132="High",OR(D132=1,D132=5)),"LOW",IF(AND(C132="OS",E132="Consistent",OR(D132=1,D132=5)),"MODERATE",IF(AND(C132="OS",E132="Partially Consistent",OR(D132=2,D132=4)),"MODERATE","LOW"))))))</f>
        <v/>
      </c>
      <c r="H132" t="inlineStr"/>
      <c r="I132" t="inlineStr"/>
      <c r="J132" t="inlineStr"/>
      <c r="K132" t="inlineStr"/>
      <c r="L132" t="inlineStr"/>
      <c r="M132" t="inlineStr">
        <is>
          <t>https://www.lazada.com.ph/products/pdp-i4358944057-s24446312395.html</t>
        </is>
      </c>
      <c r="N132" t="n">
        <v>1</v>
      </c>
    </row>
    <row r="133">
      <c r="A133" t="inlineStr">
        <is>
          <t>mali n nmn ung sticker pra s purple ang inorder ko blue antibac sticker n nmn ang dmtng haisst nkkdismya ng chat nko bago i delver ichek kung tama ang ipapack e 2nd order kona to n mali n nmn kya nkakainis</t>
        </is>
      </c>
      <c r="B133" t="inlineStr">
        <is>
          <t>NEGATIVE</t>
        </is>
      </c>
      <c r="C133">
        <f>IF(B133="NEUTRAL","TS","OS")</f>
        <v/>
      </c>
      <c r="D133" t="n">
        <v>3</v>
      </c>
      <c r="E133">
        <f>IF(C133="TS",IF(D133=3,"Consistent",IF(OR(D133=2,D133=4),"Partially Consistent","Inconsistent")),IF(D133=3,"Inconsistent",IF(AND(D133=5,B133="POSITIVE"),"Consistent",IF(AND(D133=1,B133="NEGATIVE"),"Consistent",IF(AND(D133=4,B133="POSITIVE"),"Partially Consistent",IF(AND(D133=2,B133="NEGATIVE"),"Partially Consistent","Inconsistent"))))))</f>
        <v/>
      </c>
      <c r="F133">
        <f>IF(C133="TS","High","Low")</f>
        <v/>
      </c>
      <c r="G133">
        <f>IF(AND(B133="NEUTRAL",F133="Low"),"LOW",IF(AND(C133="TS",F133="High",D133=3),"HIGH",IF(AND(C133="TS",F133="High",OR(D133=2,D133=4)),"MODERATE",IF(AND(C133="TS",F133="High",OR(D133=1,D133=5)),"LOW",IF(AND(C133="OS",E133="Consistent",OR(D133=1,D133=5)),"MODERATE",IF(AND(C133="OS",E133="Partially Consistent",OR(D133=2,D133=4)),"MODERATE","LOW"))))))</f>
        <v/>
      </c>
      <c r="H133" t="inlineStr"/>
      <c r="I133" t="inlineStr"/>
      <c r="J133" t="inlineStr"/>
      <c r="K133" t="inlineStr"/>
      <c r="L133" t="inlineStr"/>
      <c r="M133" t="inlineStr">
        <is>
          <t>https://www.lazada.com.ph/products/pdp-i4358944057-s24446312395.html</t>
        </is>
      </c>
      <c r="N133" t="n">
        <v>1</v>
      </c>
    </row>
    <row r="134">
      <c r="A134" t="inlineStr">
        <is>
          <t>di ko pa alam kung bu2la sya and mabango. . ngaun ko pa lang itatry</t>
        </is>
      </c>
      <c r="B134" t="inlineStr">
        <is>
          <t>NEUTRAL</t>
        </is>
      </c>
      <c r="C134">
        <f>IF(B134="NEUTRAL","TS","OS")</f>
        <v/>
      </c>
      <c r="D134" t="n">
        <v>3</v>
      </c>
      <c r="E134">
        <f>IF(C134="TS",IF(D134=3,"Consistent",IF(OR(D134=2,D134=4),"Partially Consistent","Inconsistent")),IF(D134=3,"Inconsistent",IF(AND(D134=5,B134="POSITIVE"),"Consistent",IF(AND(D134=1,B134="NEGATIVE"),"Consistent",IF(AND(D134=4,B134="POSITIVE"),"Partially Consistent",IF(AND(D134=2,B134="NEGATIVE"),"Partially Consistent","Inconsistent"))))))</f>
        <v/>
      </c>
      <c r="F134">
        <f>IF(C134="TS","High","Low")</f>
        <v/>
      </c>
      <c r="G134">
        <f>IF(AND(B134="NEUTRAL",F134="Low"),"LOW",IF(AND(C134="TS",F134="High",D134=3),"HIGH",IF(AND(C134="TS",F134="High",OR(D134=2,D134=4)),"MODERATE",IF(AND(C134="TS",F134="High",OR(D134=1,D134=5)),"LOW",IF(AND(C134="OS",E134="Consistent",OR(D134=1,D134=5)),"MODERATE",IF(AND(C134="OS",E134="Partially Consistent",OR(D134=2,D134=4)),"MODERATE","LOW"))))))</f>
        <v/>
      </c>
      <c r="H134" t="inlineStr"/>
      <c r="I134" t="inlineStr"/>
      <c r="J134" t="inlineStr"/>
      <c r="K134" t="inlineStr"/>
      <c r="L134" t="inlineStr"/>
      <c r="M134" t="inlineStr">
        <is>
          <t>https://www.lazada.com.ph/products/pdp-i4358944057-s24446312395.html</t>
        </is>
      </c>
      <c r="N134" t="n">
        <v>1</v>
      </c>
    </row>
    <row r="135">
      <c r="A135" t="inlineStr">
        <is>
          <t>lemon ang order ko calamansi ang dumating dapat kung ano ang order yon ang ipapadala if ever na out of stock inform muna ang buyer bago magpadala</t>
        </is>
      </c>
      <c r="B135" t="inlineStr">
        <is>
          <t>NEGATIVE</t>
        </is>
      </c>
      <c r="C135">
        <f>IF(B135="NEUTRAL","TS","OS")</f>
        <v/>
      </c>
      <c r="D135" t="n">
        <v>3</v>
      </c>
      <c r="E135">
        <f>IF(C135="TS",IF(D135=3,"Consistent",IF(OR(D135=2,D135=4),"Partially Consistent","Inconsistent")),IF(D135=3,"Inconsistent",IF(AND(D135=5,B135="POSITIVE"),"Consistent",IF(AND(D135=1,B135="NEGATIVE"),"Consistent",IF(AND(D135=4,B135="POSITIVE"),"Partially Consistent",IF(AND(D135=2,B135="NEGATIVE"),"Partially Consistent","Inconsistent"))))))</f>
        <v/>
      </c>
      <c r="F135">
        <f>IF(C135="TS","High","Low")</f>
        <v/>
      </c>
      <c r="G135">
        <f>IF(AND(B135="NEUTRAL",F135="Low"),"LOW",IF(AND(C135="TS",F135="High",D135=3),"HIGH",IF(AND(C135="TS",F135="High",OR(D135=2,D135=4)),"MODERATE",IF(AND(C135="TS",F135="High",OR(D135=1,D135=5)),"LOW",IF(AND(C135="OS",E135="Consistent",OR(D135=1,D135=5)),"MODERATE",IF(AND(C135="OS",E135="Partially Consistent",OR(D135=2,D135=4)),"MODERATE","LOW"))))))</f>
        <v/>
      </c>
      <c r="H135" t="inlineStr"/>
      <c r="I135" t="inlineStr"/>
      <c r="J135" t="inlineStr"/>
      <c r="K135" t="inlineStr"/>
      <c r="L135" t="inlineStr"/>
      <c r="M135" t="inlineStr">
        <is>
          <t>https://www.lazada.com.ph/products/pdp-i4358944057-s24446312395.html</t>
        </is>
      </c>
      <c r="N135" t="n">
        <v>1</v>
      </c>
    </row>
    <row r="136">
      <c r="A136" t="inlineStr">
        <is>
          <t>, , , , , , , , , , , -,</t>
        </is>
      </c>
      <c r="B136" t="inlineStr">
        <is>
          <t>NEGATIVE</t>
        </is>
      </c>
      <c r="C136">
        <f>IF(B136="NEUTRAL","TS","OS")</f>
        <v/>
      </c>
      <c r="D136" t="n">
        <v>3</v>
      </c>
      <c r="E136">
        <f>IF(C136="TS",IF(D136=3,"Consistent",IF(OR(D136=2,D136=4),"Partially Consistent","Inconsistent")),IF(D136=3,"Inconsistent",IF(AND(D136=5,B136="POSITIVE"),"Consistent",IF(AND(D136=1,B136="NEGATIVE"),"Consistent",IF(AND(D136=4,B136="POSITIVE"),"Partially Consistent",IF(AND(D136=2,B136="NEGATIVE"),"Partially Consistent","Inconsistent"))))))</f>
        <v/>
      </c>
      <c r="F136">
        <f>IF(C136="TS","High","Low")</f>
        <v/>
      </c>
      <c r="G136">
        <f>IF(AND(B136="NEUTRAL",F136="Low"),"LOW",IF(AND(C136="TS",F136="High",D136=3),"HIGH",IF(AND(C136="TS",F136="High",OR(D136=2,D136=4)),"MODERATE",IF(AND(C136="TS",F136="High",OR(D136=1,D136=5)),"LOW",IF(AND(C136="OS",E136="Consistent",OR(D136=1,D136=5)),"MODERATE",IF(AND(C136="OS",E136="Partially Consistent",OR(D136=2,D136=4)),"MODERATE","LOW"))))))</f>
        <v/>
      </c>
      <c r="H136" t="inlineStr"/>
      <c r="I136" t="inlineStr"/>
      <c r="J136" t="inlineStr"/>
      <c r="K136" t="inlineStr"/>
      <c r="L136" t="inlineStr"/>
      <c r="M136" t="inlineStr">
        <is>
          <t>https://www.lazada.com.ph/products/pdp-i4358944057-s24446312395.html</t>
        </is>
      </c>
      <c r="N136" t="n">
        <v>1</v>
      </c>
    </row>
    <row r="137">
      <c r="A137" t="inlineStr">
        <is>
          <t>second time kna umorder sulit sya mgnda png negosyo</t>
        </is>
      </c>
      <c r="B137" t="inlineStr">
        <is>
          <t>POSITIVE</t>
        </is>
      </c>
      <c r="C137">
        <f>IF(B137="NEUTRAL","TS","OS")</f>
        <v/>
      </c>
      <c r="D137" t="n">
        <v>3</v>
      </c>
      <c r="E137">
        <f>IF(C137="TS",IF(D137=3,"Consistent",IF(OR(D137=2,D137=4),"Partially Consistent","Inconsistent")),IF(D137=3,"Inconsistent",IF(AND(D137=5,B137="POSITIVE"),"Consistent",IF(AND(D137=1,B137="NEGATIVE"),"Consistent",IF(AND(D137=4,B137="POSITIVE"),"Partially Consistent",IF(AND(D137=2,B137="NEGATIVE"),"Partially Consistent","Inconsistent"))))))</f>
        <v/>
      </c>
      <c r="F137">
        <f>IF(C137="TS","High","Low")</f>
        <v/>
      </c>
      <c r="G137">
        <f>IF(AND(B137="NEUTRAL",F137="Low"),"LOW",IF(AND(C137="TS",F137="High",D137=3),"HIGH",IF(AND(C137="TS",F137="High",OR(D137=2,D137=4)),"MODERATE",IF(AND(C137="TS",F137="High",OR(D137=1,D137=5)),"LOW",IF(AND(C137="OS",E137="Consistent",OR(D137=1,D137=5)),"MODERATE",IF(AND(C137="OS",E137="Partially Consistent",OR(D137=2,D137=4)),"MODERATE","LOW"))))))</f>
        <v/>
      </c>
      <c r="H137" t="inlineStr"/>
      <c r="I137" t="inlineStr"/>
      <c r="J137" t="inlineStr"/>
      <c r="K137" t="inlineStr"/>
      <c r="L137" t="inlineStr"/>
      <c r="M137" t="inlineStr">
        <is>
          <t>https://www.lazada.com.ph/products/pdp-i4358944057-s24446312395.html</t>
        </is>
      </c>
      <c r="N137" t="n">
        <v>1</v>
      </c>
    </row>
    <row r="138">
      <c r="A138" t="inlineStr">
        <is>
          <t>kinulang ng 1l yung isang pack: (</t>
        </is>
      </c>
      <c r="B138" t="inlineStr">
        <is>
          <t>NEGATIVE</t>
        </is>
      </c>
      <c r="C138">
        <f>IF(B138="NEUTRAL","TS","OS")</f>
        <v/>
      </c>
      <c r="D138" t="n">
        <v>3</v>
      </c>
      <c r="E138">
        <f>IF(C138="TS",IF(D138=3,"Consistent",IF(OR(D138=2,D138=4),"Partially Consistent","Inconsistent")),IF(D138=3,"Inconsistent",IF(AND(D138=5,B138="POSITIVE"),"Consistent",IF(AND(D138=1,B138="NEGATIVE"),"Consistent",IF(AND(D138=4,B138="POSITIVE"),"Partially Consistent",IF(AND(D138=2,B138="NEGATIVE"),"Partially Consistent","Inconsistent"))))))</f>
        <v/>
      </c>
      <c r="F138">
        <f>IF(C138="TS","High","Low")</f>
        <v/>
      </c>
      <c r="G138">
        <f>IF(AND(B138="NEUTRAL",F138="Low"),"LOW",IF(AND(C138="TS",F138="High",D138=3),"HIGH",IF(AND(C138="TS",F138="High",OR(D138=2,D138=4)),"MODERATE",IF(AND(C138="TS",F138="High",OR(D138=1,D138=5)),"LOW",IF(AND(C138="OS",E138="Consistent",OR(D138=1,D138=5)),"MODERATE",IF(AND(C138="OS",E138="Partially Consistent",OR(D138=2,D138=4)),"MODERATE","LOW"))))))</f>
        <v/>
      </c>
      <c r="H138" t="inlineStr"/>
      <c r="I138" t="inlineStr"/>
      <c r="J138" t="inlineStr"/>
      <c r="K138" t="inlineStr"/>
      <c r="L138" t="inlineStr"/>
      <c r="M138" t="inlineStr">
        <is>
          <t>https://www.lazada.com.ph/products/pdp-i4358944057-s24446312395.html</t>
        </is>
      </c>
      <c r="N138" t="n">
        <v>1</v>
      </c>
    </row>
    <row r="139">
      <c r="A139" t="inlineStr">
        <is>
          <t>gentle on hands, long-lasting freshness,</t>
        </is>
      </c>
      <c r="B139" t="inlineStr">
        <is>
          <t>NEUTRAL</t>
        </is>
      </c>
      <c r="C139">
        <f>IF(B139="NEUTRAL","TS","OS")</f>
        <v/>
      </c>
      <c r="D139" t="n">
        <v>3</v>
      </c>
      <c r="E139">
        <f>IF(C139="TS",IF(D139=3,"Consistent",IF(OR(D139=2,D139=4),"Partially Consistent","Inconsistent")),IF(D139=3,"Inconsistent",IF(AND(D139=5,B139="POSITIVE"),"Consistent",IF(AND(D139=1,B139="NEGATIVE"),"Consistent",IF(AND(D139=4,B139="POSITIVE"),"Partially Consistent",IF(AND(D139=2,B139="NEGATIVE"),"Partially Consistent","Inconsistent"))))))</f>
        <v/>
      </c>
      <c r="F139">
        <f>IF(C139="TS","High","Low")</f>
        <v/>
      </c>
      <c r="G139">
        <f>IF(AND(B139="NEUTRAL",F139="Low"),"LOW",IF(AND(C139="TS",F139="High",D139=3),"HIGH",IF(AND(C139="TS",F139="High",OR(D139=2,D139=4)),"MODERATE",IF(AND(C139="TS",F139="High",OR(D139=1,D139=5)),"LOW",IF(AND(C139="OS",E139="Consistent",OR(D139=1,D139=5)),"MODERATE",IF(AND(C139="OS",E139="Partially Consistent",OR(D139=2,D139=4)),"MODERATE","LOW"))))))</f>
        <v/>
      </c>
      <c r="H139" t="inlineStr"/>
      <c r="I139" t="inlineStr"/>
      <c r="J139" t="inlineStr"/>
      <c r="K139" t="inlineStr"/>
      <c r="L139" t="inlineStr"/>
      <c r="M139" t="inlineStr">
        <is>
          <t>https://www.lazada.com.ph/products/pdp-i4358944057-s24446312395.html</t>
        </is>
      </c>
      <c r="N139" t="n">
        <v>1</v>
      </c>
    </row>
    <row r="140">
      <c r="A140" t="inlineStr">
        <is>
          <t>nice</t>
        </is>
      </c>
      <c r="B140" t="inlineStr">
        <is>
          <t>POSITIVE</t>
        </is>
      </c>
      <c r="C140">
        <f>IF(B140="NEUTRAL","TS","OS")</f>
        <v/>
      </c>
      <c r="D140" t="n">
        <v>3</v>
      </c>
      <c r="E140">
        <f>IF(C140="TS",IF(D140=3,"Consistent",IF(OR(D140=2,D140=4),"Partially Consistent","Inconsistent")),IF(D140=3,"Inconsistent",IF(AND(D140=5,B140="POSITIVE"),"Consistent",IF(AND(D140=1,B140="NEGATIVE"),"Consistent",IF(AND(D140=4,B140="POSITIVE"),"Partially Consistent",IF(AND(D140=2,B140="NEGATIVE"),"Partially Consistent","Inconsistent"))))))</f>
        <v/>
      </c>
      <c r="F140">
        <f>IF(C140="TS","High","Low")</f>
        <v/>
      </c>
      <c r="G140">
        <f>IF(AND(B140="NEUTRAL",F140="Low"),"LOW",IF(AND(C140="TS",F140="High",D140=3),"HIGH",IF(AND(C140="TS",F140="High",OR(D140=2,D140=4)),"MODERATE",IF(AND(C140="TS",F140="High",OR(D140=1,D140=5)),"LOW",IF(AND(C140="OS",E140="Consistent",OR(D140=1,D140=5)),"MODERATE",IF(AND(C140="OS",E140="Partially Consistent",OR(D140=2,D140=4)),"MODERATE","LOW"))))))</f>
        <v/>
      </c>
      <c r="H140" t="inlineStr"/>
      <c r="I140" t="inlineStr"/>
      <c r="J140" t="inlineStr"/>
      <c r="K140" t="inlineStr"/>
      <c r="L140" t="inlineStr"/>
      <c r="M140" t="inlineStr">
        <is>
          <t>https://www.lazada.com.ph/products/pdp-i4358944057-s24446312395.html</t>
        </is>
      </c>
      <c r="N140" t="n">
        <v>1</v>
      </c>
    </row>
    <row r="141">
      <c r="A141" t="inlineStr">
        <is>
          <t>wala akong problema sa dishwashing. . yung mga bote grabe puro yupi. . sana po nextime mas makapal na box. . di nman po tlga maiwasan yung yupi pero yung halos lahat as a reseller hindi na sya presentable ebenta kapag ganun. .</t>
        </is>
      </c>
      <c r="B141" t="inlineStr">
        <is>
          <t>NEUTRAL</t>
        </is>
      </c>
      <c r="C141">
        <f>IF(B141="NEUTRAL","TS","OS")</f>
        <v/>
      </c>
      <c r="D141" t="n">
        <v>3</v>
      </c>
      <c r="E141">
        <f>IF(C141="TS",IF(D141=3,"Consistent",IF(OR(D141=2,D141=4),"Partially Consistent","Inconsistent")),IF(D141=3,"Inconsistent",IF(AND(D141=5,B141="POSITIVE"),"Consistent",IF(AND(D141=1,B141="NEGATIVE"),"Consistent",IF(AND(D141=4,B141="POSITIVE"),"Partially Consistent",IF(AND(D141=2,B141="NEGATIVE"),"Partially Consistent","Inconsistent"))))))</f>
        <v/>
      </c>
      <c r="F141">
        <f>IF(C141="TS","High","Low")</f>
        <v/>
      </c>
      <c r="G141">
        <f>IF(AND(B141="NEUTRAL",F141="Low"),"LOW",IF(AND(C141="TS",F141="High",D141=3),"HIGH",IF(AND(C141="TS",F141="High",OR(D141=2,D141=4)),"MODERATE",IF(AND(C141="TS",F141="High",OR(D141=1,D141=5)),"LOW",IF(AND(C141="OS",E141="Consistent",OR(D141=1,D141=5)),"MODERATE",IF(AND(C141="OS",E141="Partially Consistent",OR(D141=2,D141=4)),"MODERATE","LOW"))))))</f>
        <v/>
      </c>
      <c r="H141" t="inlineStr"/>
      <c r="I141" t="inlineStr"/>
      <c r="J141" t="inlineStr"/>
      <c r="K141" t="inlineStr"/>
      <c r="L141" t="inlineStr"/>
      <c r="M141" t="inlineStr">
        <is>
          <t>https://www.lazada.com.ph/products/pdp-i4358944057-s24446312395.html</t>
        </is>
      </c>
      <c r="N141" t="n">
        <v>1</v>
      </c>
    </row>
    <row r="142">
      <c r="A142" t="inlineStr">
        <is>
          <t>mabango mqbula sya pero hindi inaahot ng 6l bat kaya ganun? puno na nga yung 1l na bottle na tubig ko eh</t>
        </is>
      </c>
      <c r="B142" t="inlineStr">
        <is>
          <t>NEUTRAL</t>
        </is>
      </c>
      <c r="C142">
        <f>IF(B142="NEUTRAL","TS","OS")</f>
        <v/>
      </c>
      <c r="D142" t="n">
        <v>3</v>
      </c>
      <c r="E142">
        <f>IF(C142="TS",IF(D142=3,"Consistent",IF(OR(D142=2,D142=4),"Partially Consistent","Inconsistent")),IF(D142=3,"Inconsistent",IF(AND(D142=5,B142="POSITIVE"),"Consistent",IF(AND(D142=1,B142="NEGATIVE"),"Consistent",IF(AND(D142=4,B142="POSITIVE"),"Partially Consistent",IF(AND(D142=2,B142="NEGATIVE"),"Partially Consistent","Inconsistent"))))))</f>
        <v/>
      </c>
      <c r="F142">
        <f>IF(C142="TS","High","Low")</f>
        <v/>
      </c>
      <c r="G142">
        <f>IF(AND(B142="NEUTRAL",F142="Low"),"LOW",IF(AND(C142="TS",F142="High",D142=3),"HIGH",IF(AND(C142="TS",F142="High",OR(D142=2,D142=4)),"MODERATE",IF(AND(C142="TS",F142="High",OR(D142=1,D142=5)),"LOW",IF(AND(C142="OS",E142="Consistent",OR(D142=1,D142=5)),"MODERATE",IF(AND(C142="OS",E142="Partially Consistent",OR(D142=2,D142=4)),"MODERATE","LOW"))))))</f>
        <v/>
      </c>
      <c r="H142" t="inlineStr"/>
      <c r="I142" t="inlineStr"/>
      <c r="J142" t="inlineStr"/>
      <c r="K142" t="inlineStr"/>
      <c r="L142" t="inlineStr"/>
      <c r="M142" t="inlineStr">
        <is>
          <t>https://www.lazada.com.ph/products/pdp-i4358944057-s24446312395.html</t>
        </is>
      </c>
      <c r="N142" t="n">
        <v>1</v>
      </c>
    </row>
    <row r="143">
      <c r="A143" t="inlineStr">
        <is>
          <t>long-lasting freshness, refreshing citrus scent, leaves dishes sparkling clean, refreshing citrus scent, long-lasting freshness,</t>
        </is>
      </c>
      <c r="B143" t="inlineStr">
        <is>
          <t>NEUTRAL</t>
        </is>
      </c>
      <c r="C143">
        <f>IF(B143="NEUTRAL","TS","OS")</f>
        <v/>
      </c>
      <c r="D143" t="n">
        <v>3</v>
      </c>
      <c r="E143">
        <f>IF(C143="TS",IF(D143=3,"Consistent",IF(OR(D143=2,D143=4),"Partially Consistent","Inconsistent")),IF(D143=3,"Inconsistent",IF(AND(D143=5,B143="POSITIVE"),"Consistent",IF(AND(D143=1,B143="NEGATIVE"),"Consistent",IF(AND(D143=4,B143="POSITIVE"),"Partially Consistent",IF(AND(D143=2,B143="NEGATIVE"),"Partially Consistent","Inconsistent"))))))</f>
        <v/>
      </c>
      <c r="F143">
        <f>IF(C143="TS","High","Low")</f>
        <v/>
      </c>
      <c r="G143">
        <f>IF(AND(B143="NEUTRAL",F143="Low"),"LOW",IF(AND(C143="TS",F143="High",D143=3),"HIGH",IF(AND(C143="TS",F143="High",OR(D143=2,D143=4)),"MODERATE",IF(AND(C143="TS",F143="High",OR(D143=1,D143=5)),"LOW",IF(AND(C143="OS",E143="Consistent",OR(D143=1,D143=5)),"MODERATE",IF(AND(C143="OS",E143="Partially Consistent",OR(D143=2,D143=4)),"MODERATE","LOW"))))))</f>
        <v/>
      </c>
      <c r="H143" t="inlineStr"/>
      <c r="I143" t="inlineStr"/>
      <c r="J143" t="inlineStr"/>
      <c r="K143" t="inlineStr"/>
      <c r="L143" t="inlineStr"/>
      <c r="M143" t="inlineStr">
        <is>
          <t>https://www.lazada.com.ph/products/pdp-i4358944057-s24446312395.html</t>
        </is>
      </c>
      <c r="N143" t="n">
        <v>1</v>
      </c>
    </row>
    <row r="144">
      <c r="A144" t="inlineStr">
        <is>
          <t>order received pero kulang po, 2 inorder ko pero isa lng dumating</t>
        </is>
      </c>
      <c r="B144" t="inlineStr">
        <is>
          <t>NEGATIVE</t>
        </is>
      </c>
      <c r="C144">
        <f>IF(B144="NEUTRAL","TS","OS")</f>
        <v/>
      </c>
      <c r="D144" t="n">
        <v>3</v>
      </c>
      <c r="E144">
        <f>IF(C144="TS",IF(D144=3,"Consistent",IF(OR(D144=2,D144=4),"Partially Consistent","Inconsistent")),IF(D144=3,"Inconsistent",IF(AND(D144=5,B144="POSITIVE"),"Consistent",IF(AND(D144=1,B144="NEGATIVE"),"Consistent",IF(AND(D144=4,B144="POSITIVE"),"Partially Consistent",IF(AND(D144=2,B144="NEGATIVE"),"Partially Consistent","Inconsistent"))))))</f>
        <v/>
      </c>
      <c r="F144">
        <f>IF(C144="TS","High","Low")</f>
        <v/>
      </c>
      <c r="G144">
        <f>IF(AND(B144="NEUTRAL",F144="Low"),"LOW",IF(AND(C144="TS",F144="High",D144=3),"HIGH",IF(AND(C144="TS",F144="High",OR(D144=2,D144=4)),"MODERATE",IF(AND(C144="TS",F144="High",OR(D144=1,D144=5)),"LOW",IF(AND(C144="OS",E144="Consistent",OR(D144=1,D144=5)),"MODERATE",IF(AND(C144="OS",E144="Partially Consistent",OR(D144=2,D144=4)),"MODERATE","LOW"))))))</f>
        <v/>
      </c>
      <c r="H144" t="inlineStr"/>
      <c r="I144" t="inlineStr"/>
      <c r="J144" t="inlineStr"/>
      <c r="K144" t="inlineStr"/>
      <c r="L144" t="inlineStr"/>
      <c r="M144" t="inlineStr">
        <is>
          <t>https://www.lazada.com.ph/products/pdp-i4358944057-s24446312395.html</t>
        </is>
      </c>
      <c r="N144" t="n">
        <v>1</v>
      </c>
    </row>
    <row r="145">
      <c r="A145" t="inlineStr">
        <is>
          <t>value for money,</t>
        </is>
      </c>
      <c r="B145" t="inlineStr">
        <is>
          <t>NEGATIVE</t>
        </is>
      </c>
      <c r="C145">
        <f>IF(B145="NEUTRAL","TS","OS")</f>
        <v/>
      </c>
      <c r="D145" t="n">
        <v>3</v>
      </c>
      <c r="E145">
        <f>IF(C145="TS",IF(D145=3,"Consistent",IF(OR(D145=2,D145=4),"Partially Consistent","Inconsistent")),IF(D145=3,"Inconsistent",IF(AND(D145=5,B145="POSITIVE"),"Consistent",IF(AND(D145=1,B145="NEGATIVE"),"Consistent",IF(AND(D145=4,B145="POSITIVE"),"Partially Consistent",IF(AND(D145=2,B145="NEGATIVE"),"Partially Consistent","Inconsistent"))))))</f>
        <v/>
      </c>
      <c r="F145">
        <f>IF(C145="TS","High","Low")</f>
        <v/>
      </c>
      <c r="G145">
        <f>IF(AND(B145="NEUTRAL",F145="Low"),"LOW",IF(AND(C145="TS",F145="High",D145=3),"HIGH",IF(AND(C145="TS",F145="High",OR(D145=2,D145=4)),"MODERATE",IF(AND(C145="TS",F145="High",OR(D145=1,D145=5)),"LOW",IF(AND(C145="OS",E145="Consistent",OR(D145=1,D145=5)),"MODERATE",IF(AND(C145="OS",E145="Partially Consistent",OR(D145=2,D145=4)),"MODERATE","LOW"))))))</f>
        <v/>
      </c>
      <c r="H145" t="inlineStr"/>
      <c r="I145" t="inlineStr"/>
      <c r="J145" t="inlineStr"/>
      <c r="K145" t="inlineStr"/>
      <c r="L145" t="inlineStr"/>
      <c r="M145" t="inlineStr">
        <is>
          <t>https://www.lazada.com.ph/products/pdp-i4358944057-s24446312395.html</t>
        </is>
      </c>
      <c r="N145" t="n">
        <v>1</v>
      </c>
    </row>
    <row r="146">
      <c r="A146" t="inlineStr">
        <is>
          <t>convenient and easy to use, gentle on hands, great for everyday use. average quality at d gaanong mabisa sa mga oily</t>
        </is>
      </c>
      <c r="B146" t="inlineStr">
        <is>
          <t>POSITIVE</t>
        </is>
      </c>
      <c r="C146">
        <f>IF(B146="NEUTRAL","TS","OS")</f>
        <v/>
      </c>
      <c r="D146" t="n">
        <v>3</v>
      </c>
      <c r="E146">
        <f>IF(C146="TS",IF(D146=3,"Consistent",IF(OR(D146=2,D146=4),"Partially Consistent","Inconsistent")),IF(D146=3,"Inconsistent",IF(AND(D146=5,B146="POSITIVE"),"Consistent",IF(AND(D146=1,B146="NEGATIVE"),"Consistent",IF(AND(D146=4,B146="POSITIVE"),"Partially Consistent",IF(AND(D146=2,B146="NEGATIVE"),"Partially Consistent","Inconsistent"))))))</f>
        <v/>
      </c>
      <c r="F146">
        <f>IF(C146="TS","High","Low")</f>
        <v/>
      </c>
      <c r="G146">
        <f>IF(AND(B146="NEUTRAL",F146="Low"),"LOW",IF(AND(C146="TS",F146="High",D146=3),"HIGH",IF(AND(C146="TS",F146="High",OR(D146=2,D146=4)),"MODERATE",IF(AND(C146="TS",F146="High",OR(D146=1,D146=5)),"LOW",IF(AND(C146="OS",E146="Consistent",OR(D146=1,D146=5)),"MODERATE",IF(AND(C146="OS",E146="Partially Consistent",OR(D146=2,D146=4)),"MODERATE","LOW"))))))</f>
        <v/>
      </c>
      <c r="H146" t="inlineStr"/>
      <c r="I146" t="inlineStr"/>
      <c r="J146" t="inlineStr"/>
      <c r="K146" t="inlineStr"/>
      <c r="L146" t="inlineStr"/>
      <c r="M146" t="inlineStr">
        <is>
          <t>https://www.lazada.com.ph/products/pdp-i4358944057-s24446312395.html</t>
        </is>
      </c>
      <c r="N146" t="n">
        <v>1</v>
      </c>
    </row>
    <row r="147">
      <c r="A147" t="inlineStr">
        <is>
          <t>convenient and easy to use,</t>
        </is>
      </c>
      <c r="B147" t="inlineStr">
        <is>
          <t>POSITIVE</t>
        </is>
      </c>
      <c r="C147">
        <f>IF(B147="NEUTRAL","TS","OS")</f>
        <v/>
      </c>
      <c r="D147" t="n">
        <v>3</v>
      </c>
      <c r="E147">
        <f>IF(C147="TS",IF(D147=3,"Consistent",IF(OR(D147=2,D147=4),"Partially Consistent","Inconsistent")),IF(D147=3,"Inconsistent",IF(AND(D147=5,B147="POSITIVE"),"Consistent",IF(AND(D147=1,B147="NEGATIVE"),"Consistent",IF(AND(D147=4,B147="POSITIVE"),"Partially Consistent",IF(AND(D147=2,B147="NEGATIVE"),"Partially Consistent","Inconsistent"))))))</f>
        <v/>
      </c>
      <c r="F147">
        <f>IF(C147="TS","High","Low")</f>
        <v/>
      </c>
      <c r="G147">
        <f>IF(AND(B147="NEUTRAL",F147="Low"),"LOW",IF(AND(C147="TS",F147="High",D147=3),"HIGH",IF(AND(C147="TS",F147="High",OR(D147=2,D147=4)),"MODERATE",IF(AND(C147="TS",F147="High",OR(D147=1,D147=5)),"LOW",IF(AND(C147="OS",E147="Consistent",OR(D147=1,D147=5)),"MODERATE",IF(AND(C147="OS",E147="Partially Consistent",OR(D147=2,D147=4)),"MODERATE","LOW"))))))</f>
        <v/>
      </c>
      <c r="H147" t="inlineStr"/>
      <c r="I147" t="inlineStr"/>
      <c r="J147" t="inlineStr"/>
      <c r="K147" t="inlineStr"/>
      <c r="L147" t="inlineStr"/>
      <c r="M147" t="inlineStr">
        <is>
          <t>https://www.lazada.com.ph/products/pdp-i4358944057-s24446312395.html</t>
        </is>
      </c>
      <c r="N147" t="n">
        <v>1</v>
      </c>
    </row>
    <row r="148">
      <c r="A148" t="inlineStr">
        <is>
          <t>value for money, eco-friendly packaging,</t>
        </is>
      </c>
      <c r="B148" t="inlineStr">
        <is>
          <t>POSITIVE</t>
        </is>
      </c>
      <c r="C148">
        <f>IF(B148="NEUTRAL","TS","OS")</f>
        <v/>
      </c>
      <c r="D148" t="n">
        <v>3</v>
      </c>
      <c r="E148">
        <f>IF(C148="TS",IF(D148=3,"Consistent",IF(OR(D148=2,D148=4),"Partially Consistent","Inconsistent")),IF(D148=3,"Inconsistent",IF(AND(D148=5,B148="POSITIVE"),"Consistent",IF(AND(D148=1,B148="NEGATIVE"),"Consistent",IF(AND(D148=4,B148="POSITIVE"),"Partially Consistent",IF(AND(D148=2,B148="NEGATIVE"),"Partially Consistent","Inconsistent"))))))</f>
        <v/>
      </c>
      <c r="F148">
        <f>IF(C148="TS","High","Low")</f>
        <v/>
      </c>
      <c r="G148">
        <f>IF(AND(B148="NEUTRAL",F148="Low"),"LOW",IF(AND(C148="TS",F148="High",D148=3),"HIGH",IF(AND(C148="TS",F148="High",OR(D148=2,D148=4)),"MODERATE",IF(AND(C148="TS",F148="High",OR(D148=1,D148=5)),"LOW",IF(AND(C148="OS",E148="Consistent",OR(D148=1,D148=5)),"MODERATE",IF(AND(C148="OS",E148="Partially Consistent",OR(D148=2,D148=4)),"MODERATE","LOW"))))))</f>
        <v/>
      </c>
      <c r="H148" t="inlineStr"/>
      <c r="I148" t="inlineStr"/>
      <c r="J148" t="inlineStr"/>
      <c r="K148" t="inlineStr"/>
      <c r="L148" t="inlineStr"/>
      <c r="M148" t="inlineStr">
        <is>
          <t>https://www.lazada.com.ph/products/pdp-i4358944057-s24446312395.html</t>
        </is>
      </c>
      <c r="N148" t="n">
        <v>1</v>
      </c>
    </row>
    <row r="149">
      <c r="A149" t="inlineStr">
        <is>
          <t>value for money, versatile scent options, efficient cleaning power, great for everyday use,</t>
        </is>
      </c>
      <c r="B149" t="inlineStr">
        <is>
          <t>NEUTRAL</t>
        </is>
      </c>
      <c r="C149">
        <f>IF(B149="NEUTRAL","TS","OS")</f>
        <v/>
      </c>
      <c r="D149" t="n">
        <v>3</v>
      </c>
      <c r="E149">
        <f>IF(C149="TS",IF(D149=3,"Consistent",IF(OR(D149=2,D149=4),"Partially Consistent","Inconsistent")),IF(D149=3,"Inconsistent",IF(AND(D149=5,B149="POSITIVE"),"Consistent",IF(AND(D149=1,B149="NEGATIVE"),"Consistent",IF(AND(D149=4,B149="POSITIVE"),"Partially Consistent",IF(AND(D149=2,B149="NEGATIVE"),"Partially Consistent","Inconsistent"))))))</f>
        <v/>
      </c>
      <c r="F149">
        <f>IF(C149="TS","High","Low")</f>
        <v/>
      </c>
      <c r="G149">
        <f>IF(AND(B149="NEUTRAL",F149="Low"),"LOW",IF(AND(C149="TS",F149="High",D149=3),"HIGH",IF(AND(C149="TS",F149="High",OR(D149=2,D149=4)),"MODERATE",IF(AND(C149="TS",F149="High",OR(D149=1,D149=5)),"LOW",IF(AND(C149="OS",E149="Consistent",OR(D149=1,D149=5)),"MODERATE",IF(AND(C149="OS",E149="Partially Consistent",OR(D149=2,D149=4)),"MODERATE","LOW"))))))</f>
        <v/>
      </c>
      <c r="H149" t="inlineStr"/>
      <c r="I149" t="inlineStr"/>
      <c r="J149" t="inlineStr"/>
      <c r="K149" t="inlineStr"/>
      <c r="L149" t="inlineStr"/>
      <c r="M149" t="inlineStr">
        <is>
          <t>https://www.lazada.com.ph/products/pdp-i4358944057-s24446312395.html</t>
        </is>
      </c>
      <c r="N149" t="n">
        <v>1</v>
      </c>
    </row>
    <row r="150">
      <c r="A150" t="inlineStr">
        <is>
          <t>arrived on time not expecting lang na 500 ml ang per pack kc hindi ganoon ang inorder ko i thought 1 liter each ang darating dahil yon ang inorder ko. then noong inopen ko na uli yong page ibang price na ang nakalagay. hindi ko pa natatry.</t>
        </is>
      </c>
      <c r="B150" t="inlineStr">
        <is>
          <t>NEGATIVE</t>
        </is>
      </c>
      <c r="C150">
        <f>IF(B150="NEUTRAL","TS","OS")</f>
        <v/>
      </c>
      <c r="D150" t="n">
        <v>3</v>
      </c>
      <c r="E150">
        <f>IF(C150="TS",IF(D150=3,"Consistent",IF(OR(D150=2,D150=4),"Partially Consistent","Inconsistent")),IF(D150=3,"Inconsistent",IF(AND(D150=5,B150="POSITIVE"),"Consistent",IF(AND(D150=1,B150="NEGATIVE"),"Consistent",IF(AND(D150=4,B150="POSITIVE"),"Partially Consistent",IF(AND(D150=2,B150="NEGATIVE"),"Partially Consistent","Inconsistent"))))))</f>
        <v/>
      </c>
      <c r="F150">
        <f>IF(C150="TS","High","Low")</f>
        <v/>
      </c>
      <c r="G150">
        <f>IF(AND(B150="NEUTRAL",F150="Low"),"LOW",IF(AND(C150="TS",F150="High",D150=3),"HIGH",IF(AND(C150="TS",F150="High",OR(D150=2,D150=4)),"MODERATE",IF(AND(C150="TS",F150="High",OR(D150=1,D150=5)),"LOW",IF(AND(C150="OS",E150="Consistent",OR(D150=1,D150=5)),"MODERATE",IF(AND(C150="OS",E150="Partially Consistent",OR(D150=2,D150=4)),"MODERATE","LOW"))))))</f>
        <v/>
      </c>
      <c r="H150" t="inlineStr"/>
      <c r="I150" t="inlineStr"/>
      <c r="J150" t="inlineStr"/>
      <c r="K150" t="inlineStr"/>
      <c r="L150" t="inlineStr"/>
      <c r="M150" t="inlineStr">
        <is>
          <t>https://www.lazada.com.ph/products/pdp-i4358944057-s24446312395.html</t>
        </is>
      </c>
      <c r="N150" t="n">
        <v>1</v>
      </c>
    </row>
    <row r="151">
      <c r="A151" t="inlineStr">
        <is>
          <t>gentle on hands, efficient cleaning power, long-lasting freshness, value for money, great for everyday use,</t>
        </is>
      </c>
      <c r="B151" t="inlineStr">
        <is>
          <t>NEUTRAL</t>
        </is>
      </c>
      <c r="C151">
        <f>IF(B151="NEUTRAL","TS","OS")</f>
        <v/>
      </c>
      <c r="D151" t="n">
        <v>3</v>
      </c>
      <c r="E151">
        <f>IF(C151="TS",IF(D151=3,"Consistent",IF(OR(D151=2,D151=4),"Partially Consistent","Inconsistent")),IF(D151=3,"Inconsistent",IF(AND(D151=5,B151="POSITIVE"),"Consistent",IF(AND(D151=1,B151="NEGATIVE"),"Consistent",IF(AND(D151=4,B151="POSITIVE"),"Partially Consistent",IF(AND(D151=2,B151="NEGATIVE"),"Partially Consistent","Inconsistent"))))))</f>
        <v/>
      </c>
      <c r="F151">
        <f>IF(C151="TS","High","Low")</f>
        <v/>
      </c>
      <c r="G151">
        <f>IF(AND(B151="NEUTRAL",F151="Low"),"LOW",IF(AND(C151="TS",F151="High",D151=3),"HIGH",IF(AND(C151="TS",F151="High",OR(D151=2,D151=4)),"MODERATE",IF(AND(C151="TS",F151="High",OR(D151=1,D151=5)),"LOW",IF(AND(C151="OS",E151="Consistent",OR(D151=1,D151=5)),"MODERATE",IF(AND(C151="OS",E151="Partially Consistent",OR(D151=2,D151=4)),"MODERATE","LOW"))))))</f>
        <v/>
      </c>
      <c r="H151" t="inlineStr"/>
      <c r="I151" t="inlineStr"/>
      <c r="J151" t="inlineStr"/>
      <c r="K151" t="inlineStr"/>
      <c r="L151" t="inlineStr"/>
      <c r="M151" t="inlineStr">
        <is>
          <t>https://www.lazada.com.ph/products/pdp-i4358944057-s24446312395.html</t>
        </is>
      </c>
      <c r="N151" t="n">
        <v>1</v>
      </c>
    </row>
    <row r="152">
      <c r="A152" t="inlineStr">
        <is>
          <t>quality good value for money good packaging good</t>
        </is>
      </c>
      <c r="B152" t="inlineStr">
        <is>
          <t>POSITIVE</t>
        </is>
      </c>
      <c r="C152">
        <f>IF(B152="NEUTRAL","TS","OS")</f>
        <v/>
      </c>
      <c r="D152" t="n">
        <v>3</v>
      </c>
      <c r="E152">
        <f>IF(C152="TS",IF(D152=3,"Consistent",IF(OR(D152=2,D152=4),"Partially Consistent","Inconsistent")),IF(D152=3,"Inconsistent",IF(AND(D152=5,B152="POSITIVE"),"Consistent",IF(AND(D152=1,B152="NEGATIVE"),"Consistent",IF(AND(D152=4,B152="POSITIVE"),"Partially Consistent",IF(AND(D152=2,B152="NEGATIVE"),"Partially Consistent","Inconsistent"))))))</f>
        <v/>
      </c>
      <c r="F152">
        <f>IF(C152="TS","High","Low")</f>
        <v/>
      </c>
      <c r="G152">
        <f>IF(AND(B152="NEUTRAL",F152="Low"),"LOW",IF(AND(C152="TS",F152="High",D152=3),"HIGH",IF(AND(C152="TS",F152="High",OR(D152=2,D152=4)),"MODERATE",IF(AND(C152="TS",F152="High",OR(D152=1,D152=5)),"LOW",IF(AND(C152="OS",E152="Consistent",OR(D152=1,D152=5)),"MODERATE",IF(AND(C152="OS",E152="Partially Consistent",OR(D152=2,D152=4)),"MODERATE","LOW"))))))</f>
        <v/>
      </c>
      <c r="H152" t="inlineStr"/>
      <c r="I152" t="inlineStr"/>
      <c r="J152" t="inlineStr"/>
      <c r="K152" t="inlineStr"/>
      <c r="L152" t="inlineStr"/>
      <c r="M152" t="inlineStr">
        <is>
          <t>https://www.lazada.com.ph/products/pdp-i4358944057-s24446312395.html</t>
        </is>
      </c>
      <c r="N152" t="n">
        <v>1</v>
      </c>
    </row>
    <row r="153">
      <c r="A153" t="inlineStr">
        <is>
          <t>value for money, gentle on hands,</t>
        </is>
      </c>
      <c r="B153" t="inlineStr">
        <is>
          <t>NEGATIVE</t>
        </is>
      </c>
      <c r="C153">
        <f>IF(B153="NEUTRAL","TS","OS")</f>
        <v/>
      </c>
      <c r="D153" t="n">
        <v>3</v>
      </c>
      <c r="E153">
        <f>IF(C153="TS",IF(D153=3,"Consistent",IF(OR(D153=2,D153=4),"Partially Consistent","Inconsistent")),IF(D153=3,"Inconsistent",IF(AND(D153=5,B153="POSITIVE"),"Consistent",IF(AND(D153=1,B153="NEGATIVE"),"Consistent",IF(AND(D153=4,B153="POSITIVE"),"Partially Consistent",IF(AND(D153=2,B153="NEGATIVE"),"Partially Consistent","Inconsistent"))))))</f>
        <v/>
      </c>
      <c r="F153">
        <f>IF(C153="TS","High","Low")</f>
        <v/>
      </c>
      <c r="G153">
        <f>IF(AND(B153="NEUTRAL",F153="Low"),"LOW",IF(AND(C153="TS",F153="High",D153=3),"HIGH",IF(AND(C153="TS",F153="High",OR(D153=2,D153=4)),"MODERATE",IF(AND(C153="TS",F153="High",OR(D153=1,D153=5)),"LOW",IF(AND(C153="OS",E153="Consistent",OR(D153=1,D153=5)),"MODERATE",IF(AND(C153="OS",E153="Partially Consistent",OR(D153=2,D153=4)),"MODERATE","LOW"))))))</f>
        <v/>
      </c>
      <c r="H153" t="inlineStr"/>
      <c r="I153" t="inlineStr"/>
      <c r="J153" t="inlineStr"/>
      <c r="K153" t="inlineStr"/>
      <c r="L153" t="inlineStr"/>
      <c r="M153" t="inlineStr">
        <is>
          <t>https://www.lazada.com.ph/products/pdp-i4358944057-s24446312395.html</t>
        </is>
      </c>
      <c r="N153" t="n">
        <v>1</v>
      </c>
    </row>
    <row r="154">
      <c r="A154" t="inlineStr">
        <is>
          <t>value for money, refreshing citrus scent, efficient cleaning power, great for everyday use,</t>
        </is>
      </c>
      <c r="B154" t="inlineStr">
        <is>
          <t>NEUTRAL</t>
        </is>
      </c>
      <c r="C154">
        <f>IF(B154="NEUTRAL","TS","OS")</f>
        <v/>
      </c>
      <c r="D154" t="n">
        <v>3</v>
      </c>
      <c r="E154">
        <f>IF(C154="TS",IF(D154=3,"Consistent",IF(OR(D154=2,D154=4),"Partially Consistent","Inconsistent")),IF(D154=3,"Inconsistent",IF(AND(D154=5,B154="POSITIVE"),"Consistent",IF(AND(D154=1,B154="NEGATIVE"),"Consistent",IF(AND(D154=4,B154="POSITIVE"),"Partially Consistent",IF(AND(D154=2,B154="NEGATIVE"),"Partially Consistent","Inconsistent"))))))</f>
        <v/>
      </c>
      <c r="F154">
        <f>IF(C154="TS","High","Low")</f>
        <v/>
      </c>
      <c r="G154">
        <f>IF(AND(B154="NEUTRAL",F154="Low"),"LOW",IF(AND(C154="TS",F154="High",D154=3),"HIGH",IF(AND(C154="TS",F154="High",OR(D154=2,D154=4)),"MODERATE",IF(AND(C154="TS",F154="High",OR(D154=1,D154=5)),"LOW",IF(AND(C154="OS",E154="Consistent",OR(D154=1,D154=5)),"MODERATE",IF(AND(C154="OS",E154="Partially Consistent",OR(D154=2,D154=4)),"MODERATE","LOW"))))))</f>
        <v/>
      </c>
      <c r="H154" t="inlineStr"/>
      <c r="I154" t="inlineStr"/>
      <c r="J154" t="inlineStr"/>
      <c r="K154" t="inlineStr"/>
      <c r="L154" t="inlineStr"/>
      <c r="M154" t="inlineStr">
        <is>
          <t>https://www.lazada.com.ph/products/pdp-i4358944057-s24446312395.html</t>
        </is>
      </c>
      <c r="N154" t="n">
        <v>1</v>
      </c>
    </row>
    <row r="155">
      <c r="A155" t="inlineStr">
        <is>
          <t>puro blue po ang dumating sakin wala po ang green</t>
        </is>
      </c>
      <c r="B155" t="inlineStr">
        <is>
          <t>NEGATIVE</t>
        </is>
      </c>
      <c r="C155">
        <f>IF(B155="NEUTRAL","TS","OS")</f>
        <v/>
      </c>
      <c r="D155" t="n">
        <v>3</v>
      </c>
      <c r="E155">
        <f>IF(C155="TS",IF(D155=3,"Consistent",IF(OR(D155=2,D155=4),"Partially Consistent","Inconsistent")),IF(D155=3,"Inconsistent",IF(AND(D155=5,B155="POSITIVE"),"Consistent",IF(AND(D155=1,B155="NEGATIVE"),"Consistent",IF(AND(D155=4,B155="POSITIVE"),"Partially Consistent",IF(AND(D155=2,B155="NEGATIVE"),"Partially Consistent","Inconsistent"))))))</f>
        <v/>
      </c>
      <c r="F155">
        <f>IF(C155="TS","High","Low")</f>
        <v/>
      </c>
      <c r="G155">
        <f>IF(AND(B155="NEUTRAL",F155="Low"),"LOW",IF(AND(C155="TS",F155="High",D155=3),"HIGH",IF(AND(C155="TS",F155="High",OR(D155=2,D155=4)),"MODERATE",IF(AND(C155="TS",F155="High",OR(D155=1,D155=5)),"LOW",IF(AND(C155="OS",E155="Consistent",OR(D155=1,D155=5)),"MODERATE",IF(AND(C155="OS",E155="Partially Consistent",OR(D155=2,D155=4)),"MODERATE","LOW"))))))</f>
        <v/>
      </c>
      <c r="H155" t="inlineStr"/>
      <c r="I155" t="inlineStr"/>
      <c r="J155" t="inlineStr"/>
      <c r="K155" t="inlineStr"/>
      <c r="L155" t="inlineStr"/>
      <c r="M155" t="inlineStr">
        <is>
          <t>https://www.lazada.com.ph/products/pdp-i4358944057-s24446312395.html</t>
        </is>
      </c>
      <c r="N155" t="n">
        <v>1</v>
      </c>
    </row>
    <row r="156">
      <c r="A156" t="inlineStr">
        <is>
          <t>kala ko malaking bag</t>
        </is>
      </c>
      <c r="B156" t="inlineStr">
        <is>
          <t>POSITIVE</t>
        </is>
      </c>
      <c r="C156">
        <f>IF(B156="NEUTRAL","TS","OS")</f>
        <v/>
      </c>
      <c r="D156" t="n">
        <v>3</v>
      </c>
      <c r="E156">
        <f>IF(C156="TS",IF(D156=3,"Consistent",IF(OR(D156=2,D156=4),"Partially Consistent","Inconsistent")),IF(D156=3,"Inconsistent",IF(AND(D156=5,B156="POSITIVE"),"Consistent",IF(AND(D156=1,B156="NEGATIVE"),"Consistent",IF(AND(D156=4,B156="POSITIVE"),"Partially Consistent",IF(AND(D156=2,B156="NEGATIVE"),"Partially Consistent","Inconsistent"))))))</f>
        <v/>
      </c>
      <c r="F156">
        <f>IF(C156="TS","High","Low")</f>
        <v/>
      </c>
      <c r="G156">
        <f>IF(AND(B156="NEUTRAL",F156="Low"),"LOW",IF(AND(C156="TS",F156="High",D156=3),"HIGH",IF(AND(C156="TS",F156="High",OR(D156=2,D156=4)),"MODERATE",IF(AND(C156="TS",F156="High",OR(D156=1,D156=5)),"LOW",IF(AND(C156="OS",E156="Consistent",OR(D156=1,D156=5)),"MODERATE",IF(AND(C156="OS",E156="Partially Consistent",OR(D156=2,D156=4)),"MODERATE","LOW"))))))</f>
        <v/>
      </c>
      <c r="H156" t="inlineStr"/>
      <c r="I156" t="inlineStr"/>
      <c r="J156" t="inlineStr"/>
      <c r="K156" t="inlineStr"/>
      <c r="L156" t="inlineStr"/>
      <c r="M156" t="inlineStr">
        <is>
          <t>https://www.lazada.com.ph/products/pdp-i4358944057-s24446312395.html</t>
        </is>
      </c>
      <c r="N156" t="n">
        <v>1</v>
      </c>
    </row>
    <row r="157">
      <c r="A157" t="inlineStr">
        <is>
          <t>tama ang mga negative reviews pangit ang packaging, isang layer ng bubble wrap at exposed ung top part, dapat to nakabox na. sugal na tlga pag omorder. maayos ung product mabula ska nakakatanggal tlga ng mantika, pero bagong gawa pa lang kasi update ko na lang ulit pag nagbago ung quality pag nagtagal na</t>
        </is>
      </c>
      <c r="B157" t="inlineStr">
        <is>
          <t>NEUTRAL</t>
        </is>
      </c>
      <c r="C157">
        <f>IF(B157="NEUTRAL","TS","OS")</f>
        <v/>
      </c>
      <c r="D157" t="n">
        <v>3</v>
      </c>
      <c r="E157">
        <f>IF(C157="TS",IF(D157=3,"Consistent",IF(OR(D157=2,D157=4),"Partially Consistent","Inconsistent")),IF(D157=3,"Inconsistent",IF(AND(D157=5,B157="POSITIVE"),"Consistent",IF(AND(D157=1,B157="NEGATIVE"),"Consistent",IF(AND(D157=4,B157="POSITIVE"),"Partially Consistent",IF(AND(D157=2,B157="NEGATIVE"),"Partially Consistent","Inconsistent"))))))</f>
        <v/>
      </c>
      <c r="F157">
        <f>IF(C157="TS","High","Low")</f>
        <v/>
      </c>
      <c r="G157">
        <f>IF(AND(B157="NEUTRAL",F157="Low"),"LOW",IF(AND(C157="TS",F157="High",D157=3),"HIGH",IF(AND(C157="TS",F157="High",OR(D157=2,D157=4)),"MODERATE",IF(AND(C157="TS",F157="High",OR(D157=1,D157=5)),"LOW",IF(AND(C157="OS",E157="Consistent",OR(D157=1,D157=5)),"MODERATE",IF(AND(C157="OS",E157="Partially Consistent",OR(D157=2,D157=4)),"MODERATE","LOW"))))))</f>
        <v/>
      </c>
      <c r="H157" t="inlineStr"/>
      <c r="I157" t="inlineStr"/>
      <c r="J157" t="inlineStr"/>
      <c r="K157" t="inlineStr"/>
      <c r="L157" t="inlineStr"/>
      <c r="M157" t="inlineStr">
        <is>
          <t>https://www.lazada.com.ph/products/pdp-i4358944057-s24446312395.html</t>
        </is>
      </c>
      <c r="N157" t="n">
        <v>1</v>
      </c>
    </row>
    <row r="158">
      <c r="A158" t="inlineStr">
        <is>
          <t>refreshing citrus scent, long-lasting freshness, efficient cleaning power, value for money, versatile scent options,</t>
        </is>
      </c>
      <c r="B158" t="inlineStr">
        <is>
          <t>NEGATIVE</t>
        </is>
      </c>
      <c r="C158">
        <f>IF(B158="NEUTRAL","TS","OS")</f>
        <v/>
      </c>
      <c r="D158" t="n">
        <v>3</v>
      </c>
      <c r="E158">
        <f>IF(C158="TS",IF(D158=3,"Consistent",IF(OR(D158=2,D158=4),"Partially Consistent","Inconsistent")),IF(D158=3,"Inconsistent",IF(AND(D158=5,B158="POSITIVE"),"Consistent",IF(AND(D158=1,B158="NEGATIVE"),"Consistent",IF(AND(D158=4,B158="POSITIVE"),"Partially Consistent",IF(AND(D158=2,B158="NEGATIVE"),"Partially Consistent","Inconsistent"))))))</f>
        <v/>
      </c>
      <c r="F158">
        <f>IF(C158="TS","High","Low")</f>
        <v/>
      </c>
      <c r="G158">
        <f>IF(AND(B158="NEUTRAL",F158="Low"),"LOW",IF(AND(C158="TS",F158="High",D158=3),"HIGH",IF(AND(C158="TS",F158="High",OR(D158=2,D158=4)),"MODERATE",IF(AND(C158="TS",F158="High",OR(D158=1,D158=5)),"LOW",IF(AND(C158="OS",E158="Consistent",OR(D158=1,D158=5)),"MODERATE",IF(AND(C158="OS",E158="Partially Consistent",OR(D158=2,D158=4)),"MODERATE","LOW"))))))</f>
        <v/>
      </c>
      <c r="H158" t="inlineStr"/>
      <c r="I158" t="inlineStr"/>
      <c r="J158" t="inlineStr"/>
      <c r="K158" t="inlineStr"/>
      <c r="L158" t="inlineStr"/>
      <c r="M158" t="inlineStr">
        <is>
          <t>https://www.lazada.com.ph/products/pdp-i4358944057-s24446312395.html</t>
        </is>
      </c>
      <c r="N158" t="n">
        <v>1</v>
      </c>
    </row>
    <row r="159">
      <c r="A159" t="inlineStr">
        <is>
          <t>mabola mabango epektibong pang alis at pan tanggal ng mga sebo kaya bile na dine sa shop nila</t>
        </is>
      </c>
      <c r="B159" t="inlineStr">
        <is>
          <t>POSITIVE</t>
        </is>
      </c>
      <c r="C159">
        <f>IF(B159="NEUTRAL","TS","OS")</f>
        <v/>
      </c>
      <c r="D159" t="n">
        <v>3</v>
      </c>
      <c r="E159">
        <f>IF(C159="TS",IF(D159=3,"Consistent",IF(OR(D159=2,D159=4),"Partially Consistent","Inconsistent")),IF(D159=3,"Inconsistent",IF(AND(D159=5,B159="POSITIVE"),"Consistent",IF(AND(D159=1,B159="NEGATIVE"),"Consistent",IF(AND(D159=4,B159="POSITIVE"),"Partially Consistent",IF(AND(D159=2,B159="NEGATIVE"),"Partially Consistent","Inconsistent"))))))</f>
        <v/>
      </c>
      <c r="F159">
        <f>IF(C159="TS","High","Low")</f>
        <v/>
      </c>
      <c r="G159">
        <f>IF(AND(B159="NEUTRAL",F159="Low"),"LOW",IF(AND(C159="TS",F159="High",D159=3),"HIGH",IF(AND(C159="TS",F159="High",OR(D159=2,D159=4)),"MODERATE",IF(AND(C159="TS",F159="High",OR(D159=1,D159=5)),"LOW",IF(AND(C159="OS",E159="Consistent",OR(D159=1,D159=5)),"MODERATE",IF(AND(C159="OS",E159="Partially Consistent",OR(D159=2,D159=4)),"MODERATE","LOW"))))))</f>
        <v/>
      </c>
      <c r="H159" t="inlineStr"/>
      <c r="I159" t="inlineStr"/>
      <c r="J159" t="inlineStr"/>
      <c r="K159" t="inlineStr"/>
      <c r="L159" t="inlineStr"/>
      <c r="M159" t="inlineStr">
        <is>
          <t>https://www.lazada.com.ph/products/pdp-i4358944057-s24446312395.html</t>
        </is>
      </c>
      <c r="N159" t="n">
        <v>1</v>
      </c>
    </row>
    <row r="160">
      <c r="A160" t="inlineStr">
        <is>
          <t>good condition kaso nag add pa ng bayad tpos hnd delivery pick up ang nangyare paayus nman j&amp;t bongao chins pier ayus niyo trabaho niyo</t>
        </is>
      </c>
      <c r="B160" t="inlineStr">
        <is>
          <t>NEUTRAL</t>
        </is>
      </c>
      <c r="C160">
        <f>IF(B160="NEUTRAL","TS","OS")</f>
        <v/>
      </c>
      <c r="D160" t="n">
        <v>3</v>
      </c>
      <c r="E160">
        <f>IF(C160="TS",IF(D160=3,"Consistent",IF(OR(D160=2,D160=4),"Partially Consistent","Inconsistent")),IF(D160=3,"Inconsistent",IF(AND(D160=5,B160="POSITIVE"),"Consistent",IF(AND(D160=1,B160="NEGATIVE"),"Consistent",IF(AND(D160=4,B160="POSITIVE"),"Partially Consistent",IF(AND(D160=2,B160="NEGATIVE"),"Partially Consistent","Inconsistent"))))))</f>
        <v/>
      </c>
      <c r="F160">
        <f>IF(C160="TS","High","Low")</f>
        <v/>
      </c>
      <c r="G160">
        <f>IF(AND(B160="NEUTRAL",F160="Low"),"LOW",IF(AND(C160="TS",F160="High",D160=3),"HIGH",IF(AND(C160="TS",F160="High",OR(D160=2,D160=4)),"MODERATE",IF(AND(C160="TS",F160="High",OR(D160=1,D160=5)),"LOW",IF(AND(C160="OS",E160="Consistent",OR(D160=1,D160=5)),"MODERATE",IF(AND(C160="OS",E160="Partially Consistent",OR(D160=2,D160=4)),"MODERATE","LOW"))))))</f>
        <v/>
      </c>
      <c r="H160" t="inlineStr"/>
      <c r="I160" t="inlineStr"/>
      <c r="J160" t="inlineStr"/>
      <c r="K160" t="inlineStr"/>
      <c r="L160" t="inlineStr"/>
      <c r="M160" t="inlineStr">
        <is>
          <t>https://www.lazada.com.ph/products/pdp-i4358944057-s24446312395.html</t>
        </is>
      </c>
      <c r="N160" t="n">
        <v>1</v>
      </c>
    </row>
    <row r="161">
      <c r="A161" t="inlineStr">
        <is>
          <t>scent: hduwisjdndh hdhdislnzbshsjsjsnshsuskskshssyuwijshzhsysueisjhsgsyusjsjzhxhsuwwikj</t>
        </is>
      </c>
      <c r="B161" t="inlineStr">
        <is>
          <t>NEGATIVE</t>
        </is>
      </c>
      <c r="C161">
        <f>IF(B161="NEUTRAL","TS","OS")</f>
        <v/>
      </c>
      <c r="D161" t="n">
        <v>3</v>
      </c>
      <c r="E161">
        <f>IF(C161="TS",IF(D161=3,"Consistent",IF(OR(D161=2,D161=4),"Partially Consistent","Inconsistent")),IF(D161=3,"Inconsistent",IF(AND(D161=5,B161="POSITIVE"),"Consistent",IF(AND(D161=1,B161="NEGATIVE"),"Consistent",IF(AND(D161=4,B161="POSITIVE"),"Partially Consistent",IF(AND(D161=2,B161="NEGATIVE"),"Partially Consistent","Inconsistent"))))))</f>
        <v/>
      </c>
      <c r="F161">
        <f>IF(C161="TS","High","Low")</f>
        <v/>
      </c>
      <c r="G161">
        <f>IF(AND(B161="NEUTRAL",F161="Low"),"LOW",IF(AND(C161="TS",F161="High",D161=3),"HIGH",IF(AND(C161="TS",F161="High",OR(D161=2,D161=4)),"MODERATE",IF(AND(C161="TS",F161="High",OR(D161=1,D161=5)),"LOW",IF(AND(C161="OS",E161="Consistent",OR(D161=1,D161=5)),"MODERATE",IF(AND(C161="OS",E161="Partially Consistent",OR(D161=2,D161=4)),"MODERATE","LOW"))))))</f>
        <v/>
      </c>
      <c r="H161" t="inlineStr"/>
      <c r="I161" t="inlineStr"/>
      <c r="J161" t="inlineStr"/>
      <c r="K161" t="inlineStr"/>
      <c r="L161" t="inlineStr"/>
      <c r="M161" t="inlineStr">
        <is>
          <t>https://www.lazada.com.ph/products/pdp-i4358944057-s24446312395.html</t>
        </is>
      </c>
      <c r="N161" t="n">
        <v>1</v>
      </c>
    </row>
    <row r="162">
      <c r="A162" t="inlineStr">
        <is>
          <t>i ordered 2 packs of 18 liter = 36 liters but you delivered 6 packs of 6 liter = 36 liters. the inconvenience is on the preparation of the dishwashing soap. you violated my freedom to choose.</t>
        </is>
      </c>
      <c r="B162" t="inlineStr">
        <is>
          <t>NEUTRAL</t>
        </is>
      </c>
      <c r="C162">
        <f>IF(B162="NEUTRAL","TS","OS")</f>
        <v/>
      </c>
      <c r="D162" t="n">
        <v>3</v>
      </c>
      <c r="E162">
        <f>IF(C162="TS",IF(D162=3,"Consistent",IF(OR(D162=2,D162=4),"Partially Consistent","Inconsistent")),IF(D162=3,"Inconsistent",IF(AND(D162=5,B162="POSITIVE"),"Consistent",IF(AND(D162=1,B162="NEGATIVE"),"Consistent",IF(AND(D162=4,B162="POSITIVE"),"Partially Consistent",IF(AND(D162=2,B162="NEGATIVE"),"Partially Consistent","Inconsistent"))))))</f>
        <v/>
      </c>
      <c r="F162">
        <f>IF(C162="TS","High","Low")</f>
        <v/>
      </c>
      <c r="G162">
        <f>IF(AND(B162="NEUTRAL",F162="Low"),"LOW",IF(AND(C162="TS",F162="High",D162=3),"HIGH",IF(AND(C162="TS",F162="High",OR(D162=2,D162=4)),"MODERATE",IF(AND(C162="TS",F162="High",OR(D162=1,D162=5)),"LOW",IF(AND(C162="OS",E162="Consistent",OR(D162=1,D162=5)),"MODERATE",IF(AND(C162="OS",E162="Partially Consistent",OR(D162=2,D162=4)),"MODERATE","LOW"))))))</f>
        <v/>
      </c>
      <c r="H162" t="inlineStr"/>
      <c r="I162" t="inlineStr"/>
      <c r="J162" t="inlineStr"/>
      <c r="K162" t="inlineStr"/>
      <c r="L162" t="inlineStr"/>
      <c r="M162" t="inlineStr">
        <is>
          <t>https://www.lazada.com.ph/products/pdp-i4358944057-s24446312395.html</t>
        </is>
      </c>
      <c r="N162" t="n">
        <v>1</v>
      </c>
    </row>
    <row r="163">
      <c r="A163" t="inlineStr">
        <is>
          <t>value for money, eco-friendly packaging, long-lasting freshness, gentle on hands, refreshing citrus scent,</t>
        </is>
      </c>
      <c r="B163" t="inlineStr">
        <is>
          <t>NEGATIVE</t>
        </is>
      </c>
      <c r="C163">
        <f>IF(B163="NEUTRAL","TS","OS")</f>
        <v/>
      </c>
      <c r="D163" t="n">
        <v>3</v>
      </c>
      <c r="E163">
        <f>IF(C163="TS",IF(D163=3,"Consistent",IF(OR(D163=2,D163=4),"Partially Consistent","Inconsistent")),IF(D163=3,"Inconsistent",IF(AND(D163=5,B163="POSITIVE"),"Consistent",IF(AND(D163=1,B163="NEGATIVE"),"Consistent",IF(AND(D163=4,B163="POSITIVE"),"Partially Consistent",IF(AND(D163=2,B163="NEGATIVE"),"Partially Consistent","Inconsistent"))))))</f>
        <v/>
      </c>
      <c r="F163">
        <f>IF(C163="TS","High","Low")</f>
        <v/>
      </c>
      <c r="G163">
        <f>IF(AND(B163="NEUTRAL",F163="Low"),"LOW",IF(AND(C163="TS",F163="High",D163=3),"HIGH",IF(AND(C163="TS",F163="High",OR(D163=2,D163=4)),"MODERATE",IF(AND(C163="TS",F163="High",OR(D163=1,D163=5)),"LOW",IF(AND(C163="OS",E163="Consistent",OR(D163=1,D163=5)),"MODERATE",IF(AND(C163="OS",E163="Partially Consistent",OR(D163=2,D163=4)),"MODERATE","LOW"))))))</f>
        <v/>
      </c>
      <c r="H163" t="inlineStr"/>
      <c r="I163" t="inlineStr"/>
      <c r="J163" t="inlineStr"/>
      <c r="K163" t="inlineStr"/>
      <c r="L163" t="inlineStr"/>
      <c r="M163" t="inlineStr">
        <is>
          <t>https://www.lazada.com.ph/products/pdp-i4358944057-s24446312395.html</t>
        </is>
      </c>
      <c r="N163" t="n">
        <v>1</v>
      </c>
    </row>
    <row r="164">
      <c r="A164" t="inlineStr">
        <is>
          <t>refreshing citrus scent, long-lasting freshness, convenient and easy to use, versatile scent options,</t>
        </is>
      </c>
      <c r="B164" t="inlineStr">
        <is>
          <t>NEUTRAL</t>
        </is>
      </c>
      <c r="C164">
        <f>IF(B164="NEUTRAL","TS","OS")</f>
        <v/>
      </c>
      <c r="D164" t="n">
        <v>3</v>
      </c>
      <c r="E164">
        <f>IF(C164="TS",IF(D164=3,"Consistent",IF(OR(D164=2,D164=4),"Partially Consistent","Inconsistent")),IF(D164=3,"Inconsistent",IF(AND(D164=5,B164="POSITIVE"),"Consistent",IF(AND(D164=1,B164="NEGATIVE"),"Consistent",IF(AND(D164=4,B164="POSITIVE"),"Partially Consistent",IF(AND(D164=2,B164="NEGATIVE"),"Partially Consistent","Inconsistent"))))))</f>
        <v/>
      </c>
      <c r="F164">
        <f>IF(C164="TS","High","Low")</f>
        <v/>
      </c>
      <c r="G164">
        <f>IF(AND(B164="NEUTRAL",F164="Low"),"LOW",IF(AND(C164="TS",F164="High",D164=3),"HIGH",IF(AND(C164="TS",F164="High",OR(D164=2,D164=4)),"MODERATE",IF(AND(C164="TS",F164="High",OR(D164=1,D164=5)),"LOW",IF(AND(C164="OS",E164="Consistent",OR(D164=1,D164=5)),"MODERATE",IF(AND(C164="OS",E164="Partially Consistent",OR(D164=2,D164=4)),"MODERATE","LOW"))))))</f>
        <v/>
      </c>
      <c r="H164" t="inlineStr"/>
      <c r="I164" t="inlineStr"/>
      <c r="J164" t="inlineStr"/>
      <c r="K164" t="inlineStr"/>
      <c r="L164" t="inlineStr"/>
      <c r="M164" t="inlineStr">
        <is>
          <t>https://www.lazada.com.ph/products/pdp-i4358944057-s24446312395.html</t>
        </is>
      </c>
      <c r="N164" t="n">
        <v>1</v>
      </c>
    </row>
    <row r="165">
      <c r="A165" t="inlineStr">
        <is>
          <t>order ko apple fresh pinadala antibac eh yung isang order ko isa lemon tama naman kaso bakit mali tong isa. : (</t>
        </is>
      </c>
      <c r="B165" t="inlineStr">
        <is>
          <t>NEGATIVE</t>
        </is>
      </c>
      <c r="C165">
        <f>IF(B165="NEUTRAL","TS","OS")</f>
        <v/>
      </c>
      <c r="D165" t="n">
        <v>3</v>
      </c>
      <c r="E165">
        <f>IF(C165="TS",IF(D165=3,"Consistent",IF(OR(D165=2,D165=4),"Partially Consistent","Inconsistent")),IF(D165=3,"Inconsistent",IF(AND(D165=5,B165="POSITIVE"),"Consistent",IF(AND(D165=1,B165="NEGATIVE"),"Consistent",IF(AND(D165=4,B165="POSITIVE"),"Partially Consistent",IF(AND(D165=2,B165="NEGATIVE"),"Partially Consistent","Inconsistent"))))))</f>
        <v/>
      </c>
      <c r="F165">
        <f>IF(C165="TS","High","Low")</f>
        <v/>
      </c>
      <c r="G165">
        <f>IF(AND(B165="NEUTRAL",F165="Low"),"LOW",IF(AND(C165="TS",F165="High",D165=3),"HIGH",IF(AND(C165="TS",F165="High",OR(D165=2,D165=4)),"MODERATE",IF(AND(C165="TS",F165="High",OR(D165=1,D165=5)),"LOW",IF(AND(C165="OS",E165="Consistent",OR(D165=1,D165=5)),"MODERATE",IF(AND(C165="OS",E165="Partially Consistent",OR(D165=2,D165=4)),"MODERATE","LOW"))))))</f>
        <v/>
      </c>
      <c r="H165" t="inlineStr"/>
      <c r="I165" t="inlineStr"/>
      <c r="J165" t="inlineStr"/>
      <c r="K165" t="inlineStr"/>
      <c r="L165" t="inlineStr"/>
      <c r="M165" t="inlineStr">
        <is>
          <t>https://www.lazada.com.ph/products/pdp-i4358944057-s24446312395.html</t>
        </is>
      </c>
      <c r="N165" t="n">
        <v>1</v>
      </c>
    </row>
    <row r="166">
      <c r="A166" t="inlineStr">
        <is>
          <t>refreshing citrus scent,</t>
        </is>
      </c>
      <c r="B166" t="inlineStr">
        <is>
          <t>NEGATIVE</t>
        </is>
      </c>
      <c r="C166">
        <f>IF(B166="NEUTRAL","TS","OS")</f>
        <v/>
      </c>
      <c r="D166" t="n">
        <v>3</v>
      </c>
      <c r="E166">
        <f>IF(C166="TS",IF(D166=3,"Consistent",IF(OR(D166=2,D166=4),"Partially Consistent","Inconsistent")),IF(D166=3,"Inconsistent",IF(AND(D166=5,B166="POSITIVE"),"Consistent",IF(AND(D166=1,B166="NEGATIVE"),"Consistent",IF(AND(D166=4,B166="POSITIVE"),"Partially Consistent",IF(AND(D166=2,B166="NEGATIVE"),"Partially Consistent","Inconsistent"))))))</f>
        <v/>
      </c>
      <c r="F166">
        <f>IF(C166="TS","High","Low")</f>
        <v/>
      </c>
      <c r="G166">
        <f>IF(AND(B166="NEUTRAL",F166="Low"),"LOW",IF(AND(C166="TS",F166="High",D166=3),"HIGH",IF(AND(C166="TS",F166="High",OR(D166=2,D166=4)),"MODERATE",IF(AND(C166="TS",F166="High",OR(D166=1,D166=5)),"LOW",IF(AND(C166="OS",E166="Consistent",OR(D166=1,D166=5)),"MODERATE",IF(AND(C166="OS",E166="Partially Consistent",OR(D166=2,D166=4)),"MODERATE","LOW"))))))</f>
        <v/>
      </c>
      <c r="H166" t="inlineStr"/>
      <c r="I166" t="inlineStr"/>
      <c r="J166" t="inlineStr"/>
      <c r="K166" t="inlineStr"/>
      <c r="L166" t="inlineStr"/>
      <c r="M166" t="inlineStr">
        <is>
          <t>https://www.lazada.com.ph/products/pdp-i4358944057-s24446312395.html</t>
        </is>
      </c>
      <c r="N166" t="n">
        <v>1</v>
      </c>
    </row>
    <row r="167">
      <c r="A167" t="inlineStr">
        <is>
          <t>yupi nmn lhat ng bote</t>
        </is>
      </c>
      <c r="B167" t="inlineStr">
        <is>
          <t>NEGATIVE</t>
        </is>
      </c>
      <c r="C167">
        <f>IF(B167="NEUTRAL","TS","OS")</f>
        <v/>
      </c>
      <c r="D167" t="n">
        <v>3</v>
      </c>
      <c r="E167">
        <f>IF(C167="TS",IF(D167=3,"Consistent",IF(OR(D167=2,D167=4),"Partially Consistent","Inconsistent")),IF(D167=3,"Inconsistent",IF(AND(D167=5,B167="POSITIVE"),"Consistent",IF(AND(D167=1,B167="NEGATIVE"),"Consistent",IF(AND(D167=4,B167="POSITIVE"),"Partially Consistent",IF(AND(D167=2,B167="NEGATIVE"),"Partially Consistent","Inconsistent"))))))</f>
        <v/>
      </c>
      <c r="F167">
        <f>IF(C167="TS","High","Low")</f>
        <v/>
      </c>
      <c r="G167">
        <f>IF(AND(B167="NEUTRAL",F167="Low"),"LOW",IF(AND(C167="TS",F167="High",D167=3),"HIGH",IF(AND(C167="TS",F167="High",OR(D167=2,D167=4)),"MODERATE",IF(AND(C167="TS",F167="High",OR(D167=1,D167=5)),"LOW",IF(AND(C167="OS",E167="Consistent",OR(D167=1,D167=5)),"MODERATE",IF(AND(C167="OS",E167="Partially Consistent",OR(D167=2,D167=4)),"MODERATE","LOW"))))))</f>
        <v/>
      </c>
      <c r="H167" t="inlineStr"/>
      <c r="I167" t="inlineStr"/>
      <c r="J167" t="inlineStr"/>
      <c r="K167" t="inlineStr"/>
      <c r="L167" t="inlineStr"/>
      <c r="M167" t="inlineStr">
        <is>
          <t>https://www.lazada.com.ph/products/pdp-i4358944057-s24446312395.html</t>
        </is>
      </c>
      <c r="N167" t="n">
        <v>1</v>
      </c>
    </row>
    <row r="168">
      <c r="A168" t="inlineStr">
        <is>
          <t>value for money</t>
        </is>
      </c>
      <c r="B168" t="inlineStr">
        <is>
          <t>NEGATIVE</t>
        </is>
      </c>
      <c r="C168">
        <f>IF(B168="NEUTRAL","TS","OS")</f>
        <v/>
      </c>
      <c r="D168" t="n">
        <v>3</v>
      </c>
      <c r="E168">
        <f>IF(C168="TS",IF(D168=3,"Consistent",IF(OR(D168=2,D168=4),"Partially Consistent","Inconsistent")),IF(D168=3,"Inconsistent",IF(AND(D168=5,B168="POSITIVE"),"Consistent",IF(AND(D168=1,B168="NEGATIVE"),"Consistent",IF(AND(D168=4,B168="POSITIVE"),"Partially Consistent",IF(AND(D168=2,B168="NEGATIVE"),"Partially Consistent","Inconsistent"))))))</f>
        <v/>
      </c>
      <c r="F168">
        <f>IF(C168="TS","High","Low")</f>
        <v/>
      </c>
      <c r="G168">
        <f>IF(AND(B168="NEUTRAL",F168="Low"),"LOW",IF(AND(C168="TS",F168="High",D168=3),"HIGH",IF(AND(C168="TS",F168="High",OR(D168=2,D168=4)),"MODERATE",IF(AND(C168="TS",F168="High",OR(D168=1,D168=5)),"LOW",IF(AND(C168="OS",E168="Consistent",OR(D168=1,D168=5)),"MODERATE",IF(AND(C168="OS",E168="Partially Consistent",OR(D168=2,D168=4)),"MODERATE","LOW"))))))</f>
        <v/>
      </c>
      <c r="H168" t="inlineStr"/>
      <c r="I168" t="inlineStr"/>
      <c r="J168" t="inlineStr"/>
      <c r="K168" t="inlineStr"/>
      <c r="L168" t="inlineStr"/>
      <c r="M168" t="inlineStr">
        <is>
          <t>https://www.lazada.com.ph/products/pdp-i4358944057-s24446312395.html</t>
        </is>
      </c>
      <c r="N168" t="n">
        <v>1</v>
      </c>
    </row>
    <row r="169">
      <c r="A169" t="inlineStr">
        <is>
          <t>i received the items i ordered from this store. . medyo matagal nga lang inabot ng delivery mga 6 days bago dumating. . ang di maganda matagal mag reply sa mga tanong si seller, try ko muna if ok then i will order again. .</t>
        </is>
      </c>
      <c r="B169" t="inlineStr">
        <is>
          <t>NEUTRAL</t>
        </is>
      </c>
      <c r="C169">
        <f>IF(B169="NEUTRAL","TS","OS")</f>
        <v/>
      </c>
      <c r="D169" t="n">
        <v>3</v>
      </c>
      <c r="E169">
        <f>IF(C169="TS",IF(D169=3,"Consistent",IF(OR(D169=2,D169=4),"Partially Consistent","Inconsistent")),IF(D169=3,"Inconsistent",IF(AND(D169=5,B169="POSITIVE"),"Consistent",IF(AND(D169=1,B169="NEGATIVE"),"Consistent",IF(AND(D169=4,B169="POSITIVE"),"Partially Consistent",IF(AND(D169=2,B169="NEGATIVE"),"Partially Consistent","Inconsistent"))))))</f>
        <v/>
      </c>
      <c r="F169">
        <f>IF(C169="TS","High","Low")</f>
        <v/>
      </c>
      <c r="G169">
        <f>IF(AND(B169="NEUTRAL",F169="Low"),"LOW",IF(AND(C169="TS",F169="High",D169=3),"HIGH",IF(AND(C169="TS",F169="High",OR(D169=2,D169=4)),"MODERATE",IF(AND(C169="TS",F169="High",OR(D169=1,D169=5)),"LOW",IF(AND(C169="OS",E169="Consistent",OR(D169=1,D169=5)),"MODERATE",IF(AND(C169="OS",E169="Partially Consistent",OR(D169=2,D169=4)),"MODERATE","LOW"))))))</f>
        <v/>
      </c>
      <c r="H169" t="inlineStr"/>
      <c r="I169" t="inlineStr"/>
      <c r="J169" t="inlineStr"/>
      <c r="K169" t="inlineStr"/>
      <c r="L169" t="inlineStr"/>
      <c r="M169" t="inlineStr">
        <is>
          <t>https://www.lazada.com.ph/products/pdp-i4358944057-s24446312395.html</t>
        </is>
      </c>
      <c r="N169" t="n">
        <v>1</v>
      </c>
    </row>
    <row r="170">
      <c r="A170" t="inlineStr">
        <is>
          <t>value for money, di ko pa natry.</t>
        </is>
      </c>
      <c r="B170" t="inlineStr">
        <is>
          <t>NEGATIVE</t>
        </is>
      </c>
      <c r="C170">
        <f>IF(B170="NEUTRAL","TS","OS")</f>
        <v/>
      </c>
      <c r="D170" t="n">
        <v>3</v>
      </c>
      <c r="E170">
        <f>IF(C170="TS",IF(D170=3,"Consistent",IF(OR(D170=2,D170=4),"Partially Consistent","Inconsistent")),IF(D170=3,"Inconsistent",IF(AND(D170=5,B170="POSITIVE"),"Consistent",IF(AND(D170=1,B170="NEGATIVE"),"Consistent",IF(AND(D170=4,B170="POSITIVE"),"Partially Consistent",IF(AND(D170=2,B170="NEGATIVE"),"Partially Consistent","Inconsistent"))))))</f>
        <v/>
      </c>
      <c r="F170">
        <f>IF(C170="TS","High","Low")</f>
        <v/>
      </c>
      <c r="G170">
        <f>IF(AND(B170="NEUTRAL",F170="Low"),"LOW",IF(AND(C170="TS",F170="High",D170=3),"HIGH",IF(AND(C170="TS",F170="High",OR(D170=2,D170=4)),"MODERATE",IF(AND(C170="TS",F170="High",OR(D170=1,D170=5)),"LOW",IF(AND(C170="OS",E170="Consistent",OR(D170=1,D170=5)),"MODERATE",IF(AND(C170="OS",E170="Partially Consistent",OR(D170=2,D170=4)),"MODERATE","LOW"))))))</f>
        <v/>
      </c>
      <c r="H170" t="inlineStr"/>
      <c r="I170" t="inlineStr"/>
      <c r="J170" t="inlineStr"/>
      <c r="K170" t="inlineStr"/>
      <c r="L170" t="inlineStr"/>
      <c r="M170" t="inlineStr">
        <is>
          <t>https://www.lazada.com.ph/products/pdp-i4358944057-s24446312395.html</t>
        </is>
      </c>
      <c r="N170" t="n">
        <v>1</v>
      </c>
    </row>
    <row r="171">
      <c r="A171" t="inlineStr">
        <is>
          <t>oo naman xa tenkz seller and sa rider gentle on hands</t>
        </is>
      </c>
      <c r="B171" t="inlineStr">
        <is>
          <t>NEUTRAL</t>
        </is>
      </c>
      <c r="C171">
        <f>IF(B171="NEUTRAL","TS","OS")</f>
        <v/>
      </c>
      <c r="D171" t="n">
        <v>3</v>
      </c>
      <c r="E171">
        <f>IF(C171="TS",IF(D171=3,"Consistent",IF(OR(D171=2,D171=4),"Partially Consistent","Inconsistent")),IF(D171=3,"Inconsistent",IF(AND(D171=5,B171="POSITIVE"),"Consistent",IF(AND(D171=1,B171="NEGATIVE"),"Consistent",IF(AND(D171=4,B171="POSITIVE"),"Partially Consistent",IF(AND(D171=2,B171="NEGATIVE"),"Partially Consistent","Inconsistent"))))))</f>
        <v/>
      </c>
      <c r="F171">
        <f>IF(C171="TS","High","Low")</f>
        <v/>
      </c>
      <c r="G171">
        <f>IF(AND(B171="NEUTRAL",F171="Low"),"LOW",IF(AND(C171="TS",F171="High",D171=3),"HIGH",IF(AND(C171="TS",F171="High",OR(D171=2,D171=4)),"MODERATE",IF(AND(C171="TS",F171="High",OR(D171=1,D171=5)),"LOW",IF(AND(C171="OS",E171="Consistent",OR(D171=1,D171=5)),"MODERATE",IF(AND(C171="OS",E171="Partially Consistent",OR(D171=2,D171=4)),"MODERATE","LOW"))))))</f>
        <v/>
      </c>
      <c r="H171" t="inlineStr"/>
      <c r="I171" t="inlineStr"/>
      <c r="J171" t="inlineStr"/>
      <c r="K171" t="inlineStr"/>
      <c r="L171" t="inlineStr"/>
      <c r="M171" t="inlineStr">
        <is>
          <t>https://www.lazada.com.ph/products/pdp-i4358944057-s24446312395.html</t>
        </is>
      </c>
      <c r="N171" t="n">
        <v>1</v>
      </c>
    </row>
    <row r="172">
      <c r="A172" t="inlineStr">
        <is>
          <t>matagal dumating. hindi ko inexpect na ganun katagal. di ko pa din natry yung product. sana next time mas pabilisin pa yung delivery</t>
        </is>
      </c>
      <c r="B172" t="inlineStr">
        <is>
          <t>NEGATIVE</t>
        </is>
      </c>
      <c r="C172">
        <f>IF(B172="NEUTRAL","TS","OS")</f>
        <v/>
      </c>
      <c r="D172" t="n">
        <v>3</v>
      </c>
      <c r="E172">
        <f>IF(C172="TS",IF(D172=3,"Consistent",IF(OR(D172=2,D172=4),"Partially Consistent","Inconsistent")),IF(D172=3,"Inconsistent",IF(AND(D172=5,B172="POSITIVE"),"Consistent",IF(AND(D172=1,B172="NEGATIVE"),"Consistent",IF(AND(D172=4,B172="POSITIVE"),"Partially Consistent",IF(AND(D172=2,B172="NEGATIVE"),"Partially Consistent","Inconsistent"))))))</f>
        <v/>
      </c>
      <c r="F172">
        <f>IF(C172="TS","High","Low")</f>
        <v/>
      </c>
      <c r="G172">
        <f>IF(AND(B172="NEUTRAL",F172="Low"),"LOW",IF(AND(C172="TS",F172="High",D172=3),"HIGH",IF(AND(C172="TS",F172="High",OR(D172=2,D172=4)),"MODERATE",IF(AND(C172="TS",F172="High",OR(D172=1,D172=5)),"LOW",IF(AND(C172="OS",E172="Consistent",OR(D172=1,D172=5)),"MODERATE",IF(AND(C172="OS",E172="Partially Consistent",OR(D172=2,D172=4)),"MODERATE","LOW"))))))</f>
        <v/>
      </c>
      <c r="H172" t="inlineStr"/>
      <c r="I172" t="inlineStr"/>
      <c r="J172" t="inlineStr"/>
      <c r="K172" t="inlineStr"/>
      <c r="L172" t="inlineStr"/>
      <c r="M172" t="inlineStr">
        <is>
          <t>https://www.lazada.com.ph/products/pdp-i4358944057-s24446312395.html</t>
        </is>
      </c>
      <c r="N172" t="n">
        <v>1</v>
      </c>
    </row>
    <row r="173">
      <c r="A173" t="inlineStr">
        <is>
          <t>packaging: packaging is bad. may butas &amp; lukot lukot yung kahon. dapat sana hindi pinagsama sama kasi possible na mabutas yung sabon.</t>
        </is>
      </c>
      <c r="B173" t="inlineStr">
        <is>
          <t>NEGATIVE</t>
        </is>
      </c>
      <c r="C173">
        <f>IF(B173="NEUTRAL","TS","OS")</f>
        <v/>
      </c>
      <c r="D173" t="n">
        <v>3</v>
      </c>
      <c r="E173">
        <f>IF(C173="TS",IF(D173=3,"Consistent",IF(OR(D173=2,D173=4),"Partially Consistent","Inconsistent")),IF(D173=3,"Inconsistent",IF(AND(D173=5,B173="POSITIVE"),"Consistent",IF(AND(D173=1,B173="NEGATIVE"),"Consistent",IF(AND(D173=4,B173="POSITIVE"),"Partially Consistent",IF(AND(D173=2,B173="NEGATIVE"),"Partially Consistent","Inconsistent"))))))</f>
        <v/>
      </c>
      <c r="F173">
        <f>IF(C173="TS","High","Low")</f>
        <v/>
      </c>
      <c r="G173">
        <f>IF(AND(B173="NEUTRAL",F173="Low"),"LOW",IF(AND(C173="TS",F173="High",D173=3),"HIGH",IF(AND(C173="TS",F173="High",OR(D173=2,D173=4)),"MODERATE",IF(AND(C173="TS",F173="High",OR(D173=1,D173=5)),"LOW",IF(AND(C173="OS",E173="Consistent",OR(D173=1,D173=5)),"MODERATE",IF(AND(C173="OS",E173="Partially Consistent",OR(D173=2,D173=4)),"MODERATE","LOW"))))))</f>
        <v/>
      </c>
      <c r="H173" t="inlineStr"/>
      <c r="I173" t="inlineStr"/>
      <c r="J173" t="inlineStr"/>
      <c r="K173" t="inlineStr"/>
      <c r="L173" t="inlineStr"/>
      <c r="M173" t="inlineStr">
        <is>
          <t>https://www.lazada.com.ph/products/pdp-i4358944057-s24446312395.html</t>
        </is>
      </c>
      <c r="N173" t="n">
        <v>1</v>
      </c>
    </row>
    <row r="174">
      <c r="A174" t="inlineStr">
        <is>
          <t>order ko poh blue antibac bkit poh yellow lemon ang dumating</t>
        </is>
      </c>
      <c r="B174" t="inlineStr">
        <is>
          <t>NEGATIVE</t>
        </is>
      </c>
      <c r="C174">
        <f>IF(B174="NEUTRAL","TS","OS")</f>
        <v/>
      </c>
      <c r="D174" t="n">
        <v>3</v>
      </c>
      <c r="E174">
        <f>IF(C174="TS",IF(D174=3,"Consistent",IF(OR(D174=2,D174=4),"Partially Consistent","Inconsistent")),IF(D174=3,"Inconsistent",IF(AND(D174=5,B174="POSITIVE"),"Consistent",IF(AND(D174=1,B174="NEGATIVE"),"Consistent",IF(AND(D174=4,B174="POSITIVE"),"Partially Consistent",IF(AND(D174=2,B174="NEGATIVE"),"Partially Consistent","Inconsistent"))))))</f>
        <v/>
      </c>
      <c r="F174">
        <f>IF(C174="TS","High","Low")</f>
        <v/>
      </c>
      <c r="G174">
        <f>IF(AND(B174="NEUTRAL",F174="Low"),"LOW",IF(AND(C174="TS",F174="High",D174=3),"HIGH",IF(AND(C174="TS",F174="High",OR(D174=2,D174=4)),"MODERATE",IF(AND(C174="TS",F174="High",OR(D174=1,D174=5)),"LOW",IF(AND(C174="OS",E174="Consistent",OR(D174=1,D174=5)),"MODERATE",IF(AND(C174="OS",E174="Partially Consistent",OR(D174=2,D174=4)),"MODERATE","LOW"))))))</f>
        <v/>
      </c>
      <c r="H174" t="inlineStr"/>
      <c r="I174" t="inlineStr"/>
      <c r="J174" t="inlineStr"/>
      <c r="K174" t="inlineStr"/>
      <c r="L174" t="inlineStr"/>
      <c r="M174" t="inlineStr">
        <is>
          <t>https://www.lazada.com.ph/products/pdp-i4358944057-s24446312395.html</t>
        </is>
      </c>
      <c r="N174" t="n">
        <v>1</v>
      </c>
    </row>
    <row r="175">
      <c r="A175" t="inlineStr">
        <is>
          <t>ang tagal dumating tagal. talaga</t>
        </is>
      </c>
      <c r="B175" t="inlineStr">
        <is>
          <t>NEGATIVE</t>
        </is>
      </c>
      <c r="C175">
        <f>IF(B175="NEUTRAL","TS","OS")</f>
        <v/>
      </c>
      <c r="D175" t="n">
        <v>3</v>
      </c>
      <c r="E175">
        <f>IF(C175="TS",IF(D175=3,"Consistent",IF(OR(D175=2,D175=4),"Partially Consistent","Inconsistent")),IF(D175=3,"Inconsistent",IF(AND(D175=5,B175="POSITIVE"),"Consistent",IF(AND(D175=1,B175="NEGATIVE"),"Consistent",IF(AND(D175=4,B175="POSITIVE"),"Partially Consistent",IF(AND(D175=2,B175="NEGATIVE"),"Partially Consistent","Inconsistent"))))))</f>
        <v/>
      </c>
      <c r="F175">
        <f>IF(C175="TS","High","Low")</f>
        <v/>
      </c>
      <c r="G175">
        <f>IF(AND(B175="NEUTRAL",F175="Low"),"LOW",IF(AND(C175="TS",F175="High",D175=3),"HIGH",IF(AND(C175="TS",F175="High",OR(D175=2,D175=4)),"MODERATE",IF(AND(C175="TS",F175="High",OR(D175=1,D175=5)),"LOW",IF(AND(C175="OS",E175="Consistent",OR(D175=1,D175=5)),"MODERATE",IF(AND(C175="OS",E175="Partially Consistent",OR(D175=2,D175=4)),"MODERATE","LOW"))))))</f>
        <v/>
      </c>
      <c r="H175" t="inlineStr"/>
      <c r="I175" t="inlineStr"/>
      <c r="J175" t="inlineStr"/>
      <c r="K175" t="inlineStr"/>
      <c r="L175" t="inlineStr"/>
      <c r="M175" t="inlineStr">
        <is>
          <t>https://www.lazada.com.ph/products/pdp-i4358944057-s24446312395.html</t>
        </is>
      </c>
      <c r="N1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2025-05-24T04:09:27Z</dcterms:created>
  <dcterms:modified xsi:type="dcterms:W3CDTF">2025-05-24T04:09:27Z</dcterms:modified>
</cp:coreProperties>
</file>