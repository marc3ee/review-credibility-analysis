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5"/>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c r="M1" s="1" t="inlineStr">
        <is>
          <t>Product_URL</t>
        </is>
      </c>
      <c r="N1" s="1" t="inlineStr">
        <is>
          <t>Product_Number</t>
        </is>
      </c>
    </row>
    <row r="2">
      <c r="A2" t="inlineStr">
        <is>
          <t>versatile 3-in-1 functionality, easy to operate and maneuver, durable construction for long-lasting use,</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IF(AND(B2="NEUTRAL",F2="Low"),"LOW",IF(AND(C2="TS",F2="High",D2=3),"HIGH",IF(AND(C2="TS",F2="High",OR(D2=2,D2=4)),"MODERATE",IF(AND(C2="TS",F2="High",OR(D2=1,D2=5)),"LOW",IF(AND(C2="OS",E2="Consistent",OR(D2=1,D2=5)),"MODERATE",IF(AND(C2="OS",E2="Partially Consistent",OR(D2=2,D2=4)),"MODERATE","LOW"))))))</f>
        <v/>
      </c>
      <c r="H2" t="inlineStr"/>
      <c r="I2" t="inlineStr"/>
      <c r="J2" t="inlineStr"/>
      <c r="K2" t="inlineStr"/>
      <c r="L2" t="inlineStr"/>
      <c r="M2" t="inlineStr">
        <is>
          <t>https://www.lazada.com.ph/products/pdp-i278633257-s14323854110.html</t>
        </is>
      </c>
      <c r="N2" t="n">
        <v>1</v>
      </c>
    </row>
    <row r="3">
      <c r="A3" t="inlineStr">
        <is>
          <t>perfect for tackling hard-to-reach areas, suitable for both wet and dry surfaces, large capacity for extended cleaning sessions, versatile 3-in-1 functionality, convenient bagless design,</t>
        </is>
      </c>
      <c r="B3" t="inlineStr">
        <is>
          <t>NEUTRAL</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IF(AND(B3="NEUTRAL",F3="Low"),"LOW",IF(AND(C3="TS",F3="High",D3=3),"HIGH",IF(AND(C3="TS",F3="High",OR(D3=2,D3=4)),"MODERATE",IF(AND(C3="TS",F3="High",OR(D3=1,D3=5)),"LOW",IF(AND(C3="OS",E3="Consistent",OR(D3=1,D3=5)),"MODERATE",IF(AND(C3="OS",E3="Partially Consistent",OR(D3=2,D3=4)),"MODERATE","LOW"))))))</f>
        <v/>
      </c>
      <c r="H3" t="inlineStr"/>
      <c r="I3" t="inlineStr"/>
      <c r="J3" t="inlineStr"/>
      <c r="K3" t="inlineStr"/>
      <c r="L3" t="inlineStr"/>
      <c r="M3" t="inlineStr">
        <is>
          <t>https://www.lazada.com.ph/products/pdp-i278633257-s14323854110.html</t>
        </is>
      </c>
      <c r="N3" t="n">
        <v>1</v>
      </c>
    </row>
    <row r="4">
      <c r="A4" t="inlineStr">
        <is>
          <t>large capacity for extended cleaning sessions, perfect for tackling hard-to-reach areas, powerful suction for effective cleaning, includes hepa filter for high efficiency, i' m so satisfied</t>
        </is>
      </c>
      <c r="B4" t="inlineStr">
        <is>
          <t>NEUTRAL</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IF(AND(B4="NEUTRAL",F4="Low"),"LOW",IF(AND(C4="TS",F4="High",D4=3),"HIGH",IF(AND(C4="TS",F4="High",OR(D4=2,D4=4)),"MODERATE",IF(AND(C4="TS",F4="High",OR(D4=1,D4=5)),"LOW",IF(AND(C4="OS",E4="Consistent",OR(D4=1,D4=5)),"MODERATE",IF(AND(C4="OS",E4="Partially Consistent",OR(D4=2,D4=4)),"MODERATE","LOW"))))))</f>
        <v/>
      </c>
      <c r="H4" t="inlineStr"/>
      <c r="I4" t="inlineStr"/>
      <c r="J4" t="inlineStr"/>
      <c r="K4" t="inlineStr"/>
      <c r="L4" t="inlineStr"/>
      <c r="M4" t="inlineStr">
        <is>
          <t>https://www.lazada.com.ph/products/pdp-i278633257-s14323854110.html</t>
        </is>
      </c>
      <c r="N4" t="n">
        <v>1</v>
      </c>
    </row>
    <row r="5">
      <c r="A5" t="inlineStr">
        <is>
          <t>durable construction for long-lasting use, convenient bagless design, powerful suction for effective cleaning, includes hepa filter for high efficiency,</t>
        </is>
      </c>
      <c r="B5" t="inlineStr">
        <is>
          <t>NEUTRAL</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IF(AND(B5="NEUTRAL",F5="Low"),"LOW",IF(AND(C5="TS",F5="High",D5=3),"HIGH",IF(AND(C5="TS",F5="High",OR(D5=2,D5=4)),"MODERATE",IF(AND(C5="TS",F5="High",OR(D5=1,D5=5)),"LOW",IF(AND(C5="OS",E5="Consistent",OR(D5=1,D5=5)),"MODERATE",IF(AND(C5="OS",E5="Partially Consistent",OR(D5=2,D5=4)),"MODERATE","LOW"))))))</f>
        <v/>
      </c>
      <c r="H5" t="inlineStr"/>
      <c r="I5" t="inlineStr"/>
      <c r="J5" t="inlineStr"/>
      <c r="K5" t="inlineStr"/>
      <c r="L5" t="inlineStr"/>
      <c r="M5" t="inlineStr">
        <is>
          <t>https://www.lazada.com.ph/products/pdp-i278633257-s14323854110.html</t>
        </is>
      </c>
      <c r="N5" t="n">
        <v>1</v>
      </c>
    </row>
    <row r="6">
      <c r="A6" t="inlineStr">
        <is>
          <t>powerful suction for effective cleaning,</t>
        </is>
      </c>
      <c r="B6" t="inlineStr">
        <is>
          <t>NEUTRAL</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IF(AND(B6="NEUTRAL",F6="Low"),"LOW",IF(AND(C6="TS",F6="High",D6=3),"HIGH",IF(AND(C6="TS",F6="High",OR(D6=2,D6=4)),"MODERATE",IF(AND(C6="TS",F6="High",OR(D6=1,D6=5)),"LOW",IF(AND(C6="OS",E6="Consistent",OR(D6=1,D6=5)),"MODERATE",IF(AND(C6="OS",E6="Partially Consistent",OR(D6=2,D6=4)),"MODERATE","LOW"))))))</f>
        <v/>
      </c>
      <c r="H6" t="inlineStr"/>
      <c r="I6" t="inlineStr"/>
      <c r="J6" t="inlineStr"/>
      <c r="K6" t="inlineStr"/>
      <c r="L6" t="inlineStr"/>
      <c r="M6" t="inlineStr">
        <is>
          <t>https://www.lazada.com.ph/products/pdp-i278633257-s14323854110.html</t>
        </is>
      </c>
      <c r="N6" t="n">
        <v>1</v>
      </c>
    </row>
    <row r="7">
      <c r="A7" t="inlineStr">
        <is>
          <t>vacuummm cleaner 12l 3in1 for wet dry blow, so far ok naman sya, malakas humigop ng mga alikabok, sulit binayad ko dito</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IF(AND(B7="NEUTRAL",F7="Low"),"LOW",IF(AND(C7="TS",F7="High",D7=3),"HIGH",IF(AND(C7="TS",F7="High",OR(D7=2,D7=4)),"MODERATE",IF(AND(C7="TS",F7="High",OR(D7=1,D7=5)),"LOW",IF(AND(C7="OS",E7="Consistent",OR(D7=1,D7=5)),"MODERATE",IF(AND(C7="OS",E7="Partially Consistent",OR(D7=2,D7=4)),"MODERATE","LOW"))))))</f>
        <v/>
      </c>
      <c r="H7" t="inlineStr"/>
      <c r="I7" t="inlineStr"/>
      <c r="J7" t="inlineStr"/>
      <c r="K7" t="inlineStr"/>
      <c r="L7" t="inlineStr"/>
      <c r="M7" t="inlineStr">
        <is>
          <t>https://www.lazada.com.ph/products/pdp-i278633257-s14323854110.html</t>
        </is>
      </c>
      <c r="N7" t="n">
        <v>1</v>
      </c>
    </row>
    <row r="8">
      <c r="A8" t="inlineStr">
        <is>
          <t>it' s worth it.</t>
        </is>
      </c>
      <c r="B8" t="inlineStr">
        <is>
          <t>POSITIVE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IF(AND(B8="NEUTRAL",F8="Low"),"LOW",IF(AND(C8="TS",F8="High",D8=3),"HIGH",IF(AND(C8="TS",F8="High",OR(D8=2,D8=4)),"MODERATE",IF(AND(C8="TS",F8="High",OR(D8=1,D8=5)),"LOW",IF(AND(C8="OS",E8="Consistent",OR(D8=1,D8=5)),"MODERATE",IF(AND(C8="OS",E8="Partially Consistent",OR(D8=2,D8=4)),"MODERATE","LOW"))))))</f>
        <v/>
      </c>
      <c r="H8" t="inlineStr"/>
      <c r="I8" t="inlineStr"/>
      <c r="J8" t="inlineStr"/>
      <c r="K8" t="inlineStr"/>
      <c r="L8" t="inlineStr"/>
      <c r="M8" t="inlineStr">
        <is>
          <t>https://www.lazada.com.ph/products/pdp-i278633257-s14323854110.html</t>
        </is>
      </c>
      <c r="N8" t="n">
        <v>1</v>
      </c>
    </row>
    <row r="9">
      <c r="A9" t="inlineStr">
        <is>
          <t>talagang sulit na sulit yung money mo dito sa item nato, napakalakas humigop ng alikabok at napakalas rin ng blower nya. hinding hindi ka talaga mag-sisi. . . highly recommended talaga! ! ! !</t>
        </is>
      </c>
      <c r="B9" t="inlineStr">
        <is>
          <t>POSITIVE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IF(AND(B9="NEUTRAL",F9="Low"),"LOW",IF(AND(C9="TS",F9="High",D9=3),"HIGH",IF(AND(C9="TS",F9="High",OR(D9=2,D9=4)),"MODERATE",IF(AND(C9="TS",F9="High",OR(D9=1,D9=5)),"LOW",IF(AND(C9="OS",E9="Consistent",OR(D9=1,D9=5)),"MODERATE",IF(AND(C9="OS",E9="Partially Consistent",OR(D9=2,D9=4)),"MODERATE","LOW"))))))</f>
        <v/>
      </c>
      <c r="H9" t="inlineStr"/>
      <c r="I9" t="inlineStr"/>
      <c r="J9" t="inlineStr"/>
      <c r="K9" t="inlineStr"/>
      <c r="L9" t="inlineStr"/>
      <c r="M9" t="inlineStr">
        <is>
          <t>https://www.lazada.com.ph/products/pdp-i278633257-s14323854110.html</t>
        </is>
      </c>
      <c r="N9" t="n">
        <v>1</v>
      </c>
    </row>
    <row r="10">
      <c r="A10" t="inlineStr">
        <is>
          <t>nice buy, muast have if u have washable sofas and carpet. suction is pretry food easy to assemble.</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IF(AND(B10="NEUTRAL",F10="Low"),"LOW",IF(AND(C10="TS",F10="High",D10=3),"HIGH",IF(AND(C10="TS",F10="High",OR(D10=2,D10=4)),"MODERATE",IF(AND(C10="TS",F10="High",OR(D10=1,D10=5)),"LOW",IF(AND(C10="OS",E10="Consistent",OR(D10=1,D10=5)),"MODERATE",IF(AND(C10="OS",E10="Partially Consistent",OR(D10=2,D10=4)),"MODERATE","LOW"))))))</f>
        <v/>
      </c>
      <c r="H10" t="inlineStr"/>
      <c r="I10" t="inlineStr"/>
      <c r="J10" t="inlineStr"/>
      <c r="K10" t="inlineStr"/>
      <c r="L10" t="inlineStr"/>
      <c r="M10" t="inlineStr">
        <is>
          <t>https://www.lazada.com.ph/products/pdp-i278633257-s14323854110.html</t>
        </is>
      </c>
      <c r="N10" t="n">
        <v>1</v>
      </c>
    </row>
    <row r="11">
      <c r="A11" t="inlineStr">
        <is>
          <t>goood itemmmmmmmm delivered fast thankyou item is in good condition and very well packaged thankyou.</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IF(AND(B11="NEUTRAL",F11="Low"),"LOW",IF(AND(C11="TS",F11="High",D11=3),"HIGH",IF(AND(C11="TS",F11="High",OR(D11=2,D11=4)),"MODERATE",IF(AND(C11="TS",F11="High",OR(D11=1,D11=5)),"LOW",IF(AND(C11="OS",E11="Consistent",OR(D11=1,D11=5)),"MODERATE",IF(AND(C11="OS",E11="Partially Consistent",OR(D11=2,D11=4)),"MODERATE","LOW"))))))</f>
        <v/>
      </c>
      <c r="H11" t="inlineStr"/>
      <c r="I11" t="inlineStr"/>
      <c r="J11" t="inlineStr"/>
      <c r="K11" t="inlineStr"/>
      <c r="L11" t="inlineStr"/>
      <c r="M11" t="inlineStr">
        <is>
          <t>https://www.lazada.com.ph/products/pdp-i278633257-s14323854110.html</t>
        </is>
      </c>
      <c r="N11" t="n">
        <v>1</v>
      </c>
    </row>
    <row r="12">
      <c r="A12" t="inlineStr">
        <is>
          <t>thankyouthankyouthankyouthankyouthankyouthankyousoftsoftsoftsoftsoftsoftsoftsoftsoftsoftsoftsoftsoft softsoftsoftsoftsoftsoftsoftsoftsoftsoftsoftsoftsoft softsoftsoftsoftsoftsoftsoftsoftsoftsoftsoftsoftsoft softsoftsoftsoftsoftsoftsoftsoftsoftsoftsoftsoftsoft softsoftsoftsoftsoftsoftsoftsoftsoftsoftsoftsoftsoft softsoftsoftsoftsoftsoftsoftsoftsoftsoftsoftsoftsoft softsoftsoftsoftsoftsofts</t>
        </is>
      </c>
      <c r="B12" t="inlineStr">
        <is>
          <t>NEGATIVE</t>
        </is>
      </c>
      <c r="C12">
        <f>IF(B12="NEUTRAL","TS","OS")</f>
        <v/>
      </c>
      <c r="D12" t="n">
        <v>5</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IF(AND(B12="NEUTRAL",F12="Low"),"LOW",IF(AND(C12="TS",F12="High",D12=3),"HIGH",IF(AND(C12="TS",F12="High",OR(D12=2,D12=4)),"MODERATE",IF(AND(C12="TS",F12="High",OR(D12=1,D12=5)),"LOW",IF(AND(C12="OS",E12="Consistent",OR(D12=1,D12=5)),"MODERATE",IF(AND(C12="OS",E12="Partially Consistent",OR(D12=2,D12=4)),"MODERATE","LOW"))))))</f>
        <v/>
      </c>
      <c r="H12" t="inlineStr"/>
      <c r="I12" t="inlineStr"/>
      <c r="J12" t="inlineStr"/>
      <c r="K12" t="inlineStr"/>
      <c r="L12" t="inlineStr"/>
      <c r="M12" t="inlineStr">
        <is>
          <t>https://www.lazada.com.ph/products/pdp-i278633257-s14323854110.html</t>
        </is>
      </c>
      <c r="N12" t="n">
        <v>1</v>
      </c>
    </row>
    <row r="13">
      <c r="A13" t="inlineStr">
        <is>
          <t>convenient bagless design, durable construction for long-lasting use, versatile 3-in-1 functionality, efficiently blows away dust and debris, easy to operate and maneuver,</t>
        </is>
      </c>
      <c r="B13" t="inlineStr">
        <is>
          <t>POSITIVE</t>
        </is>
      </c>
      <c r="C13">
        <f>IF(B13="NEUTRAL","TS","OS")</f>
        <v/>
      </c>
      <c r="D13" t="n">
        <v>5</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IF(AND(B13="NEUTRAL",F13="Low"),"LOW",IF(AND(C13="TS",F13="High",D13=3),"HIGH",IF(AND(C13="TS",F13="High",OR(D13=2,D13=4)),"MODERATE",IF(AND(C13="TS",F13="High",OR(D13=1,D13=5)),"LOW",IF(AND(C13="OS",E13="Consistent",OR(D13=1,D13=5)),"MODERATE",IF(AND(C13="OS",E13="Partially Consistent",OR(D13=2,D13=4)),"MODERATE","LOW"))))))</f>
        <v/>
      </c>
      <c r="H13" t="inlineStr"/>
      <c r="I13" t="inlineStr"/>
      <c r="J13" t="inlineStr"/>
      <c r="K13" t="inlineStr"/>
      <c r="L13" t="inlineStr"/>
      <c r="M13" t="inlineStr">
        <is>
          <t>https://www.lazada.com.ph/products/pdp-i278633257-s14323854110.html</t>
        </is>
      </c>
      <c r="N13" t="n">
        <v>1</v>
      </c>
    </row>
    <row r="14">
      <c r="A14" t="inlineStr">
        <is>
          <t>thank you so much seller sobrang ganda po ng vacuum. . good quality na testing ko na din po ayos naman salamat ulit seller kudos sa iinyo</t>
        </is>
      </c>
      <c r="B14" t="inlineStr">
        <is>
          <t>POSITIVE</t>
        </is>
      </c>
      <c r="C14">
        <f>IF(B14="NEUTRAL","TS","OS")</f>
        <v/>
      </c>
      <c r="D14" t="n">
        <v>5</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IF(AND(B14="NEUTRAL",F14="Low"),"LOW",IF(AND(C14="TS",F14="High",D14=3),"HIGH",IF(AND(C14="TS",F14="High",OR(D14=2,D14=4)),"MODERATE",IF(AND(C14="TS",F14="High",OR(D14=1,D14=5)),"LOW",IF(AND(C14="OS",E14="Consistent",OR(D14=1,D14=5)),"MODERATE",IF(AND(C14="OS",E14="Partially Consistent",OR(D14=2,D14=4)),"MODERATE","LOW"))))))</f>
        <v/>
      </c>
      <c r="H14" t="inlineStr"/>
      <c r="I14" t="inlineStr"/>
      <c r="J14" t="inlineStr"/>
      <c r="K14" t="inlineStr"/>
      <c r="L14" t="inlineStr"/>
      <c r="M14" t="inlineStr">
        <is>
          <t>https://www.lazada.com.ph/products/pdp-i278633257-s14323854110.html</t>
        </is>
      </c>
      <c r="N14" t="n">
        <v>1</v>
      </c>
    </row>
    <row r="15">
      <c r="A15" t="inlineStr">
        <is>
          <t>material: thank you much sa seller, maganda at secure po ang item, complete accessories na dumating, , although hindi ko pa na try. salamat sa jnt na naghatid. . legit seller here. thank you!</t>
        </is>
      </c>
      <c r="B15" t="inlineStr">
        <is>
          <t>POSITIVE</t>
        </is>
      </c>
      <c r="C15">
        <f>IF(B15="NEUTRAL","TS","OS")</f>
        <v/>
      </c>
      <c r="D15" t="n">
        <v>5</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IF(AND(B15="NEUTRAL",F15="Low"),"LOW",IF(AND(C15="TS",F15="High",D15=3),"HIGH",IF(AND(C15="TS",F15="High",OR(D15=2,D15=4)),"MODERATE",IF(AND(C15="TS",F15="High",OR(D15=1,D15=5)),"LOW",IF(AND(C15="OS",E15="Consistent",OR(D15=1,D15=5)),"MODERATE",IF(AND(C15="OS",E15="Partially Consistent",OR(D15=2,D15=4)),"MODERATE","LOW"))))))</f>
        <v/>
      </c>
      <c r="H15" t="inlineStr"/>
      <c r="I15" t="inlineStr"/>
      <c r="J15" t="inlineStr"/>
      <c r="K15" t="inlineStr"/>
      <c r="L15" t="inlineStr"/>
      <c r="M15" t="inlineStr">
        <is>
          <t>https://www.lazada.com.ph/products/pdp-i278633257-s14323854110.html</t>
        </is>
      </c>
      <c r="N15" t="n">
        <v>1</v>
      </c>
    </row>
    <row r="16">
      <c r="A16" t="inlineStr">
        <is>
          <t>functionality: good quality: good material: ok nmn sya medyo natagalan lng na maricieve ung item, is it normal po ba na seconds lng na gamitin nainit na agad sa may takip nya? triny q kc pag dating plng ng item so un po ang napansin ko, uminit agad ung sa may takip nya, normal lng po ba un and safe? thanks po</t>
        </is>
      </c>
      <c r="B16" t="inlineStr">
        <is>
          <t>NEUTRAL</t>
        </is>
      </c>
      <c r="C16">
        <f>IF(B16="NEUTRAL","TS","OS")</f>
        <v/>
      </c>
      <c r="D16" t="n">
        <v>5</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IF(AND(B16="NEUTRAL",F16="Low"),"LOW",IF(AND(C16="TS",F16="High",D16=3),"HIGH",IF(AND(C16="TS",F16="High",OR(D16=2,D16=4)),"MODERATE",IF(AND(C16="TS",F16="High",OR(D16=1,D16=5)),"LOW",IF(AND(C16="OS",E16="Consistent",OR(D16=1,D16=5)),"MODERATE",IF(AND(C16="OS",E16="Partially Consistent",OR(D16=2,D16=4)),"MODERATE","LOW"))))))</f>
        <v/>
      </c>
      <c r="H16" t="inlineStr"/>
      <c r="I16" t="inlineStr"/>
      <c r="J16" t="inlineStr"/>
      <c r="K16" t="inlineStr"/>
      <c r="L16" t="inlineStr"/>
      <c r="M16" t="inlineStr">
        <is>
          <t>https://www.lazada.com.ph/products/pdp-i278633257-s14323854110.html</t>
        </is>
      </c>
      <c r="N16" t="n">
        <v>1</v>
      </c>
    </row>
    <row r="17">
      <c r="A17" t="inlineStr">
        <is>
          <t>sobrang ganda gamitin strong suction strong blower package arrived safely thankyou seller! very good quality vacuum more power to your shop po</t>
        </is>
      </c>
      <c r="B17" t="inlineStr">
        <is>
          <t>POSITIVE</t>
        </is>
      </c>
      <c r="C17">
        <f>IF(B17="NEUTRAL","TS","OS")</f>
        <v/>
      </c>
      <c r="D17" t="n">
        <v>5</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IF(AND(B17="NEUTRAL",F17="Low"),"LOW",IF(AND(C17="TS",F17="High",D17=3),"HIGH",IF(AND(C17="TS",F17="High",OR(D17=2,D17=4)),"MODERATE",IF(AND(C17="TS",F17="High",OR(D17=1,D17=5)),"LOW",IF(AND(C17="OS",E17="Consistent",OR(D17=1,D17=5)),"MODERATE",IF(AND(C17="OS",E17="Partially Consistent",OR(D17=2,D17=4)),"MODERATE","LOW"))))))</f>
        <v/>
      </c>
      <c r="H17" t="inlineStr"/>
      <c r="I17" t="inlineStr"/>
      <c r="J17" t="inlineStr"/>
      <c r="K17" t="inlineStr"/>
      <c r="L17" t="inlineStr"/>
      <c r="M17" t="inlineStr">
        <is>
          <t>https://www.lazada.com.ph/products/pdp-i278633257-s14323854110.html</t>
        </is>
      </c>
      <c r="N17" t="n">
        <v>1</v>
      </c>
    </row>
    <row r="18">
      <c r="A18" t="inlineStr">
        <is>
          <t>safe ang box and walang damage ang item. kumpleto po lahat. tested an working. malakas ang higop. kudos po sa seller.</t>
        </is>
      </c>
      <c r="B18" t="inlineStr">
        <is>
          <t>POSITIVE</t>
        </is>
      </c>
      <c r="C18">
        <f>IF(B18="NEUTRAL","TS","OS")</f>
        <v/>
      </c>
      <c r="D18" t="n">
        <v>5</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IF(AND(B18="NEUTRAL",F18="Low"),"LOW",IF(AND(C18="TS",F18="High",D18=3),"HIGH",IF(AND(C18="TS",F18="High",OR(D18=2,D18=4)),"MODERATE",IF(AND(C18="TS",F18="High",OR(D18=1,D18=5)),"LOW",IF(AND(C18="OS",E18="Consistent",OR(D18=1,D18=5)),"MODERATE",IF(AND(C18="OS",E18="Partially Consistent",OR(D18=2,D18=4)),"MODERATE","LOW"))))))</f>
        <v/>
      </c>
      <c r="H18" t="inlineStr"/>
      <c r="I18" t="inlineStr"/>
      <c r="J18" t="inlineStr"/>
      <c r="K18" t="inlineStr"/>
      <c r="L18" t="inlineStr"/>
      <c r="M18" t="inlineStr">
        <is>
          <t>https://www.lazada.com.ph/products/pdp-i278633257-s14323854110.html</t>
        </is>
      </c>
      <c r="N18" t="n">
        <v>1</v>
      </c>
    </row>
    <row r="19">
      <c r="A19" t="inlineStr">
        <is>
          <t>satisfy buyer here. . . maganda nga xa talaga sana magtagal din xa para sa worth paid</t>
        </is>
      </c>
      <c r="B19" t="inlineStr">
        <is>
          <t>POSITIVE</t>
        </is>
      </c>
      <c r="C19">
        <f>IF(B19="NEUTRAL","TS","OS")</f>
        <v/>
      </c>
      <c r="D19" t="n">
        <v>5</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IF(AND(B19="NEUTRAL",F19="Low"),"LOW",IF(AND(C19="TS",F19="High",D19=3),"HIGH",IF(AND(C19="TS",F19="High",OR(D19=2,D19=4)),"MODERATE",IF(AND(C19="TS",F19="High",OR(D19=1,D19=5)),"LOW",IF(AND(C19="OS",E19="Consistent",OR(D19=1,D19=5)),"MODERATE",IF(AND(C19="OS",E19="Partially Consistent",OR(D19=2,D19=4)),"MODERATE","LOW"))))))</f>
        <v/>
      </c>
      <c r="H19" t="inlineStr"/>
      <c r="I19" t="inlineStr"/>
      <c r="J19" t="inlineStr"/>
      <c r="K19" t="inlineStr"/>
      <c r="L19" t="inlineStr"/>
      <c r="M19" t="inlineStr">
        <is>
          <t>https://www.lazada.com.ph/products/pdp-i278633257-s14323854110.html</t>
        </is>
      </c>
      <c r="N19" t="n">
        <v>1</v>
      </c>
    </row>
    <row r="20">
      <c r="A20" t="inlineStr">
        <is>
          <t>ayan napo video. okay na okay. thank you seller sa fast shipping inorder ng friday dumating ng monday</t>
        </is>
      </c>
      <c r="B20" t="inlineStr">
        <is>
          <t>POSITIVE</t>
        </is>
      </c>
      <c r="C20">
        <f>IF(B20="NEUTRAL","TS","OS")</f>
        <v/>
      </c>
      <c r="D20" t="n">
        <v>5</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IF(AND(B20="NEUTRAL",F20="Low"),"LOW",IF(AND(C20="TS",F20="High",D20=3),"HIGH",IF(AND(C20="TS",F20="High",OR(D20=2,D20=4)),"MODERATE",IF(AND(C20="TS",F20="High",OR(D20=1,D20=5)),"LOW",IF(AND(C20="OS",E20="Consistent",OR(D20=1,D20=5)),"MODERATE",IF(AND(C20="OS",E20="Partially Consistent",OR(D20=2,D20=4)),"MODERATE","LOW"))))))</f>
        <v/>
      </c>
      <c r="H20" t="inlineStr"/>
      <c r="I20" t="inlineStr"/>
      <c r="J20" t="inlineStr"/>
      <c r="K20" t="inlineStr"/>
      <c r="L20" t="inlineStr"/>
      <c r="M20" t="inlineStr">
        <is>
          <t>https://www.lazada.com.ph/products/pdp-i278633257-s14323854110.html</t>
        </is>
      </c>
      <c r="N20" t="n">
        <v>1</v>
      </c>
    </row>
    <row r="21">
      <c r="A21" t="inlineStr">
        <is>
          <t>great product! worth the price</t>
        </is>
      </c>
      <c r="B21" t="inlineStr">
        <is>
          <t>POSITIVE</t>
        </is>
      </c>
      <c r="C21">
        <f>IF(B21="NEUTRAL","TS","OS")</f>
        <v/>
      </c>
      <c r="D21" t="n">
        <v>5</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IF(AND(B21="NEUTRAL",F21="Low"),"LOW",IF(AND(C21="TS",F21="High",D21=3),"HIGH",IF(AND(C21="TS",F21="High",OR(D21=2,D21=4)),"MODERATE",IF(AND(C21="TS",F21="High",OR(D21=1,D21=5)),"LOW",IF(AND(C21="OS",E21="Consistent",OR(D21=1,D21=5)),"MODERATE",IF(AND(C21="OS",E21="Partially Consistent",OR(D21=2,D21=4)),"MODERATE","LOW"))))))</f>
        <v/>
      </c>
      <c r="H21" t="inlineStr"/>
      <c r="I21" t="inlineStr"/>
      <c r="J21" t="inlineStr"/>
      <c r="K21" t="inlineStr"/>
      <c r="L21" t="inlineStr"/>
      <c r="M21" t="inlineStr">
        <is>
          <t>https://www.lazada.com.ph/products/pdp-i278633257-s14323854110.html</t>
        </is>
      </c>
      <c r="N21" t="n">
        <v>1</v>
      </c>
    </row>
    <row r="22">
      <c r="A22" t="inlineStr">
        <is>
          <t>product came and properly packed naman. i noticed lang that there is small chip inside. di pa fully na try thou.</t>
        </is>
      </c>
      <c r="B22" t="inlineStr">
        <is>
          <t>NEUTRAL</t>
        </is>
      </c>
      <c r="C22">
        <f>IF(B22="NEUTRAL","TS","OS")</f>
        <v/>
      </c>
      <c r="D22" t="n">
        <v>4</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IF(AND(B22="NEUTRAL",F22="Low"),"LOW",IF(AND(C22="TS",F22="High",D22=3),"HIGH",IF(AND(C22="TS",F22="High",OR(D22=2,D22=4)),"MODERATE",IF(AND(C22="TS",F22="High",OR(D22=1,D22=5)),"LOW",IF(AND(C22="OS",E22="Consistent",OR(D22=1,D22=5)),"MODERATE",IF(AND(C22="OS",E22="Partially Consistent",OR(D22=2,D22=4)),"MODERATE","LOW"))))))</f>
        <v/>
      </c>
      <c r="H22" t="inlineStr"/>
      <c r="I22" t="inlineStr"/>
      <c r="J22" t="inlineStr"/>
      <c r="K22" t="inlineStr"/>
      <c r="L22" t="inlineStr"/>
      <c r="M22" t="inlineStr">
        <is>
          <t>https://www.lazada.com.ph/products/pdp-i278633257-s14323854110.html</t>
        </is>
      </c>
      <c r="N22" t="n">
        <v>1</v>
      </c>
    </row>
    <row r="23">
      <c r="A23" t="inlineStr">
        <is>
          <t>mabilis uminit pero okay na para sa price!</t>
        </is>
      </c>
      <c r="B23" t="inlineStr">
        <is>
          <t>NEUTRAL</t>
        </is>
      </c>
      <c r="C23">
        <f>IF(B23="NEUTRAL","TS","OS")</f>
        <v/>
      </c>
      <c r="D23" t="n">
        <v>4</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IF(AND(B23="NEUTRAL",F23="Low"),"LOW",IF(AND(C23="TS",F23="High",D23=3),"HIGH",IF(AND(C23="TS",F23="High",OR(D23=2,D23=4)),"MODERATE",IF(AND(C23="TS",F23="High",OR(D23=1,D23=5)),"LOW",IF(AND(C23="OS",E23="Consistent",OR(D23=1,D23=5)),"MODERATE",IF(AND(C23="OS",E23="Partially Consistent",OR(D23=2,D23=4)),"MODERATE","LOW"))))))</f>
        <v/>
      </c>
      <c r="H23" t="inlineStr"/>
      <c r="I23" t="inlineStr"/>
      <c r="J23" t="inlineStr"/>
      <c r="K23" t="inlineStr"/>
      <c r="L23" t="inlineStr"/>
      <c r="M23" t="inlineStr">
        <is>
          <t>https://www.lazada.com.ph/products/pdp-i278633257-s14323854110.html</t>
        </is>
      </c>
      <c r="N23" t="n">
        <v>1</v>
      </c>
    </row>
    <row r="24">
      <c r="A24" t="inlineStr">
        <is>
          <t>ok sya for home use. konting ingat lang di ganun ka sturdy ang materials. wag masyadong tagakan paggamit kasi dealing uminit</t>
        </is>
      </c>
      <c r="B24" t="inlineStr">
        <is>
          <t>NEUTRAL</t>
        </is>
      </c>
      <c r="C24">
        <f>IF(B24="NEUTRAL","TS","OS")</f>
        <v/>
      </c>
      <c r="D24" t="n">
        <v>4</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IF(AND(B24="NEUTRAL",F24="Low"),"LOW",IF(AND(C24="TS",F24="High",D24=3),"HIGH",IF(AND(C24="TS",F24="High",OR(D24=2,D24=4)),"MODERATE",IF(AND(C24="TS",F24="High",OR(D24=1,D24=5)),"LOW",IF(AND(C24="OS",E24="Consistent",OR(D24=1,D24=5)),"MODERATE",IF(AND(C24="OS",E24="Partially Consistent",OR(D24=2,D24=4)),"MODERATE","LOW"))))))</f>
        <v/>
      </c>
      <c r="H24" t="inlineStr"/>
      <c r="I24" t="inlineStr"/>
      <c r="J24" t="inlineStr"/>
      <c r="K24" t="inlineStr"/>
      <c r="L24" t="inlineStr"/>
      <c r="M24" t="inlineStr">
        <is>
          <t>https://www.lazada.com.ph/products/pdp-i278633257-s14323854110.html</t>
        </is>
      </c>
      <c r="N24" t="n">
        <v>1</v>
      </c>
    </row>
    <row r="25">
      <c r="A25" t="inlineStr">
        <is>
          <t>nice product. . . . . . , . . . . . . . . . . . . . . . . . . . . . . . . . . . . . . . . . . . . . . . . . . . . . . . . . . . . . . . . .</t>
        </is>
      </c>
      <c r="B25" t="inlineStr">
        <is>
          <t>POSITIVE</t>
        </is>
      </c>
      <c r="C25">
        <f>IF(B25="NEUTRAL","TS","OS")</f>
        <v/>
      </c>
      <c r="D25" t="n">
        <v>4</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IF(AND(B25="NEUTRAL",F25="Low"),"LOW",IF(AND(C25="TS",F25="High",D25=3),"HIGH",IF(AND(C25="TS",F25="High",OR(D25=2,D25=4)),"MODERATE",IF(AND(C25="TS",F25="High",OR(D25=1,D25=5)),"LOW",IF(AND(C25="OS",E25="Consistent",OR(D25=1,D25=5)),"MODERATE",IF(AND(C25="OS",E25="Partially Consistent",OR(D25=2,D25=4)),"MODERATE","LOW"))))))</f>
        <v/>
      </c>
      <c r="H25" t="inlineStr"/>
      <c r="I25" t="inlineStr"/>
      <c r="J25" t="inlineStr"/>
      <c r="K25" t="inlineStr"/>
      <c r="L25" t="inlineStr"/>
      <c r="M25" t="inlineStr">
        <is>
          <t>https://www.lazada.com.ph/products/pdp-i278633257-s14323854110.html</t>
        </is>
      </c>
      <c r="N25" t="n">
        <v>1</v>
      </c>
    </row>
    <row r="26">
      <c r="A26" t="inlineStr">
        <is>
          <t>maganda sya salamat lazada</t>
        </is>
      </c>
      <c r="B26" t="inlineStr">
        <is>
          <t>POSITIVE</t>
        </is>
      </c>
      <c r="C26">
        <f>IF(B26="NEUTRAL","TS","OS")</f>
        <v/>
      </c>
      <c r="D26" t="n">
        <v>4</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IF(AND(B26="NEUTRAL",F26="Low"),"LOW",IF(AND(C26="TS",F26="High",D26=3),"HIGH",IF(AND(C26="TS",F26="High",OR(D26=2,D26=4)),"MODERATE",IF(AND(C26="TS",F26="High",OR(D26=1,D26=5)),"LOW",IF(AND(C26="OS",E26="Consistent",OR(D26=1,D26=5)),"MODERATE",IF(AND(C26="OS",E26="Partially Consistent",OR(D26=2,D26=4)),"MODERATE","LOW"))))))</f>
        <v/>
      </c>
      <c r="H26" t="inlineStr"/>
      <c r="I26" t="inlineStr"/>
      <c r="J26" t="inlineStr"/>
      <c r="K26" t="inlineStr"/>
      <c r="L26" t="inlineStr"/>
      <c r="M26" t="inlineStr">
        <is>
          <t>https://www.lazada.com.ph/products/pdp-i278633257-s14323854110.html</t>
        </is>
      </c>
      <c r="N26" t="n">
        <v>1</v>
      </c>
    </row>
    <row r="27">
      <c r="A27" t="inlineStr">
        <is>
          <t>it works and akala namin kulang pero nasa ilalim lang ng sahuran haha. legit shop! medyo kinabahan lang sa packaging kasi naka cover lang ng papel. pero overall okay naman items.</t>
        </is>
      </c>
      <c r="B27" t="inlineStr">
        <is>
          <t>NEUTRAL</t>
        </is>
      </c>
      <c r="C27">
        <f>IF(B27="NEUTRAL","TS","OS")</f>
        <v/>
      </c>
      <c r="D27" t="n">
        <v>4</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IF(AND(B27="NEUTRAL",F27="Low"),"LOW",IF(AND(C27="TS",F27="High",D27=3),"HIGH",IF(AND(C27="TS",F27="High",OR(D27=2,D27=4)),"MODERATE",IF(AND(C27="TS",F27="High",OR(D27=1,D27=5)),"LOW",IF(AND(C27="OS",E27="Consistent",OR(D27=1,D27=5)),"MODERATE",IF(AND(C27="OS",E27="Partially Consistent",OR(D27=2,D27=4)),"MODERATE","LOW"))))))</f>
        <v/>
      </c>
      <c r="H27" t="inlineStr"/>
      <c r="I27" t="inlineStr"/>
      <c r="J27" t="inlineStr"/>
      <c r="K27" t="inlineStr"/>
      <c r="L27" t="inlineStr"/>
      <c r="M27" t="inlineStr">
        <is>
          <t>https://www.lazada.com.ph/products/pdp-i278633257-s14323854110.html</t>
        </is>
      </c>
      <c r="N27" t="n">
        <v>1</v>
      </c>
    </row>
    <row r="28">
      <c r="A28" t="inlineStr">
        <is>
          <t>nice pala talaga. malakas ang vacuum, di ko pa lng na try gamitin ng matagal. hopefully hindi ako magka problema pag gamit nito. thanks seller. . .</t>
        </is>
      </c>
      <c r="B28" t="inlineStr">
        <is>
          <t>POSITIVE</t>
        </is>
      </c>
      <c r="C28">
        <f>IF(B28="NEUTRAL","TS","OS")</f>
        <v/>
      </c>
      <c r="D28" t="n">
        <v>4</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IF(AND(B28="NEUTRAL",F28="Low"),"LOW",IF(AND(C28="TS",F28="High",D28=3),"HIGH",IF(AND(C28="TS",F28="High",OR(D28=2,D28=4)),"MODERATE",IF(AND(C28="TS",F28="High",OR(D28=1,D28=5)),"LOW",IF(AND(C28="OS",E28="Consistent",OR(D28=1,D28=5)),"MODERATE",IF(AND(C28="OS",E28="Partially Consistent",OR(D28=2,D28=4)),"MODERATE","LOW"))))))</f>
        <v/>
      </c>
      <c r="H28" t="inlineStr"/>
      <c r="I28" t="inlineStr"/>
      <c r="J28" t="inlineStr"/>
      <c r="K28" t="inlineStr"/>
      <c r="L28" t="inlineStr"/>
      <c r="M28" t="inlineStr">
        <is>
          <t>https://www.lazada.com.ph/products/pdp-i278633257-s14323854110.html</t>
        </is>
      </c>
      <c r="N28" t="n">
        <v>1</v>
      </c>
    </row>
    <row r="29">
      <c r="A29" t="inlineStr">
        <is>
          <t>fast delivery! looks heavy duty &amp; nice!</t>
        </is>
      </c>
      <c r="B29" t="inlineStr">
        <is>
          <t>POSITIVE</t>
        </is>
      </c>
      <c r="C29">
        <f>IF(B29="NEUTRAL","TS","OS")</f>
        <v/>
      </c>
      <c r="D29" t="n">
        <v>4</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IF(AND(B29="NEUTRAL",F29="Low"),"LOW",IF(AND(C29="TS",F29="High",D29=3),"HIGH",IF(AND(C29="TS",F29="High",OR(D29=2,D29=4)),"MODERATE",IF(AND(C29="TS",F29="High",OR(D29=1,D29=5)),"LOW",IF(AND(C29="OS",E29="Consistent",OR(D29=1,D29=5)),"MODERATE",IF(AND(C29="OS",E29="Partially Consistent",OR(D29=2,D29=4)),"MODERATE","LOW"))))))</f>
        <v/>
      </c>
      <c r="H29" t="inlineStr"/>
      <c r="I29" t="inlineStr"/>
      <c r="J29" t="inlineStr"/>
      <c r="K29" t="inlineStr"/>
      <c r="L29" t="inlineStr"/>
      <c r="M29" t="inlineStr">
        <is>
          <t>https://www.lazada.com.ph/products/pdp-i278633257-s14323854110.html</t>
        </is>
      </c>
      <c r="N29" t="n">
        <v>1</v>
      </c>
    </row>
    <row r="30">
      <c r="A30" t="inlineStr">
        <is>
          <t>excellent quality</t>
        </is>
      </c>
      <c r="B30" t="inlineStr">
        <is>
          <t>POSITIVE</t>
        </is>
      </c>
      <c r="C30">
        <f>IF(B30="NEUTRAL","TS","OS")</f>
        <v/>
      </c>
      <c r="D30" t="n">
        <v>4</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IF(AND(B30="NEUTRAL",F30="Low"),"LOW",IF(AND(C30="TS",F30="High",D30=3),"HIGH",IF(AND(C30="TS",F30="High",OR(D30=2,D30=4)),"MODERATE",IF(AND(C30="TS",F30="High",OR(D30=1,D30=5)),"LOW",IF(AND(C30="OS",E30="Consistent",OR(D30=1,D30=5)),"MODERATE",IF(AND(C30="OS",E30="Partially Consistent",OR(D30=2,D30=4)),"MODERATE","LOW"))))))</f>
        <v/>
      </c>
      <c r="H30" t="inlineStr"/>
      <c r="I30" t="inlineStr"/>
      <c r="J30" t="inlineStr"/>
      <c r="K30" t="inlineStr"/>
      <c r="L30" t="inlineStr"/>
      <c r="M30" t="inlineStr">
        <is>
          <t>https://www.lazada.com.ph/products/pdp-i278633257-s14323854110.html</t>
        </is>
      </c>
      <c r="N30" t="n">
        <v>1</v>
      </c>
    </row>
    <row r="31">
      <c r="A31" t="inlineStr">
        <is>
          <t>can take heavy cleaning stuff. may isang brush lang na kulang. but the motor is solid strong!</t>
        </is>
      </c>
      <c r="B31" t="inlineStr">
        <is>
          <t>NEUTRAL</t>
        </is>
      </c>
      <c r="C31">
        <f>IF(B31="NEUTRAL","TS","OS")</f>
        <v/>
      </c>
      <c r="D31" t="n">
        <v>4</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IF(AND(B31="NEUTRAL",F31="Low"),"LOW",IF(AND(C31="TS",F31="High",D31=3),"HIGH",IF(AND(C31="TS",F31="High",OR(D31=2,D31=4)),"MODERATE",IF(AND(C31="TS",F31="High",OR(D31=1,D31=5)),"LOW",IF(AND(C31="OS",E31="Consistent",OR(D31=1,D31=5)),"MODERATE",IF(AND(C31="OS",E31="Partially Consistent",OR(D31=2,D31=4)),"MODERATE","LOW"))))))</f>
        <v/>
      </c>
      <c r="H31" t="inlineStr"/>
      <c r="I31" t="inlineStr"/>
      <c r="J31" t="inlineStr"/>
      <c r="K31" t="inlineStr"/>
      <c r="L31" t="inlineStr"/>
      <c r="M31" t="inlineStr">
        <is>
          <t>https://www.lazada.com.ph/products/pdp-i278633257-s14323854110.html</t>
        </is>
      </c>
      <c r="N31" t="n">
        <v>1</v>
      </c>
    </row>
    <row r="32">
      <c r="A32" t="inlineStr">
        <is>
          <t>i already received the package! i' m really excited purchasing this. it was tightly sealed which is a good thing. and i didn' t encounter any issues upon setting up the vacuum itself. i thought the other parts was missing but i realized that it was inside the bucket. it also comes with a manual to guide you while assembling each parts. i thought it was small because i' ve read the other reviews saying that it was smaller than they expected but for me the size is just right. and it doesn' t look cheap tho. but for me 2k was still expensive but if you compare it to other brands this one' s still low-priced. also, one thing that i' ve noticed is that it smells plastic while it is on used. i don' t know if that' s normal. it has a loud noise too but that' s reasonable since it doesn' t claim that it is a noiseless vacuum. this vacuum has different functions. overall, i really love this vacuum and it was worth the wait because it took almost a week to deliver because of ecq. i just hope it will last!</t>
        </is>
      </c>
      <c r="B32" t="inlineStr">
        <is>
          <t>NEUTRAL</t>
        </is>
      </c>
      <c r="C32">
        <f>IF(B32="NEUTRAL","TS","OS")</f>
        <v/>
      </c>
      <c r="D32" t="n">
        <v>4</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IF(AND(B32="NEUTRAL",F32="Low"),"LOW",IF(AND(C32="TS",F32="High",D32=3),"HIGH",IF(AND(C32="TS",F32="High",OR(D32=2,D32=4)),"MODERATE",IF(AND(C32="TS",F32="High",OR(D32=1,D32=5)),"LOW",IF(AND(C32="OS",E32="Consistent",OR(D32=1,D32=5)),"MODERATE",IF(AND(C32="OS",E32="Partially Consistent",OR(D32=2,D32=4)),"MODERATE","LOW"))))))</f>
        <v/>
      </c>
      <c r="H32" t="inlineStr"/>
      <c r="I32" t="inlineStr"/>
      <c r="J32" t="inlineStr"/>
      <c r="K32" t="inlineStr"/>
      <c r="L32" t="inlineStr"/>
      <c r="M32" t="inlineStr">
        <is>
          <t>https://www.lazada.com.ph/products/pdp-i278633257-s14323854110.html</t>
        </is>
      </c>
      <c r="N32" t="n">
        <v>1</v>
      </c>
    </row>
    <row r="33">
      <c r="A33" t="inlineStr">
        <is>
          <t>ok po ung itim kaso ung box po basang basa nong dumating. . salamat lazada</t>
        </is>
      </c>
      <c r="B33" t="inlineStr">
        <is>
          <t>NEUTRAL</t>
        </is>
      </c>
      <c r="C33">
        <f>IF(B33="NEUTRAL","TS","OS")</f>
        <v/>
      </c>
      <c r="D33" t="n">
        <v>4</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IF(AND(B33="NEUTRAL",F33="Low"),"LOW",IF(AND(C33="TS",F33="High",D33=3),"HIGH",IF(AND(C33="TS",F33="High",OR(D33=2,D33=4)),"MODERATE",IF(AND(C33="TS",F33="High",OR(D33=1,D33=5)),"LOW",IF(AND(C33="OS",E33="Consistent",OR(D33=1,D33=5)),"MODERATE",IF(AND(C33="OS",E33="Partially Consistent",OR(D33=2,D33=4)),"MODERATE","LOW"))))))</f>
        <v/>
      </c>
      <c r="H33" t="inlineStr"/>
      <c r="I33" t="inlineStr"/>
      <c r="J33" t="inlineStr"/>
      <c r="K33" t="inlineStr"/>
      <c r="L33" t="inlineStr"/>
      <c r="M33" t="inlineStr">
        <is>
          <t>https://www.lazada.com.ph/products/pdp-i278633257-s14323854110.html</t>
        </is>
      </c>
      <c r="N33" t="n">
        <v>1</v>
      </c>
    </row>
    <row r="34">
      <c r="A34" t="inlineStr">
        <is>
          <t>fast delivery and packaging. . good job to seller</t>
        </is>
      </c>
      <c r="B34" t="inlineStr">
        <is>
          <t>POSITIVE</t>
        </is>
      </c>
      <c r="C34">
        <f>IF(B34="NEUTRAL","TS","OS")</f>
        <v/>
      </c>
      <c r="D34" t="n">
        <v>4</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IF(AND(B34="NEUTRAL",F34="Low"),"LOW",IF(AND(C34="TS",F34="High",D34=3),"HIGH",IF(AND(C34="TS",F34="High",OR(D34=2,D34=4)),"MODERATE",IF(AND(C34="TS",F34="High",OR(D34=1,D34=5)),"LOW",IF(AND(C34="OS",E34="Consistent",OR(D34=1,D34=5)),"MODERATE",IF(AND(C34="OS",E34="Partially Consistent",OR(D34=2,D34=4)),"MODERATE","LOW"))))))</f>
        <v/>
      </c>
      <c r="H34" t="inlineStr"/>
      <c r="I34" t="inlineStr"/>
      <c r="J34" t="inlineStr"/>
      <c r="K34" t="inlineStr"/>
      <c r="L34" t="inlineStr"/>
      <c r="M34" t="inlineStr">
        <is>
          <t>https://www.lazada.com.ph/products/pdp-i278633257-s14323854110.html</t>
        </is>
      </c>
      <c r="N34" t="n">
        <v>1</v>
      </c>
    </row>
    <row r="35">
      <c r="A35" t="inlineStr">
        <is>
          <t>ok sana kaso kulang ung parts n nsa kahon, di rin sya nkabubble wrap. working naman wala lng ung ibang parts</t>
        </is>
      </c>
      <c r="B35" t="inlineStr">
        <is>
          <t>NEUTRAL</t>
        </is>
      </c>
      <c r="C35">
        <f>IF(B35="NEUTRAL","TS","OS")</f>
        <v/>
      </c>
      <c r="D35" t="n">
        <v>4</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IF(AND(B35="NEUTRAL",F35="Low"),"LOW",IF(AND(C35="TS",F35="High",D35=3),"HIGH",IF(AND(C35="TS",F35="High",OR(D35=2,D35=4)),"MODERATE",IF(AND(C35="TS",F35="High",OR(D35=1,D35=5)),"LOW",IF(AND(C35="OS",E35="Consistent",OR(D35=1,D35=5)),"MODERATE",IF(AND(C35="OS",E35="Partially Consistent",OR(D35=2,D35=4)),"MODERATE","LOW"))))))</f>
        <v/>
      </c>
      <c r="H35" t="inlineStr"/>
      <c r="I35" t="inlineStr"/>
      <c r="J35" t="inlineStr"/>
      <c r="K35" t="inlineStr"/>
      <c r="L35" t="inlineStr"/>
      <c r="M35" t="inlineStr">
        <is>
          <t>https://www.lazada.com.ph/products/pdp-i278633257-s14323854110.html</t>
        </is>
      </c>
      <c r="N35" t="n">
        <v>1</v>
      </c>
    </row>
    <row r="36">
      <c r="A36" t="inlineStr">
        <is>
          <t>maganda at maayos ang product. thanks seller</t>
        </is>
      </c>
      <c r="B36" t="inlineStr">
        <is>
          <t>POSITIVE</t>
        </is>
      </c>
      <c r="C36">
        <f>IF(B36="NEUTRAL","TS","OS")</f>
        <v/>
      </c>
      <c r="D36" t="n">
        <v>4</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IF(AND(B36="NEUTRAL",F36="Low"),"LOW",IF(AND(C36="TS",F36="High",D36=3),"HIGH",IF(AND(C36="TS",F36="High",OR(D36=2,D36=4)),"MODERATE",IF(AND(C36="TS",F36="High",OR(D36=1,D36=5)),"LOW",IF(AND(C36="OS",E36="Consistent",OR(D36=1,D36=5)),"MODERATE",IF(AND(C36="OS",E36="Partially Consistent",OR(D36=2,D36=4)),"MODERATE","LOW"))))))</f>
        <v/>
      </c>
      <c r="H36" t="inlineStr"/>
      <c r="I36" t="inlineStr"/>
      <c r="J36" t="inlineStr"/>
      <c r="K36" t="inlineStr"/>
      <c r="L36" t="inlineStr"/>
      <c r="M36" t="inlineStr">
        <is>
          <t>https://www.lazada.com.ph/products/pdp-i278633257-s14323854110.html</t>
        </is>
      </c>
      <c r="N36" t="n">
        <v>1</v>
      </c>
    </row>
    <row r="37">
      <c r="A37" t="inlineStr">
        <is>
          <t>it was fast delivery thank you! i tested already and its working, but i don not know how long it will last! any ways it is a good quality!</t>
        </is>
      </c>
      <c r="B37" t="inlineStr">
        <is>
          <t>NEUTRAL</t>
        </is>
      </c>
      <c r="C37">
        <f>IF(B37="NEUTRAL","TS","OS")</f>
        <v/>
      </c>
      <c r="D37" t="n">
        <v>4</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IF(AND(B37="NEUTRAL",F37="Low"),"LOW",IF(AND(C37="TS",F37="High",D37=3),"HIGH",IF(AND(C37="TS",F37="High",OR(D37=2,D37=4)),"MODERATE",IF(AND(C37="TS",F37="High",OR(D37=1,D37=5)),"LOW",IF(AND(C37="OS",E37="Consistent",OR(D37=1,D37=5)),"MODERATE",IF(AND(C37="OS",E37="Partially Consistent",OR(D37=2,D37=4)),"MODERATE","LOW"))))))</f>
        <v/>
      </c>
      <c r="H37" t="inlineStr"/>
      <c r="I37" t="inlineStr"/>
      <c r="J37" t="inlineStr"/>
      <c r="K37" t="inlineStr"/>
      <c r="L37" t="inlineStr"/>
      <c r="M37" t="inlineStr">
        <is>
          <t>https://www.lazada.com.ph/products/pdp-i278633257-s14323854110.html</t>
        </is>
      </c>
      <c r="N37" t="n">
        <v>1</v>
      </c>
    </row>
    <row r="38">
      <c r="A38" t="inlineStr">
        <is>
          <t>all functions working, pero tatlo lang ba tlga gulong nya?</t>
        </is>
      </c>
      <c r="B38" t="inlineStr">
        <is>
          <t>NEUTRAL</t>
        </is>
      </c>
      <c r="C38">
        <f>IF(B38="NEUTRAL","TS","OS")</f>
        <v/>
      </c>
      <c r="D38" t="n">
        <v>4</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IF(AND(B38="NEUTRAL",F38="Low"),"LOW",IF(AND(C38="TS",F38="High",D38=3),"HIGH",IF(AND(C38="TS",F38="High",OR(D38=2,D38=4)),"MODERATE",IF(AND(C38="TS",F38="High",OR(D38=1,D38=5)),"LOW",IF(AND(C38="OS",E38="Consistent",OR(D38=1,D38=5)),"MODERATE",IF(AND(C38="OS",E38="Partially Consistent",OR(D38=2,D38=4)),"MODERATE","LOW"))))))</f>
        <v/>
      </c>
      <c r="H38" t="inlineStr"/>
      <c r="I38" t="inlineStr"/>
      <c r="J38" t="inlineStr"/>
      <c r="K38" t="inlineStr"/>
      <c r="L38" t="inlineStr"/>
      <c r="M38" t="inlineStr">
        <is>
          <t>https://www.lazada.com.ph/products/pdp-i278633257-s14323854110.html</t>
        </is>
      </c>
      <c r="N38" t="n">
        <v>1</v>
      </c>
    </row>
    <row r="39">
      <c r="A39" t="inlineStr">
        <is>
          <t>good product.</t>
        </is>
      </c>
      <c r="B39" t="inlineStr">
        <is>
          <t>POSITIVE</t>
        </is>
      </c>
      <c r="C39">
        <f>IF(B39="NEUTRAL","TS","OS")</f>
        <v/>
      </c>
      <c r="D39" t="n">
        <v>4</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IF(AND(B39="NEUTRAL",F39="Low"),"LOW",IF(AND(C39="TS",F39="High",D39=3),"HIGH",IF(AND(C39="TS",F39="High",OR(D39=2,D39=4)),"MODERATE",IF(AND(C39="TS",F39="High",OR(D39=1,D39=5)),"LOW",IF(AND(C39="OS",E39="Consistent",OR(D39=1,D39=5)),"MODERATE",IF(AND(C39="OS",E39="Partially Consistent",OR(D39=2,D39=4)),"MODERATE","LOW"))))))</f>
        <v/>
      </c>
      <c r="H39" t="inlineStr"/>
      <c r="I39" t="inlineStr"/>
      <c r="J39" t="inlineStr"/>
      <c r="K39" t="inlineStr"/>
      <c r="L39" t="inlineStr"/>
      <c r="M39" t="inlineStr">
        <is>
          <t>https://www.lazada.com.ph/products/pdp-i278633257-s14323854110.html</t>
        </is>
      </c>
      <c r="N39" t="n">
        <v>1</v>
      </c>
    </row>
    <row r="40">
      <c r="A40" t="inlineStr">
        <is>
          <t>maganda sya pero ang bilis uminit agad.</t>
        </is>
      </c>
      <c r="B40" t="inlineStr">
        <is>
          <t>NEUTRAL</t>
        </is>
      </c>
      <c r="C40">
        <f>IF(B40="NEUTRAL","TS","OS")</f>
        <v/>
      </c>
      <c r="D40" t="n">
        <v>4</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IF(AND(B40="NEUTRAL",F40="Low"),"LOW",IF(AND(C40="TS",F40="High",D40=3),"HIGH",IF(AND(C40="TS",F40="High",OR(D40=2,D40=4)),"MODERATE",IF(AND(C40="TS",F40="High",OR(D40=1,D40=5)),"LOW",IF(AND(C40="OS",E40="Consistent",OR(D40=1,D40=5)),"MODERATE",IF(AND(C40="OS",E40="Partially Consistent",OR(D40=2,D40=4)),"MODERATE","LOW"))))))</f>
        <v/>
      </c>
      <c r="H40" t="inlineStr"/>
      <c r="I40" t="inlineStr"/>
      <c r="J40" t="inlineStr"/>
      <c r="K40" t="inlineStr"/>
      <c r="L40" t="inlineStr"/>
      <c r="M40" t="inlineStr">
        <is>
          <t>https://www.lazada.com.ph/products/pdp-i278633257-s14323854110.html</t>
        </is>
      </c>
      <c r="N40" t="n">
        <v>1</v>
      </c>
    </row>
    <row r="41">
      <c r="A41" t="inlineStr">
        <is>
          <t>received the item a week ago in good condition and complete items. i' ve been using it everyday since then and it works as expected. great help for me.</t>
        </is>
      </c>
      <c r="B41" t="inlineStr">
        <is>
          <t>POSITIVE</t>
        </is>
      </c>
      <c r="C41">
        <f>IF(B41="NEUTRAL","TS","OS")</f>
        <v/>
      </c>
      <c r="D41" t="n">
        <v>4</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IF(AND(B41="NEUTRAL",F41="Low"),"LOW",IF(AND(C41="TS",F41="High",D41=3),"HIGH",IF(AND(C41="TS",F41="High",OR(D41=2,D41=4)),"MODERATE",IF(AND(C41="TS",F41="High",OR(D41=1,D41=5)),"LOW",IF(AND(C41="OS",E41="Consistent",OR(D41=1,D41=5)),"MODERATE",IF(AND(C41="OS",E41="Partially Consistent",OR(D41=2,D41=4)),"MODERATE","LOW"))))))</f>
        <v/>
      </c>
      <c r="H41" t="inlineStr"/>
      <c r="I41" t="inlineStr"/>
      <c r="J41" t="inlineStr"/>
      <c r="K41" t="inlineStr"/>
      <c r="L41" t="inlineStr"/>
      <c r="M41" t="inlineStr">
        <is>
          <t>https://www.lazada.com.ph/products/pdp-i278633257-s14323854110.html</t>
        </is>
      </c>
      <c r="N41" t="n">
        <v>1</v>
      </c>
    </row>
    <row r="42">
      <c r="A42" t="inlineStr">
        <is>
          <t>mahina ang pagigop. would u mind change.</t>
        </is>
      </c>
      <c r="B42" t="inlineStr">
        <is>
          <t>NEGATIVE</t>
        </is>
      </c>
      <c r="C42">
        <f>IF(B42="NEUTRAL","TS","OS")</f>
        <v/>
      </c>
      <c r="D42" t="n">
        <v>2</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IF(AND(B42="NEUTRAL",F42="Low"),"LOW",IF(AND(C42="TS",F42="High",D42=3),"HIGH",IF(AND(C42="TS",F42="High",OR(D42=2,D42=4)),"MODERATE",IF(AND(C42="TS",F42="High",OR(D42=1,D42=5)),"LOW",IF(AND(C42="OS",E42="Consistent",OR(D42=1,D42=5)),"MODERATE",IF(AND(C42="OS",E42="Partially Consistent",OR(D42=2,D42=4)),"MODERATE","LOW"))))))</f>
        <v/>
      </c>
      <c r="H42" t="inlineStr"/>
      <c r="I42" t="inlineStr"/>
      <c r="J42" t="inlineStr"/>
      <c r="K42" t="inlineStr"/>
      <c r="L42" t="inlineStr"/>
      <c r="M42" t="inlineStr">
        <is>
          <t>https://www.lazada.com.ph/products/pdp-i278633257-s14323854110.html</t>
        </is>
      </c>
      <c r="N42" t="n">
        <v>1</v>
      </c>
    </row>
    <row r="43">
      <c r="A43" t="inlineStr">
        <is>
          <t>nadiliver naman po agad. kaso lang po basag, although gumagana naman. nagmessage po ako sa supplier, walang reply.</t>
        </is>
      </c>
      <c r="B43" t="inlineStr">
        <is>
          <t>NEUTRAL</t>
        </is>
      </c>
      <c r="C43">
        <f>IF(B43="NEUTRAL","TS","OS")</f>
        <v/>
      </c>
      <c r="D43" t="n">
        <v>2</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IF(AND(B43="NEUTRAL",F43="Low"),"LOW",IF(AND(C43="TS",F43="High",D43=3),"HIGH",IF(AND(C43="TS",F43="High",OR(D43=2,D43=4)),"MODERATE",IF(AND(C43="TS",F43="High",OR(D43=1,D43=5)),"LOW",IF(AND(C43="OS",E43="Consistent",OR(D43=1,D43=5)),"MODERATE",IF(AND(C43="OS",E43="Partially Consistent",OR(D43=2,D43=4)),"MODERATE","LOW"))))))</f>
        <v/>
      </c>
      <c r="H43" t="inlineStr"/>
      <c r="I43" t="inlineStr"/>
      <c r="J43" t="inlineStr"/>
      <c r="K43" t="inlineStr"/>
      <c r="L43" t="inlineStr"/>
      <c r="M43" t="inlineStr">
        <is>
          <t>https://www.lazada.com.ph/products/pdp-i278633257-s14323854110.html</t>
        </is>
      </c>
      <c r="N43" t="n">
        <v>1</v>
      </c>
    </row>
    <row r="44">
      <c r="A44" t="inlineStr">
        <is>
          <t>ok naman ang item yun lang ang laki ng shipping 300 pesos.</t>
        </is>
      </c>
      <c r="B44" t="inlineStr">
        <is>
          <t>NEUTRAL</t>
        </is>
      </c>
      <c r="C44">
        <f>IF(B44="NEUTRAL","TS","OS")</f>
        <v/>
      </c>
      <c r="D44" t="n">
        <v>2</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IF(AND(B44="NEUTRAL",F44="Low"),"LOW",IF(AND(C44="TS",F44="High",D44=3),"HIGH",IF(AND(C44="TS",F44="High",OR(D44=2,D44=4)),"MODERATE",IF(AND(C44="TS",F44="High",OR(D44=1,D44=5)),"LOW",IF(AND(C44="OS",E44="Consistent",OR(D44=1,D44=5)),"MODERATE",IF(AND(C44="OS",E44="Partially Consistent",OR(D44=2,D44=4)),"MODERATE","LOW"))))))</f>
        <v/>
      </c>
      <c r="H44" t="inlineStr"/>
      <c r="I44" t="inlineStr"/>
      <c r="J44" t="inlineStr"/>
      <c r="K44" t="inlineStr"/>
      <c r="L44" t="inlineStr"/>
      <c r="M44" t="inlineStr">
        <is>
          <t>https://www.lazada.com.ph/products/pdp-i278633257-s14323854110.html</t>
        </is>
      </c>
      <c r="N44" t="n">
        <v>1</v>
      </c>
    </row>
    <row r="45">
      <c r="A45" t="inlineStr">
        <is>
          <t>low powered vacuum, much better to get powerhouse brand.</t>
        </is>
      </c>
      <c r="B45" t="inlineStr">
        <is>
          <t>NEGATIVE</t>
        </is>
      </c>
      <c r="C45">
        <f>IF(B45="NEUTRAL","TS","OS")</f>
        <v/>
      </c>
      <c r="D45" t="n">
        <v>2</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IF(AND(B45="NEUTRAL",F45="Low"),"LOW",IF(AND(C45="TS",F45="High",D45=3),"HIGH",IF(AND(C45="TS",F45="High",OR(D45=2,D45=4)),"MODERATE",IF(AND(C45="TS",F45="High",OR(D45=1,D45=5)),"LOW",IF(AND(C45="OS",E45="Consistent",OR(D45=1,D45=5)),"MODERATE",IF(AND(C45="OS",E45="Partially Consistent",OR(D45=2,D45=4)),"MODERATE","LOW"))))))</f>
        <v/>
      </c>
      <c r="H45" t="inlineStr"/>
      <c r="I45" t="inlineStr"/>
      <c r="J45" t="inlineStr"/>
      <c r="K45" t="inlineStr"/>
      <c r="L45" t="inlineStr"/>
      <c r="M45" t="inlineStr">
        <is>
          <t>https://www.lazada.com.ph/products/pdp-i278633257-s14323854110.html</t>
        </is>
      </c>
      <c r="N45" t="n">
        <v>1</v>
      </c>
    </row>
    <row r="46">
      <c r="A46" t="inlineStr">
        <is>
          <t>ok lng</t>
        </is>
      </c>
      <c r="B46" t="inlineStr">
        <is>
          <t>NEUTRAL</t>
        </is>
      </c>
      <c r="C46">
        <f>IF(B46="NEUTRAL","TS","OS")</f>
        <v/>
      </c>
      <c r="D46" t="n">
        <v>2</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IF(AND(B46="NEUTRAL",F46="Low"),"LOW",IF(AND(C46="TS",F46="High",D46=3),"HIGH",IF(AND(C46="TS",F46="High",OR(D46=2,D46=4)),"MODERATE",IF(AND(C46="TS",F46="High",OR(D46=1,D46=5)),"LOW",IF(AND(C46="OS",E46="Consistent",OR(D46=1,D46=5)),"MODERATE",IF(AND(C46="OS",E46="Partially Consistent",OR(D46=2,D46=4)),"MODERATE","LOW"))))))</f>
        <v/>
      </c>
      <c r="H46" t="inlineStr"/>
      <c r="I46" t="inlineStr"/>
      <c r="J46" t="inlineStr"/>
      <c r="K46" t="inlineStr"/>
      <c r="L46" t="inlineStr"/>
      <c r="M46" t="inlineStr">
        <is>
          <t>https://www.lazada.com.ph/products/pdp-i278633257-s14323854110.html</t>
        </is>
      </c>
      <c r="N46" t="n">
        <v>1</v>
      </c>
    </row>
    <row r="47">
      <c r="A47" t="inlineStr">
        <is>
          <t>may damage po ang item. so disapponted.</t>
        </is>
      </c>
      <c r="B47" t="inlineStr">
        <is>
          <t>NEGATIVE</t>
        </is>
      </c>
      <c r="C47">
        <f>IF(B47="NEUTRAL","TS","OS")</f>
        <v/>
      </c>
      <c r="D47" t="n">
        <v>2</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IF(AND(B47="NEUTRAL",F47="Low"),"LOW",IF(AND(C47="TS",F47="High",D47=3),"HIGH",IF(AND(C47="TS",F47="High",OR(D47=2,D47=4)),"MODERATE",IF(AND(C47="TS",F47="High",OR(D47=1,D47=5)),"LOW",IF(AND(C47="OS",E47="Consistent",OR(D47=1,D47=5)),"MODERATE",IF(AND(C47="OS",E47="Partially Consistent",OR(D47=2,D47=4)),"MODERATE","LOW"))))))</f>
        <v/>
      </c>
      <c r="H47" t="inlineStr"/>
      <c r="I47" t="inlineStr"/>
      <c r="J47" t="inlineStr"/>
      <c r="K47" t="inlineStr"/>
      <c r="L47" t="inlineStr"/>
      <c r="M47" t="inlineStr">
        <is>
          <t>https://www.lazada.com.ph/products/pdp-i278633257-s14323854110.html</t>
        </is>
      </c>
      <c r="N47" t="n">
        <v>1</v>
      </c>
    </row>
    <row r="48">
      <c r="A48" t="inlineStr">
        <is>
          <t>bought a vacuum cleaner. recieved a dish rack. seller rejected my request for refund and passed the blame to the courier. never buy again from this seller.</t>
        </is>
      </c>
      <c r="B48" t="inlineStr">
        <is>
          <t>NEGATIVE</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IF(AND(B48="NEUTRAL",F48="Low"),"LOW",IF(AND(C48="TS",F48="High",D48=3),"HIGH",IF(AND(C48="TS",F48="High",OR(D48=2,D48=4)),"MODERATE",IF(AND(C48="TS",F48="High",OR(D48=1,D48=5)),"LOW",IF(AND(C48="OS",E48="Consistent",OR(D48=1,D48=5)),"MODERATE",IF(AND(C48="OS",E48="Partially Consistent",OR(D48=2,D48=4)),"MODERATE","LOW"))))))</f>
        <v/>
      </c>
      <c r="H48" t="inlineStr"/>
      <c r="I48" t="inlineStr"/>
      <c r="J48" t="inlineStr"/>
      <c r="K48" t="inlineStr"/>
      <c r="L48" t="inlineStr"/>
      <c r="M48" t="inlineStr">
        <is>
          <t>https://www.lazada.com.ph/products/pdp-i278633257-s14323854110.html</t>
        </is>
      </c>
      <c r="N48" t="n">
        <v>1</v>
      </c>
    </row>
    <row r="49">
      <c r="A49" t="inlineStr">
        <is>
          <t>this is a big nonsense! i ordered vacuum cleaner and they sent me faceshiled and they wont refund my payment! a big waste of money! ! ! ! and they rejected my return refund and giving me headache calling lazada for me to get my money back! this is crazy seller! ! ! !</t>
        </is>
      </c>
      <c r="B49" t="inlineStr">
        <is>
          <t>NEGATIVE</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IF(AND(B49="NEUTRAL",F49="Low"),"LOW",IF(AND(C49="TS",F49="High",D49=3),"HIGH",IF(AND(C49="TS",F49="High",OR(D49=2,D49=4)),"MODERATE",IF(AND(C49="TS",F49="High",OR(D49=1,D49=5)),"LOW",IF(AND(C49="OS",E49="Consistent",OR(D49=1,D49=5)),"MODERATE",IF(AND(C49="OS",E49="Partially Consistent",OR(D49=2,D49=4)),"MODERATE","LOW"))))))</f>
        <v/>
      </c>
      <c r="H49" t="inlineStr"/>
      <c r="I49" t="inlineStr"/>
      <c r="J49" t="inlineStr"/>
      <c r="K49" t="inlineStr"/>
      <c r="L49" t="inlineStr"/>
      <c r="M49" t="inlineStr">
        <is>
          <t>https://www.lazada.com.ph/products/pdp-i278633257-s14323854110.html</t>
        </is>
      </c>
      <c r="N49" t="n">
        <v>1</v>
      </c>
    </row>
    <row r="50">
      <c r="A50" t="inlineStr">
        <is>
          <t>the item is damaged. umuusok po sya. please seller, refund my money. youre not replying po sa message ko.</t>
        </is>
      </c>
      <c r="B50" t="inlineStr">
        <is>
          <t>NEGATIVE</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IF(AND(B50="NEUTRAL",F50="Low"),"LOW",IF(AND(C50="TS",F50="High",D50=3),"HIGH",IF(AND(C50="TS",F50="High",OR(D50=2,D50=4)),"MODERATE",IF(AND(C50="TS",F50="High",OR(D50=1,D50=5)),"LOW",IF(AND(C50="OS",E50="Consistent",OR(D50=1,D50=5)),"MODERATE",IF(AND(C50="OS",E50="Partially Consistent",OR(D50=2,D50=4)),"MODERATE","LOW"))))))</f>
        <v/>
      </c>
      <c r="H50" t="inlineStr"/>
      <c r="I50" t="inlineStr"/>
      <c r="J50" t="inlineStr"/>
      <c r="K50" t="inlineStr"/>
      <c r="L50" t="inlineStr"/>
      <c r="M50" t="inlineStr">
        <is>
          <t>https://www.lazada.com.ph/products/pdp-i278633257-s14323854110.html</t>
        </is>
      </c>
      <c r="N50" t="n">
        <v>1</v>
      </c>
    </row>
    <row r="51">
      <c r="A51" t="inlineStr">
        <is>
          <t>okay ang product unfortunately wlang customer service si seller kahit magreport ka pa na may damage ung parts.</t>
        </is>
      </c>
      <c r="B51" t="inlineStr">
        <is>
          <t>NEGATIVE</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IF(AND(B51="NEUTRAL",F51="Low"),"LOW",IF(AND(C51="TS",F51="High",D51=3),"HIGH",IF(AND(C51="TS",F51="High",OR(D51=2,D51=4)),"MODERATE",IF(AND(C51="TS",F51="High",OR(D51=1,D51=5)),"LOW",IF(AND(C51="OS",E51="Consistent",OR(D51=1,D51=5)),"MODERATE",IF(AND(C51="OS",E51="Partially Consistent",OR(D51=2,D51=4)),"MODERATE","LOW"))))))</f>
        <v/>
      </c>
      <c r="H51" t="inlineStr"/>
      <c r="I51" t="inlineStr"/>
      <c r="J51" t="inlineStr"/>
      <c r="K51" t="inlineStr"/>
      <c r="L51" t="inlineStr"/>
      <c r="M51" t="inlineStr">
        <is>
          <t>https://www.lazada.com.ph/products/pdp-i278633257-s14323854110.html</t>
        </is>
      </c>
      <c r="N51" t="n">
        <v>1</v>
      </c>
    </row>
    <row r="52">
      <c r="A52" t="inlineStr">
        <is>
          <t>this item does not include the hepa filter as shown in the box and did not state this in the item description. the seller states that the hepa filter is sold separately but unable to find one here in lazada. the suction power is mediocre at best and the part are loose and hard to user. i will be returning this item.</t>
        </is>
      </c>
      <c r="B52" t="inlineStr">
        <is>
          <t>NEUTRAL</t>
        </is>
      </c>
      <c r="C52">
        <f>IF(B52="NEUTRAL","TS","OS")</f>
        <v/>
      </c>
      <c r="D52" t="n">
        <v>1</v>
      </c>
      <c r="E52">
        <f>IF(C52="TS",IF(D52=3,"Consistent",IF(OR(D52=2,D52=4),"Partially Consistent","Inconsistent")),IF(D52=3,"Inconsistent",IF(AND(D52=5,B52="POSITIVE"),"Consistent",IF(AND(D52=1,B52="NEGATIVE"),"Consistent",IF(AND(D52=4,B52="POSITIVE"),"Partially Consistent",IF(AND(D52=2,B52="NEGATIVE"),"Partially Consistent","Inconsistent"))))))</f>
        <v/>
      </c>
      <c r="F52">
        <f>IF(C52="TS","High","Low")</f>
        <v/>
      </c>
      <c r="G52">
        <f>IF(AND(B52="NEUTRAL",F52="Low"),"LOW",IF(AND(C52="TS",F52="High",D52=3),"HIGH",IF(AND(C52="TS",F52="High",OR(D52=2,D52=4)),"MODERATE",IF(AND(C52="TS",F52="High",OR(D52=1,D52=5)),"LOW",IF(AND(C52="OS",E52="Consistent",OR(D52=1,D52=5)),"MODERATE",IF(AND(C52="OS",E52="Partially Consistent",OR(D52=2,D52=4)),"MODERATE","LOW"))))))</f>
        <v/>
      </c>
      <c r="H52" t="inlineStr"/>
      <c r="I52" t="inlineStr"/>
      <c r="J52" t="inlineStr"/>
      <c r="K52" t="inlineStr"/>
      <c r="L52" t="inlineStr"/>
      <c r="M52" t="inlineStr">
        <is>
          <t>https://www.lazada.com.ph/products/pdp-i278633257-s14323854110.html</t>
        </is>
      </c>
      <c r="N52" t="n">
        <v>1</v>
      </c>
    </row>
    <row r="53">
      <c r="A53" t="inlineStr">
        <is>
          <t>wrong item received. . paki double check ninyo before ninyo e packed yong item. . klaro naman na vacuum cleaner ang description sa inorder ko. . bakit pinadala pa ninyo. . second time na ninyo na wrong item pinadala ninyo from different buyer nakita ko sa mga reviews ninyo na nagkamali na kayo wrong item pinadala. . mag oorder ako ulit palitan ninyo ng insakto. .</t>
        </is>
      </c>
      <c r="B53" t="inlineStr">
        <is>
          <t>NEGATIVE</t>
        </is>
      </c>
      <c r="C53">
        <f>IF(B53="NEUTRAL","TS","OS")</f>
        <v/>
      </c>
      <c r="D53" t="n">
        <v>1</v>
      </c>
      <c r="E53">
        <f>IF(C53="TS",IF(D53=3,"Consistent",IF(OR(D53=2,D53=4),"Partially Consistent","Inconsistent")),IF(D53=3,"Inconsistent",IF(AND(D53=5,B53="POSITIVE"),"Consistent",IF(AND(D53=1,B53="NEGATIVE"),"Consistent",IF(AND(D53=4,B53="POSITIVE"),"Partially Consistent",IF(AND(D53=2,B53="NEGATIVE"),"Partially Consistent","Inconsistent"))))))</f>
        <v/>
      </c>
      <c r="F53">
        <f>IF(C53="TS","High","Low")</f>
        <v/>
      </c>
      <c r="G53">
        <f>IF(AND(B53="NEUTRAL",F53="Low"),"LOW",IF(AND(C53="TS",F53="High",D53=3),"HIGH",IF(AND(C53="TS",F53="High",OR(D53=2,D53=4)),"MODERATE",IF(AND(C53="TS",F53="High",OR(D53=1,D53=5)),"LOW",IF(AND(C53="OS",E53="Consistent",OR(D53=1,D53=5)),"MODERATE",IF(AND(C53="OS",E53="Partially Consistent",OR(D53=2,D53=4)),"MODERATE","LOW"))))))</f>
        <v/>
      </c>
      <c r="H53" t="inlineStr"/>
      <c r="I53" t="inlineStr"/>
      <c r="J53" t="inlineStr"/>
      <c r="K53" t="inlineStr"/>
      <c r="L53" t="inlineStr"/>
      <c r="M53" t="inlineStr">
        <is>
          <t>https://www.lazada.com.ph/products/pdp-i278633257-s14323854110.html</t>
        </is>
      </c>
      <c r="N53" t="n">
        <v>1</v>
      </c>
    </row>
    <row r="54">
      <c r="A54" t="inlineStr">
        <is>
          <t>ive risked buying this product as the price is really low compared to other known vacumm brands. however, aside from the machine heats up quickly, a noticeable smell of electricity is apparent while using it. ill commend the seller for a very fast shipping but for the quality of the product, ill thumb it down. might not use this again.</t>
        </is>
      </c>
      <c r="B54" t="inlineStr">
        <is>
          <t>NEUTRAL</t>
        </is>
      </c>
      <c r="C54">
        <f>IF(B54="NEUTRAL","TS","OS")</f>
        <v/>
      </c>
      <c r="D54" t="n">
        <v>1</v>
      </c>
      <c r="E54">
        <f>IF(C54="TS",IF(D54=3,"Consistent",IF(OR(D54=2,D54=4),"Partially Consistent","Inconsistent")),IF(D54=3,"Inconsistent",IF(AND(D54=5,B54="POSITIVE"),"Consistent",IF(AND(D54=1,B54="NEGATIVE"),"Consistent",IF(AND(D54=4,B54="POSITIVE"),"Partially Consistent",IF(AND(D54=2,B54="NEGATIVE"),"Partially Consistent","Inconsistent"))))))</f>
        <v/>
      </c>
      <c r="F54">
        <f>IF(C54="TS","High","Low")</f>
        <v/>
      </c>
      <c r="G54">
        <f>IF(AND(B54="NEUTRAL",F54="Low"),"LOW",IF(AND(C54="TS",F54="High",D54=3),"HIGH",IF(AND(C54="TS",F54="High",OR(D54=2,D54=4)),"MODERATE",IF(AND(C54="TS",F54="High",OR(D54=1,D54=5)),"LOW",IF(AND(C54="OS",E54="Consistent",OR(D54=1,D54=5)),"MODERATE",IF(AND(C54="OS",E54="Partially Consistent",OR(D54=2,D54=4)),"MODERATE","LOW"))))))</f>
        <v/>
      </c>
      <c r="H54" t="inlineStr"/>
      <c r="I54" t="inlineStr"/>
      <c r="J54" t="inlineStr"/>
      <c r="K54" t="inlineStr"/>
      <c r="L54" t="inlineStr"/>
      <c r="M54" t="inlineStr">
        <is>
          <t>https://www.lazada.com.ph/products/pdp-i278633257-s14323854110.html</t>
        </is>
      </c>
      <c r="N54" t="n">
        <v>1</v>
      </c>
    </row>
    <row r="55">
      <c r="A55" t="inlineStr">
        <is>
          <t>vacuum po ang order ko at ito po ang dineliver</t>
        </is>
      </c>
      <c r="B55" t="inlineStr">
        <is>
          <t>POSITIVE</t>
        </is>
      </c>
      <c r="C55">
        <f>IF(B55="NEUTRAL","TS","OS")</f>
        <v/>
      </c>
      <c r="D55" t="n">
        <v>1</v>
      </c>
      <c r="E55">
        <f>IF(C55="TS",IF(D55=3,"Consistent",IF(OR(D55=2,D55=4),"Partially Consistent","Inconsistent")),IF(D55=3,"Inconsistent",IF(AND(D55=5,B55="POSITIVE"),"Consistent",IF(AND(D55=1,B55="NEGATIVE"),"Consistent",IF(AND(D55=4,B55="POSITIVE"),"Partially Consistent",IF(AND(D55=2,B55="NEGATIVE"),"Partially Consistent","Inconsistent"))))))</f>
        <v/>
      </c>
      <c r="F55">
        <f>IF(C55="TS","High","Low")</f>
        <v/>
      </c>
      <c r="G55">
        <f>IF(AND(B55="NEUTRAL",F55="Low"),"LOW",IF(AND(C55="TS",F55="High",D55=3),"HIGH",IF(AND(C55="TS",F55="High",OR(D55=2,D55=4)),"MODERATE",IF(AND(C55="TS",F55="High",OR(D55=1,D55=5)),"LOW",IF(AND(C55="OS",E55="Consistent",OR(D55=1,D55=5)),"MODERATE",IF(AND(C55="OS",E55="Partially Consistent",OR(D55=2,D55=4)),"MODERATE","LOW"))))))</f>
        <v/>
      </c>
      <c r="H55" t="inlineStr"/>
      <c r="I55" t="inlineStr"/>
      <c r="J55" t="inlineStr"/>
      <c r="K55" t="inlineStr"/>
      <c r="L55" t="inlineStr"/>
      <c r="M55" t="inlineStr">
        <is>
          <t>https://www.lazada.com.ph/products/pdp-i278633257-s14323854110.html</t>
        </is>
      </c>
      <c r="N55" t="n">
        <v>1</v>
      </c>
    </row>
    <row r="56">
      <c r="A56" t="inlineStr">
        <is>
          <t>physical damage broken lock also the box is already resealed at the bottom part with double tape request for refund or replacement asap</t>
        </is>
      </c>
      <c r="B56" t="inlineStr">
        <is>
          <t>NEUTRAL</t>
        </is>
      </c>
      <c r="C56">
        <f>IF(B56="NEUTRAL","TS","OS")</f>
        <v/>
      </c>
      <c r="D56" t="n">
        <v>1</v>
      </c>
      <c r="E56">
        <f>IF(C56="TS",IF(D56=3,"Consistent",IF(OR(D56=2,D56=4),"Partially Consistent","Inconsistent")),IF(D56=3,"Inconsistent",IF(AND(D56=5,B56="POSITIVE"),"Consistent",IF(AND(D56=1,B56="NEGATIVE"),"Consistent",IF(AND(D56=4,B56="POSITIVE"),"Partially Consistent",IF(AND(D56=2,B56="NEGATIVE"),"Partially Consistent","Inconsistent"))))))</f>
        <v/>
      </c>
      <c r="F56">
        <f>IF(C56="TS","High","Low")</f>
        <v/>
      </c>
      <c r="G56">
        <f>IF(AND(B56="NEUTRAL",F56="Low"),"LOW",IF(AND(C56="TS",F56="High",D56=3),"HIGH",IF(AND(C56="TS",F56="High",OR(D56=2,D56=4)),"MODERATE",IF(AND(C56="TS",F56="High",OR(D56=1,D56=5)),"LOW",IF(AND(C56="OS",E56="Consistent",OR(D56=1,D56=5)),"MODERATE",IF(AND(C56="OS",E56="Partially Consistent",OR(D56=2,D56=4)),"MODERATE","LOW"))))))</f>
        <v/>
      </c>
      <c r="H56" t="inlineStr"/>
      <c r="I56" t="inlineStr"/>
      <c r="J56" t="inlineStr"/>
      <c r="K56" t="inlineStr"/>
      <c r="L56" t="inlineStr"/>
      <c r="M56" t="inlineStr">
        <is>
          <t>https://www.lazada.com.ph/products/pdp-i278633257-s14323854110.html</t>
        </is>
      </c>
      <c r="N56" t="n">
        <v>1</v>
      </c>
    </row>
    <row r="57">
      <c r="A57" t="inlineStr">
        <is>
          <t>mahina ang higop ng hangin. mabilis pa uminit</t>
        </is>
      </c>
      <c r="B57" t="inlineStr">
        <is>
          <t>NEUTRAL</t>
        </is>
      </c>
      <c r="C57">
        <f>IF(B57="NEUTRAL","TS","OS")</f>
        <v/>
      </c>
      <c r="D57" t="n">
        <v>1</v>
      </c>
      <c r="E57">
        <f>IF(C57="TS",IF(D57=3,"Consistent",IF(OR(D57=2,D57=4),"Partially Consistent","Inconsistent")),IF(D57=3,"Inconsistent",IF(AND(D57=5,B57="POSITIVE"),"Consistent",IF(AND(D57=1,B57="NEGATIVE"),"Consistent",IF(AND(D57=4,B57="POSITIVE"),"Partially Consistent",IF(AND(D57=2,B57="NEGATIVE"),"Partially Consistent","Inconsistent"))))))</f>
        <v/>
      </c>
      <c r="F57">
        <f>IF(C57="TS","High","Low")</f>
        <v/>
      </c>
      <c r="G57">
        <f>IF(AND(B57="NEUTRAL",F57="Low"),"LOW",IF(AND(C57="TS",F57="High",D57=3),"HIGH",IF(AND(C57="TS",F57="High",OR(D57=2,D57=4)),"MODERATE",IF(AND(C57="TS",F57="High",OR(D57=1,D57=5)),"LOW",IF(AND(C57="OS",E57="Consistent",OR(D57=1,D57=5)),"MODERATE",IF(AND(C57="OS",E57="Partially Consistent",OR(D57=2,D57=4)),"MODERATE","LOW"))))))</f>
        <v/>
      </c>
      <c r="H57" t="inlineStr"/>
      <c r="I57" t="inlineStr"/>
      <c r="J57" t="inlineStr"/>
      <c r="K57" t="inlineStr"/>
      <c r="L57" t="inlineStr"/>
      <c r="M57" t="inlineStr">
        <is>
          <t>https://www.lazada.com.ph/products/pdp-i278633257-s14323854110.html</t>
        </is>
      </c>
      <c r="N57" t="n">
        <v>1</v>
      </c>
    </row>
    <row r="58">
      <c r="A58" t="inlineStr">
        <is>
          <t>wrong item received. di din magandang kausap seller</t>
        </is>
      </c>
      <c r="B58" t="inlineStr">
        <is>
          <t>NEGATIVE</t>
        </is>
      </c>
      <c r="C58">
        <f>IF(B58="NEUTRAL","TS","OS")</f>
        <v/>
      </c>
      <c r="D58" t="n">
        <v>1</v>
      </c>
      <c r="E58">
        <f>IF(C58="TS",IF(D58=3,"Consistent",IF(OR(D58=2,D58=4),"Partially Consistent","Inconsistent")),IF(D58=3,"Inconsistent",IF(AND(D58=5,B58="POSITIVE"),"Consistent",IF(AND(D58=1,B58="NEGATIVE"),"Consistent",IF(AND(D58=4,B58="POSITIVE"),"Partially Consistent",IF(AND(D58=2,B58="NEGATIVE"),"Partially Consistent","Inconsistent"))))))</f>
        <v/>
      </c>
      <c r="F58">
        <f>IF(C58="TS","High","Low")</f>
        <v/>
      </c>
      <c r="G58">
        <f>IF(AND(B58="NEUTRAL",F58="Low"),"LOW",IF(AND(C58="TS",F58="High",D58=3),"HIGH",IF(AND(C58="TS",F58="High",OR(D58=2,D58=4)),"MODERATE",IF(AND(C58="TS",F58="High",OR(D58=1,D58=5)),"LOW",IF(AND(C58="OS",E58="Consistent",OR(D58=1,D58=5)),"MODERATE",IF(AND(C58="OS",E58="Partially Consistent",OR(D58=2,D58=4)),"MODERATE","LOW"))))))</f>
        <v/>
      </c>
      <c r="H58" t="inlineStr"/>
      <c r="I58" t="inlineStr"/>
      <c r="J58" t="inlineStr"/>
      <c r="K58" t="inlineStr"/>
      <c r="L58" t="inlineStr"/>
      <c r="M58" t="inlineStr">
        <is>
          <t>https://www.lazada.com.ph/products/pdp-i278633257-s14323854110.html</t>
        </is>
      </c>
      <c r="N58" t="n">
        <v>1</v>
      </c>
    </row>
    <row r="59">
      <c r="A59" t="inlineStr">
        <is>
          <t>pangalawang gamit hina ng suction nya. buti na lang may warranty at na return at na refund naman ako.</t>
        </is>
      </c>
      <c r="B59" t="inlineStr">
        <is>
          <t>NEGATIVE</t>
        </is>
      </c>
      <c r="C59">
        <f>IF(B59="NEUTRAL","TS","OS")</f>
        <v/>
      </c>
      <c r="D59" t="n">
        <v>1</v>
      </c>
      <c r="E59">
        <f>IF(C59="TS",IF(D59=3,"Consistent",IF(OR(D59=2,D59=4),"Partially Consistent","Inconsistent")),IF(D59=3,"Inconsistent",IF(AND(D59=5,B59="POSITIVE"),"Consistent",IF(AND(D59=1,B59="NEGATIVE"),"Consistent",IF(AND(D59=4,B59="POSITIVE"),"Partially Consistent",IF(AND(D59=2,B59="NEGATIVE"),"Partially Consistent","Inconsistent"))))))</f>
        <v/>
      </c>
      <c r="F59">
        <f>IF(C59="TS","High","Low")</f>
        <v/>
      </c>
      <c r="G59">
        <f>IF(AND(B59="NEUTRAL",F59="Low"),"LOW",IF(AND(C59="TS",F59="High",D59=3),"HIGH",IF(AND(C59="TS",F59="High",OR(D59=2,D59=4)),"MODERATE",IF(AND(C59="TS",F59="High",OR(D59=1,D59=5)),"LOW",IF(AND(C59="OS",E59="Consistent",OR(D59=1,D59=5)),"MODERATE",IF(AND(C59="OS",E59="Partially Consistent",OR(D59=2,D59=4)),"MODERATE","LOW"))))))</f>
        <v/>
      </c>
      <c r="H59" t="inlineStr"/>
      <c r="I59" t="inlineStr"/>
      <c r="J59" t="inlineStr"/>
      <c r="K59" t="inlineStr"/>
      <c r="L59" t="inlineStr"/>
      <c r="M59" t="inlineStr">
        <is>
          <t>https://www.lazada.com.ph/products/pdp-i278633257-s14323854110.html</t>
        </is>
      </c>
      <c r="N59" t="n">
        <v>1</v>
      </c>
    </row>
    <row r="60">
      <c r="A60" t="inlineStr">
        <is>
          <t>the product is excellent good buy!</t>
        </is>
      </c>
      <c r="B60" t="inlineStr">
        <is>
          <t>POSITIVE</t>
        </is>
      </c>
      <c r="C60">
        <f>IF(B60="NEUTRAL","TS","OS")</f>
        <v/>
      </c>
      <c r="D60" t="n">
        <v>1</v>
      </c>
      <c r="E60">
        <f>IF(C60="TS",IF(D60=3,"Consistent",IF(OR(D60=2,D60=4),"Partially Consistent","Inconsistent")),IF(D60=3,"Inconsistent",IF(AND(D60=5,B60="POSITIVE"),"Consistent",IF(AND(D60=1,B60="NEGATIVE"),"Consistent",IF(AND(D60=4,B60="POSITIVE"),"Partially Consistent",IF(AND(D60=2,B60="NEGATIVE"),"Partially Consistent","Inconsistent"))))))</f>
        <v/>
      </c>
      <c r="F60">
        <f>IF(C60="TS","High","Low")</f>
        <v/>
      </c>
      <c r="G60">
        <f>IF(AND(B60="NEUTRAL",F60="Low"),"LOW",IF(AND(C60="TS",F60="High",D60=3),"HIGH",IF(AND(C60="TS",F60="High",OR(D60=2,D60=4)),"MODERATE",IF(AND(C60="TS",F60="High",OR(D60=1,D60=5)),"LOW",IF(AND(C60="OS",E60="Consistent",OR(D60=1,D60=5)),"MODERATE",IF(AND(C60="OS",E60="Partially Consistent",OR(D60=2,D60=4)),"MODERATE","LOW"))))))</f>
        <v/>
      </c>
      <c r="H60" t="inlineStr"/>
      <c r="I60" t="inlineStr"/>
      <c r="J60" t="inlineStr"/>
      <c r="K60" t="inlineStr"/>
      <c r="L60" t="inlineStr"/>
      <c r="M60" t="inlineStr">
        <is>
          <t>https://www.lazada.com.ph/products/pdp-i278633257-s14323854110.html</t>
        </is>
      </c>
      <c r="N60" t="n">
        <v>1</v>
      </c>
    </row>
    <row r="61">
      <c r="A61" t="inlineStr">
        <is>
          <t>sinungaling ang seller na ito. ang nakapost sa advertisement nila ay fujihama brand at 60hz pero ng matanggap ko 50hz. the vacuum looks generic wala man lang tatak. i don' t recommend this seller.</t>
        </is>
      </c>
      <c r="B61" t="inlineStr">
        <is>
          <t>NEGATIVE</t>
        </is>
      </c>
      <c r="C61">
        <f>IF(B61="NEUTRAL","TS","OS")</f>
        <v/>
      </c>
      <c r="D61" t="n">
        <v>1</v>
      </c>
      <c r="E61">
        <f>IF(C61="TS",IF(D61=3,"Consistent",IF(OR(D61=2,D61=4),"Partially Consistent","Inconsistent")),IF(D61=3,"Inconsistent",IF(AND(D61=5,B61="POSITIVE"),"Consistent",IF(AND(D61=1,B61="NEGATIVE"),"Consistent",IF(AND(D61=4,B61="POSITIVE"),"Partially Consistent",IF(AND(D61=2,B61="NEGATIVE"),"Partially Consistent","Inconsistent"))))))</f>
        <v/>
      </c>
      <c r="F61">
        <f>IF(C61="TS","High","Low")</f>
        <v/>
      </c>
      <c r="G61">
        <f>IF(AND(B61="NEUTRAL",F61="Low"),"LOW",IF(AND(C61="TS",F61="High",D61=3),"HIGH",IF(AND(C61="TS",F61="High",OR(D61=2,D61=4)),"MODERATE",IF(AND(C61="TS",F61="High",OR(D61=1,D61=5)),"LOW",IF(AND(C61="OS",E61="Consistent",OR(D61=1,D61=5)),"MODERATE",IF(AND(C61="OS",E61="Partially Consistent",OR(D61=2,D61=4)),"MODERATE","LOW"))))))</f>
        <v/>
      </c>
      <c r="H61" t="inlineStr"/>
      <c r="I61" t="inlineStr"/>
      <c r="J61" t="inlineStr"/>
      <c r="K61" t="inlineStr"/>
      <c r="L61" t="inlineStr"/>
      <c r="M61" t="inlineStr">
        <is>
          <t>https://www.lazada.com.ph/products/pdp-i278633257-s14323854110.html</t>
        </is>
      </c>
      <c r="N61" t="n">
        <v>1</v>
      </c>
    </row>
    <row r="62">
      <c r="A62" t="inlineStr">
        <is>
          <t>bought a vacuum cleaner. recieved a dish rack. seller rejected my request for refund and passed the blame to the courier. never buy again from this seller.</t>
        </is>
      </c>
      <c r="B62" t="inlineStr">
        <is>
          <t>NEGATIVE</t>
        </is>
      </c>
      <c r="C62">
        <f>IF(B62="NEUTRAL","TS","OS")</f>
        <v/>
      </c>
      <c r="D62" t="n">
        <v>1</v>
      </c>
      <c r="E62">
        <f>IF(C62="TS",IF(D62=3,"Consistent",IF(OR(D62=2,D62=4),"Partially Consistent","Inconsistent")),IF(D62=3,"Inconsistent",IF(AND(D62=5,B62="POSITIVE"),"Consistent",IF(AND(D62=1,B62="NEGATIVE"),"Consistent",IF(AND(D62=4,B62="POSITIVE"),"Partially Consistent",IF(AND(D62=2,B62="NEGATIVE"),"Partially Consistent","Inconsistent"))))))</f>
        <v/>
      </c>
      <c r="F62">
        <f>IF(C62="TS","High","Low")</f>
        <v/>
      </c>
      <c r="G62">
        <f>IF(AND(B62="NEUTRAL",F62="Low"),"LOW",IF(AND(C62="TS",F62="High",D62=3),"HIGH",IF(AND(C62="TS",F62="High",OR(D62=2,D62=4)),"MODERATE",IF(AND(C62="TS",F62="High",OR(D62=1,D62=5)),"LOW",IF(AND(C62="OS",E62="Consistent",OR(D62=1,D62=5)),"MODERATE",IF(AND(C62="OS",E62="Partially Consistent",OR(D62=2,D62=4)),"MODERATE","LOW"))))))</f>
        <v/>
      </c>
      <c r="H62" t="inlineStr"/>
      <c r="I62" t="inlineStr"/>
      <c r="J62" t="inlineStr"/>
      <c r="K62" t="inlineStr"/>
      <c r="L62" t="inlineStr"/>
      <c r="M62" t="inlineStr">
        <is>
          <t>https://www.lazada.com.ph/products/pdp-i278633257-s14323854110.html</t>
        </is>
      </c>
      <c r="N62" t="n">
        <v>1</v>
      </c>
    </row>
    <row r="63">
      <c r="A63" t="inlineStr">
        <is>
          <t>this is a big nonsense! i ordered vacuum cleaner and they sent me faceshiled and they wont refund my payment! a big waste of money! ! ! ! and they rejected my return refund and giving me headache calling lazada for me to get my money back! this is crazy seller! ! ! !</t>
        </is>
      </c>
      <c r="B63" t="inlineStr">
        <is>
          <t>NEGATIVE</t>
        </is>
      </c>
      <c r="C63">
        <f>IF(B63="NEUTRAL","TS","OS")</f>
        <v/>
      </c>
      <c r="D63" t="n">
        <v>1</v>
      </c>
      <c r="E63">
        <f>IF(C63="TS",IF(D63=3,"Consistent",IF(OR(D63=2,D63=4),"Partially Consistent","Inconsistent")),IF(D63=3,"Inconsistent",IF(AND(D63=5,B63="POSITIVE"),"Consistent",IF(AND(D63=1,B63="NEGATIVE"),"Consistent",IF(AND(D63=4,B63="POSITIVE"),"Partially Consistent",IF(AND(D63=2,B63="NEGATIVE"),"Partially Consistent","Inconsistent"))))))</f>
        <v/>
      </c>
      <c r="F63">
        <f>IF(C63="TS","High","Low")</f>
        <v/>
      </c>
      <c r="G63">
        <f>IF(AND(B63="NEUTRAL",F63="Low"),"LOW",IF(AND(C63="TS",F63="High",D63=3),"HIGH",IF(AND(C63="TS",F63="High",OR(D63=2,D63=4)),"MODERATE",IF(AND(C63="TS",F63="High",OR(D63=1,D63=5)),"LOW",IF(AND(C63="OS",E63="Consistent",OR(D63=1,D63=5)),"MODERATE",IF(AND(C63="OS",E63="Partially Consistent",OR(D63=2,D63=4)),"MODERATE","LOW"))))))</f>
        <v/>
      </c>
      <c r="H63" t="inlineStr"/>
      <c r="I63" t="inlineStr"/>
      <c r="J63" t="inlineStr"/>
      <c r="K63" t="inlineStr"/>
      <c r="L63" t="inlineStr"/>
      <c r="M63" t="inlineStr">
        <is>
          <t>https://www.lazada.com.ph/products/pdp-i278633257-s14323854110.html</t>
        </is>
      </c>
      <c r="N63" t="n">
        <v>1</v>
      </c>
    </row>
    <row r="64">
      <c r="A64" t="inlineStr">
        <is>
          <t>the item is damaged. umuusok po sya. please seller, refund my money. youre not replying po sa message ko.</t>
        </is>
      </c>
      <c r="B64" t="inlineStr">
        <is>
          <t>NEGATIVE</t>
        </is>
      </c>
      <c r="C64">
        <f>IF(B64="NEUTRAL","TS","OS")</f>
        <v/>
      </c>
      <c r="D64" t="n">
        <v>1</v>
      </c>
      <c r="E64">
        <f>IF(C64="TS",IF(D64=3,"Consistent",IF(OR(D64=2,D64=4),"Partially Consistent","Inconsistent")),IF(D64=3,"Inconsistent",IF(AND(D64=5,B64="POSITIVE"),"Consistent",IF(AND(D64=1,B64="NEGATIVE"),"Consistent",IF(AND(D64=4,B64="POSITIVE"),"Partially Consistent",IF(AND(D64=2,B64="NEGATIVE"),"Partially Consistent","Inconsistent"))))))</f>
        <v/>
      </c>
      <c r="F64">
        <f>IF(C64="TS","High","Low")</f>
        <v/>
      </c>
      <c r="G64">
        <f>IF(AND(B64="NEUTRAL",F64="Low"),"LOW",IF(AND(C64="TS",F64="High",D64=3),"HIGH",IF(AND(C64="TS",F64="High",OR(D64=2,D64=4)),"MODERATE",IF(AND(C64="TS",F64="High",OR(D64=1,D64=5)),"LOW",IF(AND(C64="OS",E64="Consistent",OR(D64=1,D64=5)),"MODERATE",IF(AND(C64="OS",E64="Partially Consistent",OR(D64=2,D64=4)),"MODERATE","LOW"))))))</f>
        <v/>
      </c>
      <c r="H64" t="inlineStr"/>
      <c r="I64" t="inlineStr"/>
      <c r="J64" t="inlineStr"/>
      <c r="K64" t="inlineStr"/>
      <c r="L64" t="inlineStr"/>
      <c r="M64" t="inlineStr">
        <is>
          <t>https://www.lazada.com.ph/products/pdp-i278633257-s14323854110.html</t>
        </is>
      </c>
      <c r="N64" t="n">
        <v>1</v>
      </c>
    </row>
    <row r="65">
      <c r="A65" t="inlineStr">
        <is>
          <t>okay ang product unfortunately wlang customer service si seller kahit magreport ka pa na may damage ung parts.</t>
        </is>
      </c>
      <c r="B65" t="inlineStr">
        <is>
          <t>NEGATIVE</t>
        </is>
      </c>
      <c r="C65">
        <f>IF(B65="NEUTRAL","TS","OS")</f>
        <v/>
      </c>
      <c r="D65" t="n">
        <v>1</v>
      </c>
      <c r="E65">
        <f>IF(C65="TS",IF(D65=3,"Consistent",IF(OR(D65=2,D65=4),"Partially Consistent","Inconsistent")),IF(D65=3,"Inconsistent",IF(AND(D65=5,B65="POSITIVE"),"Consistent",IF(AND(D65=1,B65="NEGATIVE"),"Consistent",IF(AND(D65=4,B65="POSITIVE"),"Partially Consistent",IF(AND(D65=2,B65="NEGATIVE"),"Partially Consistent","Inconsistent"))))))</f>
        <v/>
      </c>
      <c r="F65">
        <f>IF(C65="TS","High","Low")</f>
        <v/>
      </c>
      <c r="G65">
        <f>IF(AND(B65="NEUTRAL",F65="Low"),"LOW",IF(AND(C65="TS",F65="High",D65=3),"HIGH",IF(AND(C65="TS",F65="High",OR(D65=2,D65=4)),"MODERATE",IF(AND(C65="TS",F65="High",OR(D65=1,D65=5)),"LOW",IF(AND(C65="OS",E65="Consistent",OR(D65=1,D65=5)),"MODERATE",IF(AND(C65="OS",E65="Partially Consistent",OR(D65=2,D65=4)),"MODERATE","LOW"))))))</f>
        <v/>
      </c>
      <c r="H65" t="inlineStr"/>
      <c r="I65" t="inlineStr"/>
      <c r="J65" t="inlineStr"/>
      <c r="K65" t="inlineStr"/>
      <c r="L65" t="inlineStr"/>
      <c r="M65" t="inlineStr">
        <is>
          <t>https://www.lazada.com.ph/products/pdp-i278633257-s14323854110.html</t>
        </is>
      </c>
      <c r="N65" t="n">
        <v>1</v>
      </c>
    </row>
    <row r="66">
      <c r="A66" t="inlineStr">
        <is>
          <t>this item does not include the hepa filter as shown in the box and did not state this in the item description. the seller states that the hepa filter is sold separately but unable to find one here in lazada. the suction power is mediocre at best and the part are loose and hard to user. i will be returning this item.</t>
        </is>
      </c>
      <c r="B66" t="inlineStr">
        <is>
          <t>NEUTRAL</t>
        </is>
      </c>
      <c r="C66">
        <f>IF(B66="NEUTRAL","TS","OS")</f>
        <v/>
      </c>
      <c r="D66" t="n">
        <v>1</v>
      </c>
      <c r="E66">
        <f>IF(C66="TS",IF(D66=3,"Consistent",IF(OR(D66=2,D66=4),"Partially Consistent","Inconsistent")),IF(D66=3,"Inconsistent",IF(AND(D66=5,B66="POSITIVE"),"Consistent",IF(AND(D66=1,B66="NEGATIVE"),"Consistent",IF(AND(D66=4,B66="POSITIVE"),"Partially Consistent",IF(AND(D66=2,B66="NEGATIVE"),"Partially Consistent","Inconsistent"))))))</f>
        <v/>
      </c>
      <c r="F66">
        <f>IF(C66="TS","High","Low")</f>
        <v/>
      </c>
      <c r="G66">
        <f>IF(AND(B66="NEUTRAL",F66="Low"),"LOW",IF(AND(C66="TS",F66="High",D66=3),"HIGH",IF(AND(C66="TS",F66="High",OR(D66=2,D66=4)),"MODERATE",IF(AND(C66="TS",F66="High",OR(D66=1,D66=5)),"LOW",IF(AND(C66="OS",E66="Consistent",OR(D66=1,D66=5)),"MODERATE",IF(AND(C66="OS",E66="Partially Consistent",OR(D66=2,D66=4)),"MODERATE","LOW"))))))</f>
        <v/>
      </c>
      <c r="H66" t="inlineStr"/>
      <c r="I66" t="inlineStr"/>
      <c r="J66" t="inlineStr"/>
      <c r="K66" t="inlineStr"/>
      <c r="L66" t="inlineStr"/>
      <c r="M66" t="inlineStr">
        <is>
          <t>https://www.lazada.com.ph/products/pdp-i278633257-s14323854110.html</t>
        </is>
      </c>
      <c r="N66" t="n">
        <v>1</v>
      </c>
    </row>
    <row r="67">
      <c r="A67" t="inlineStr">
        <is>
          <t>wrong item received. . paki double check ninyo before ninyo e packed yong item. . klaro naman na vacuum cleaner ang description sa inorder ko. . bakit pinadala pa ninyo. . second time na ninyo na wrong item pinadala ninyo from different buyer nakita ko sa mga reviews ninyo na nagkamali na kayo wrong item pinadala. . mag oorder ako ulit palitan ninyo ng insakto. .</t>
        </is>
      </c>
      <c r="B67" t="inlineStr">
        <is>
          <t>NEGATIVE</t>
        </is>
      </c>
      <c r="C67">
        <f>IF(B67="NEUTRAL","TS","OS")</f>
        <v/>
      </c>
      <c r="D67" t="n">
        <v>1</v>
      </c>
      <c r="E67">
        <f>IF(C67="TS",IF(D67=3,"Consistent",IF(OR(D67=2,D67=4),"Partially Consistent","Inconsistent")),IF(D67=3,"Inconsistent",IF(AND(D67=5,B67="POSITIVE"),"Consistent",IF(AND(D67=1,B67="NEGATIVE"),"Consistent",IF(AND(D67=4,B67="POSITIVE"),"Partially Consistent",IF(AND(D67=2,B67="NEGATIVE"),"Partially Consistent","Inconsistent"))))))</f>
        <v/>
      </c>
      <c r="F67">
        <f>IF(C67="TS","High","Low")</f>
        <v/>
      </c>
      <c r="G67">
        <f>IF(AND(B67="NEUTRAL",F67="Low"),"LOW",IF(AND(C67="TS",F67="High",D67=3),"HIGH",IF(AND(C67="TS",F67="High",OR(D67=2,D67=4)),"MODERATE",IF(AND(C67="TS",F67="High",OR(D67=1,D67=5)),"LOW",IF(AND(C67="OS",E67="Consistent",OR(D67=1,D67=5)),"MODERATE",IF(AND(C67="OS",E67="Partially Consistent",OR(D67=2,D67=4)),"MODERATE","LOW"))))))</f>
        <v/>
      </c>
      <c r="H67" t="inlineStr"/>
      <c r="I67" t="inlineStr"/>
      <c r="J67" t="inlineStr"/>
      <c r="K67" t="inlineStr"/>
      <c r="L67" t="inlineStr"/>
      <c r="M67" t="inlineStr">
        <is>
          <t>https://www.lazada.com.ph/products/pdp-i278633257-s14323854110.html</t>
        </is>
      </c>
      <c r="N67" t="n">
        <v>1</v>
      </c>
    </row>
    <row r="68">
      <c r="A68" t="inlineStr">
        <is>
          <t>ive risked buying this product as the price is really low compared to other known vacumm brands. however, aside from the machine heats up quickly, a noticeable smell of electricity is apparent while using it. ill commend the seller for a very fast shipping but for the quality of the product, ill thumb it down. might not use this again.</t>
        </is>
      </c>
      <c r="B68" t="inlineStr">
        <is>
          <t>NEUTRAL</t>
        </is>
      </c>
      <c r="C68">
        <f>IF(B68="NEUTRAL","TS","OS")</f>
        <v/>
      </c>
      <c r="D68" t="n">
        <v>1</v>
      </c>
      <c r="E68">
        <f>IF(C68="TS",IF(D68=3,"Consistent",IF(OR(D68=2,D68=4),"Partially Consistent","Inconsistent")),IF(D68=3,"Inconsistent",IF(AND(D68=5,B68="POSITIVE"),"Consistent",IF(AND(D68=1,B68="NEGATIVE"),"Consistent",IF(AND(D68=4,B68="POSITIVE"),"Partially Consistent",IF(AND(D68=2,B68="NEGATIVE"),"Partially Consistent","Inconsistent"))))))</f>
        <v/>
      </c>
      <c r="F68">
        <f>IF(C68="TS","High","Low")</f>
        <v/>
      </c>
      <c r="G68">
        <f>IF(AND(B68="NEUTRAL",F68="Low"),"LOW",IF(AND(C68="TS",F68="High",D68=3),"HIGH",IF(AND(C68="TS",F68="High",OR(D68=2,D68=4)),"MODERATE",IF(AND(C68="TS",F68="High",OR(D68=1,D68=5)),"LOW",IF(AND(C68="OS",E68="Consistent",OR(D68=1,D68=5)),"MODERATE",IF(AND(C68="OS",E68="Partially Consistent",OR(D68=2,D68=4)),"MODERATE","LOW"))))))</f>
        <v/>
      </c>
      <c r="H68" t="inlineStr"/>
      <c r="I68" t="inlineStr"/>
      <c r="J68" t="inlineStr"/>
      <c r="K68" t="inlineStr"/>
      <c r="L68" t="inlineStr"/>
      <c r="M68" t="inlineStr">
        <is>
          <t>https://www.lazada.com.ph/products/pdp-i278633257-s14323854110.html</t>
        </is>
      </c>
      <c r="N68" t="n">
        <v>1</v>
      </c>
    </row>
    <row r="69">
      <c r="A69" t="inlineStr">
        <is>
          <t>vacuum po ang order ko at ito po ang dineliver</t>
        </is>
      </c>
      <c r="B69" t="inlineStr">
        <is>
          <t>POSITIVE</t>
        </is>
      </c>
      <c r="C69">
        <f>IF(B69="NEUTRAL","TS","OS")</f>
        <v/>
      </c>
      <c r="D69" t="n">
        <v>1</v>
      </c>
      <c r="E69">
        <f>IF(C69="TS",IF(D69=3,"Consistent",IF(OR(D69=2,D69=4),"Partially Consistent","Inconsistent")),IF(D69=3,"Inconsistent",IF(AND(D69=5,B69="POSITIVE"),"Consistent",IF(AND(D69=1,B69="NEGATIVE"),"Consistent",IF(AND(D69=4,B69="POSITIVE"),"Partially Consistent",IF(AND(D69=2,B69="NEGATIVE"),"Partially Consistent","Inconsistent"))))))</f>
        <v/>
      </c>
      <c r="F69">
        <f>IF(C69="TS","High","Low")</f>
        <v/>
      </c>
      <c r="G69">
        <f>IF(AND(B69="NEUTRAL",F69="Low"),"LOW",IF(AND(C69="TS",F69="High",D69=3),"HIGH",IF(AND(C69="TS",F69="High",OR(D69=2,D69=4)),"MODERATE",IF(AND(C69="TS",F69="High",OR(D69=1,D69=5)),"LOW",IF(AND(C69="OS",E69="Consistent",OR(D69=1,D69=5)),"MODERATE",IF(AND(C69="OS",E69="Partially Consistent",OR(D69=2,D69=4)),"MODERATE","LOW"))))))</f>
        <v/>
      </c>
      <c r="H69" t="inlineStr"/>
      <c r="I69" t="inlineStr"/>
      <c r="J69" t="inlineStr"/>
      <c r="K69" t="inlineStr"/>
      <c r="L69" t="inlineStr"/>
      <c r="M69" t="inlineStr">
        <is>
          <t>https://www.lazada.com.ph/products/pdp-i278633257-s14323854110.html</t>
        </is>
      </c>
      <c r="N69" t="n">
        <v>1</v>
      </c>
    </row>
    <row r="70">
      <c r="A70" t="inlineStr">
        <is>
          <t>physical damage broken lock also the box is already resealed at the bottom part with double tape request for refund or replacement asap</t>
        </is>
      </c>
      <c r="B70" t="inlineStr">
        <is>
          <t>NEUTRAL</t>
        </is>
      </c>
      <c r="C70">
        <f>IF(B70="NEUTRAL","TS","OS")</f>
        <v/>
      </c>
      <c r="D70" t="n">
        <v>1</v>
      </c>
      <c r="E70">
        <f>IF(C70="TS",IF(D70=3,"Consistent",IF(OR(D70=2,D70=4),"Partially Consistent","Inconsistent")),IF(D70=3,"Inconsistent",IF(AND(D70=5,B70="POSITIVE"),"Consistent",IF(AND(D70=1,B70="NEGATIVE"),"Consistent",IF(AND(D70=4,B70="POSITIVE"),"Partially Consistent",IF(AND(D70=2,B70="NEGATIVE"),"Partially Consistent","Inconsistent"))))))</f>
        <v/>
      </c>
      <c r="F70">
        <f>IF(C70="TS","High","Low")</f>
        <v/>
      </c>
      <c r="G70">
        <f>IF(AND(B70="NEUTRAL",F70="Low"),"LOW",IF(AND(C70="TS",F70="High",D70=3),"HIGH",IF(AND(C70="TS",F70="High",OR(D70=2,D70=4)),"MODERATE",IF(AND(C70="TS",F70="High",OR(D70=1,D70=5)),"LOW",IF(AND(C70="OS",E70="Consistent",OR(D70=1,D70=5)),"MODERATE",IF(AND(C70="OS",E70="Partially Consistent",OR(D70=2,D70=4)),"MODERATE","LOW"))))))</f>
        <v/>
      </c>
      <c r="H70" t="inlineStr"/>
      <c r="I70" t="inlineStr"/>
      <c r="J70" t="inlineStr"/>
      <c r="K70" t="inlineStr"/>
      <c r="L70" t="inlineStr"/>
      <c r="M70" t="inlineStr">
        <is>
          <t>https://www.lazada.com.ph/products/pdp-i278633257-s14323854110.html</t>
        </is>
      </c>
      <c r="N70" t="n">
        <v>1</v>
      </c>
    </row>
    <row r="71">
      <c r="A71" t="inlineStr">
        <is>
          <t>mahina ang higop ng hangin. mabilis pa uminit</t>
        </is>
      </c>
      <c r="B71" t="inlineStr">
        <is>
          <t>NEUTRAL</t>
        </is>
      </c>
      <c r="C71">
        <f>IF(B71="NEUTRAL","TS","OS")</f>
        <v/>
      </c>
      <c r="D71" t="n">
        <v>1</v>
      </c>
      <c r="E71">
        <f>IF(C71="TS",IF(D71=3,"Consistent",IF(OR(D71=2,D71=4),"Partially Consistent","Inconsistent")),IF(D71=3,"Inconsistent",IF(AND(D71=5,B71="POSITIVE"),"Consistent",IF(AND(D71=1,B71="NEGATIVE"),"Consistent",IF(AND(D71=4,B71="POSITIVE"),"Partially Consistent",IF(AND(D71=2,B71="NEGATIVE"),"Partially Consistent","Inconsistent"))))))</f>
        <v/>
      </c>
      <c r="F71">
        <f>IF(C71="TS","High","Low")</f>
        <v/>
      </c>
      <c r="G71">
        <f>IF(AND(B71="NEUTRAL",F71="Low"),"LOW",IF(AND(C71="TS",F71="High",D71=3),"HIGH",IF(AND(C71="TS",F71="High",OR(D71=2,D71=4)),"MODERATE",IF(AND(C71="TS",F71="High",OR(D71=1,D71=5)),"LOW",IF(AND(C71="OS",E71="Consistent",OR(D71=1,D71=5)),"MODERATE",IF(AND(C71="OS",E71="Partially Consistent",OR(D71=2,D71=4)),"MODERATE","LOW"))))))</f>
        <v/>
      </c>
      <c r="H71" t="inlineStr"/>
      <c r="I71" t="inlineStr"/>
      <c r="J71" t="inlineStr"/>
      <c r="K71" t="inlineStr"/>
      <c r="L71" t="inlineStr"/>
      <c r="M71" t="inlineStr">
        <is>
          <t>https://www.lazada.com.ph/products/pdp-i278633257-s14323854110.html</t>
        </is>
      </c>
      <c r="N71" t="n">
        <v>1</v>
      </c>
    </row>
    <row r="72">
      <c r="A72" t="inlineStr">
        <is>
          <t>wrong item received. di din magandang kausap seller</t>
        </is>
      </c>
      <c r="B72" t="inlineStr">
        <is>
          <t>NEGATIVE</t>
        </is>
      </c>
      <c r="C72">
        <f>IF(B72="NEUTRAL","TS","OS")</f>
        <v/>
      </c>
      <c r="D72" t="n">
        <v>1</v>
      </c>
      <c r="E72">
        <f>IF(C72="TS",IF(D72=3,"Consistent",IF(OR(D72=2,D72=4),"Partially Consistent","Inconsistent")),IF(D72=3,"Inconsistent",IF(AND(D72=5,B72="POSITIVE"),"Consistent",IF(AND(D72=1,B72="NEGATIVE"),"Consistent",IF(AND(D72=4,B72="POSITIVE"),"Partially Consistent",IF(AND(D72=2,B72="NEGATIVE"),"Partially Consistent","Inconsistent"))))))</f>
        <v/>
      </c>
      <c r="F72">
        <f>IF(C72="TS","High","Low")</f>
        <v/>
      </c>
      <c r="G72">
        <f>IF(AND(B72="NEUTRAL",F72="Low"),"LOW",IF(AND(C72="TS",F72="High",D72=3),"HIGH",IF(AND(C72="TS",F72="High",OR(D72=2,D72=4)),"MODERATE",IF(AND(C72="TS",F72="High",OR(D72=1,D72=5)),"LOW",IF(AND(C72="OS",E72="Consistent",OR(D72=1,D72=5)),"MODERATE",IF(AND(C72="OS",E72="Partially Consistent",OR(D72=2,D72=4)),"MODERATE","LOW"))))))</f>
        <v/>
      </c>
      <c r="H72" t="inlineStr"/>
      <c r="I72" t="inlineStr"/>
      <c r="J72" t="inlineStr"/>
      <c r="K72" t="inlineStr"/>
      <c r="L72" t="inlineStr"/>
      <c r="M72" t="inlineStr">
        <is>
          <t>https://www.lazada.com.ph/products/pdp-i278633257-s14323854110.html</t>
        </is>
      </c>
      <c r="N72" t="n">
        <v>1</v>
      </c>
    </row>
    <row r="73">
      <c r="A73" t="inlineStr">
        <is>
          <t>pangalawang gamit hina ng suction nya. buti na lang may warranty at na return at na refund naman ako.</t>
        </is>
      </c>
      <c r="B73" t="inlineStr">
        <is>
          <t>NEGATIVE</t>
        </is>
      </c>
      <c r="C73">
        <f>IF(B73="NEUTRAL","TS","OS")</f>
        <v/>
      </c>
      <c r="D73" t="n">
        <v>1</v>
      </c>
      <c r="E73">
        <f>IF(C73="TS",IF(D73=3,"Consistent",IF(OR(D73=2,D73=4),"Partially Consistent","Inconsistent")),IF(D73=3,"Inconsistent",IF(AND(D73=5,B73="POSITIVE"),"Consistent",IF(AND(D73=1,B73="NEGATIVE"),"Consistent",IF(AND(D73=4,B73="POSITIVE"),"Partially Consistent",IF(AND(D73=2,B73="NEGATIVE"),"Partially Consistent","Inconsistent"))))))</f>
        <v/>
      </c>
      <c r="F73">
        <f>IF(C73="TS","High","Low")</f>
        <v/>
      </c>
      <c r="G73">
        <f>IF(AND(B73="NEUTRAL",F73="Low"),"LOW",IF(AND(C73="TS",F73="High",D73=3),"HIGH",IF(AND(C73="TS",F73="High",OR(D73=2,D73=4)),"MODERATE",IF(AND(C73="TS",F73="High",OR(D73=1,D73=5)),"LOW",IF(AND(C73="OS",E73="Consistent",OR(D73=1,D73=5)),"MODERATE",IF(AND(C73="OS",E73="Partially Consistent",OR(D73=2,D73=4)),"MODERATE","LOW"))))))</f>
        <v/>
      </c>
      <c r="H73" t="inlineStr"/>
      <c r="I73" t="inlineStr"/>
      <c r="J73" t="inlineStr"/>
      <c r="K73" t="inlineStr"/>
      <c r="L73" t="inlineStr"/>
      <c r="M73" t="inlineStr">
        <is>
          <t>https://www.lazada.com.ph/products/pdp-i278633257-s14323854110.html</t>
        </is>
      </c>
      <c r="N73" t="n">
        <v>1</v>
      </c>
    </row>
    <row r="74">
      <c r="A74" t="inlineStr">
        <is>
          <t>the product is excellent good buy!</t>
        </is>
      </c>
      <c r="B74" t="inlineStr">
        <is>
          <t>POSITIVE</t>
        </is>
      </c>
      <c r="C74">
        <f>IF(B74="NEUTRAL","TS","OS")</f>
        <v/>
      </c>
      <c r="D74" t="n">
        <v>1</v>
      </c>
      <c r="E74">
        <f>IF(C74="TS",IF(D74=3,"Consistent",IF(OR(D74=2,D74=4),"Partially Consistent","Inconsistent")),IF(D74=3,"Inconsistent",IF(AND(D74=5,B74="POSITIVE"),"Consistent",IF(AND(D74=1,B74="NEGATIVE"),"Consistent",IF(AND(D74=4,B74="POSITIVE"),"Partially Consistent",IF(AND(D74=2,B74="NEGATIVE"),"Partially Consistent","Inconsistent"))))))</f>
        <v/>
      </c>
      <c r="F74">
        <f>IF(C74="TS","High","Low")</f>
        <v/>
      </c>
      <c r="G74">
        <f>IF(AND(B74="NEUTRAL",F74="Low"),"LOW",IF(AND(C74="TS",F74="High",D74=3),"HIGH",IF(AND(C74="TS",F74="High",OR(D74=2,D74=4)),"MODERATE",IF(AND(C74="TS",F74="High",OR(D74=1,D74=5)),"LOW",IF(AND(C74="OS",E74="Consistent",OR(D74=1,D74=5)),"MODERATE",IF(AND(C74="OS",E74="Partially Consistent",OR(D74=2,D74=4)),"MODERATE","LOW"))))))</f>
        <v/>
      </c>
      <c r="H74" t="inlineStr"/>
      <c r="I74" t="inlineStr"/>
      <c r="J74" t="inlineStr"/>
      <c r="K74" t="inlineStr"/>
      <c r="L74" t="inlineStr"/>
      <c r="M74" t="inlineStr">
        <is>
          <t>https://www.lazada.com.ph/products/pdp-i278633257-s14323854110.html</t>
        </is>
      </c>
      <c r="N74" t="n">
        <v>1</v>
      </c>
    </row>
    <row r="75">
      <c r="A75" t="inlineStr">
        <is>
          <t>sinungaling ang seller na ito. ang nakapost sa advertisement nila ay fujihama brand at 60hz pero ng matanggap ko 50hz. the vacuum looks generic wala man lang tatak. i don' t recommend this seller.</t>
        </is>
      </c>
      <c r="B75" t="inlineStr">
        <is>
          <t>NEGATIVE</t>
        </is>
      </c>
      <c r="C75">
        <f>IF(B75="NEUTRAL","TS","OS")</f>
        <v/>
      </c>
      <c r="D75" t="n">
        <v>1</v>
      </c>
      <c r="E75">
        <f>IF(C75="TS",IF(D75=3,"Consistent",IF(OR(D75=2,D75=4),"Partially Consistent","Inconsistent")),IF(D75=3,"Inconsistent",IF(AND(D75=5,B75="POSITIVE"),"Consistent",IF(AND(D75=1,B75="NEGATIVE"),"Consistent",IF(AND(D75=4,B75="POSITIVE"),"Partially Consistent",IF(AND(D75=2,B75="NEGATIVE"),"Partially Consistent","Inconsistent"))))))</f>
        <v/>
      </c>
      <c r="F75">
        <f>IF(C75="TS","High","Low")</f>
        <v/>
      </c>
      <c r="G75">
        <f>IF(AND(B75="NEUTRAL",F75="Low"),"LOW",IF(AND(C75="TS",F75="High",D75=3),"HIGH",IF(AND(C75="TS",F75="High",OR(D75=2,D75=4)),"MODERATE",IF(AND(C75="TS",F75="High",OR(D75=1,D75=5)),"LOW",IF(AND(C75="OS",E75="Consistent",OR(D75=1,D75=5)),"MODERATE",IF(AND(C75="OS",E75="Partially Consistent",OR(D75=2,D75=4)),"MODERATE","LOW"))))))</f>
        <v/>
      </c>
      <c r="H75" t="inlineStr"/>
      <c r="I75" t="inlineStr"/>
      <c r="J75" t="inlineStr"/>
      <c r="K75" t="inlineStr"/>
      <c r="L75" t="inlineStr"/>
      <c r="M75" t="inlineStr">
        <is>
          <t>https://www.lazada.com.ph/products/pdp-i278633257-s14323854110.html</t>
        </is>
      </c>
      <c r="N75" t="n">
        <v>1</v>
      </c>
    </row>
    <row r="76">
      <c r="A76" t="inlineStr">
        <is>
          <t>misleading item pictures and description. the seller should update the images shown, so as not to confuse / mislead the buyers. it is clearly shown that the vacuum cleaner includes a filter, and freebies were also shown but when the item arrived, it had no filter and freebies.</t>
        </is>
      </c>
      <c r="B76" t="inlineStr">
        <is>
          <t>NEUTRAL</t>
        </is>
      </c>
      <c r="C76">
        <f>IF(B76="NEUTRAL","TS","OS")</f>
        <v/>
      </c>
      <c r="D76" t="n">
        <v>1</v>
      </c>
      <c r="E76">
        <f>IF(C76="TS",IF(D76=3,"Consistent",IF(OR(D76=2,D76=4),"Partially Consistent","Inconsistent")),IF(D76=3,"Inconsistent",IF(AND(D76=5,B76="POSITIVE"),"Consistent",IF(AND(D76=1,B76="NEGATIVE"),"Consistent",IF(AND(D76=4,B76="POSITIVE"),"Partially Consistent",IF(AND(D76=2,B76="NEGATIVE"),"Partially Consistent","Inconsistent"))))))</f>
        <v/>
      </c>
      <c r="F76">
        <f>IF(C76="TS","High","Low")</f>
        <v/>
      </c>
      <c r="G76">
        <f>IF(AND(B76="NEUTRAL",F76="Low"),"LOW",IF(AND(C76="TS",F76="High",D76=3),"HIGH",IF(AND(C76="TS",F76="High",OR(D76=2,D76=4)),"MODERATE",IF(AND(C76="TS",F76="High",OR(D76=1,D76=5)),"LOW",IF(AND(C76="OS",E76="Consistent",OR(D76=1,D76=5)),"MODERATE",IF(AND(C76="OS",E76="Partially Consistent",OR(D76=2,D76=4)),"MODERATE","LOW"))))))</f>
        <v/>
      </c>
      <c r="H76" t="inlineStr"/>
      <c r="I76" t="inlineStr"/>
      <c r="J76" t="inlineStr"/>
      <c r="K76" t="inlineStr"/>
      <c r="L76" t="inlineStr"/>
      <c r="M76" t="inlineStr">
        <is>
          <t>https://www.lazada.com.ph/products/pdp-i278633257-s14323854110.html</t>
        </is>
      </c>
      <c r="N76" t="n">
        <v>1</v>
      </c>
    </row>
    <row r="77">
      <c r="A77" t="inlineStr">
        <is>
          <t>unresponsive seller</t>
        </is>
      </c>
      <c r="B77" t="inlineStr">
        <is>
          <t>NEGATIVE</t>
        </is>
      </c>
      <c r="C77">
        <f>IF(B77="NEUTRAL","TS","OS")</f>
        <v/>
      </c>
      <c r="D77" t="n">
        <v>1</v>
      </c>
      <c r="E77">
        <f>IF(C77="TS",IF(D77=3,"Consistent",IF(OR(D77=2,D77=4),"Partially Consistent","Inconsistent")),IF(D77=3,"Inconsistent",IF(AND(D77=5,B77="POSITIVE"),"Consistent",IF(AND(D77=1,B77="NEGATIVE"),"Consistent",IF(AND(D77=4,B77="POSITIVE"),"Partially Consistent",IF(AND(D77=2,B77="NEGATIVE"),"Partially Consistent","Inconsistent"))))))</f>
        <v/>
      </c>
      <c r="F77">
        <f>IF(C77="TS","High","Low")</f>
        <v/>
      </c>
      <c r="G77">
        <f>IF(AND(B77="NEUTRAL",F77="Low"),"LOW",IF(AND(C77="TS",F77="High",D77=3),"HIGH",IF(AND(C77="TS",F77="High",OR(D77=2,D77=4)),"MODERATE",IF(AND(C77="TS",F77="High",OR(D77=1,D77=5)),"LOW",IF(AND(C77="OS",E77="Consistent",OR(D77=1,D77=5)),"MODERATE",IF(AND(C77="OS",E77="Partially Consistent",OR(D77=2,D77=4)),"MODERATE","LOW"))))))</f>
        <v/>
      </c>
      <c r="H77" t="inlineStr"/>
      <c r="I77" t="inlineStr"/>
      <c r="J77" t="inlineStr"/>
      <c r="K77" t="inlineStr"/>
      <c r="L77" t="inlineStr"/>
      <c r="M77" t="inlineStr">
        <is>
          <t>https://www.lazada.com.ph/products/pdp-i278633257-s14323854110.html</t>
        </is>
      </c>
      <c r="N77" t="n">
        <v>1</v>
      </c>
    </row>
    <row r="78">
      <c r="A78" t="inlineStr">
        <is>
          <t>hindi ma close masyado, walang bubble wrap masyado, permi matumba, hindi din gaano kalakas mohigop share ko lang</t>
        </is>
      </c>
      <c r="B78" t="inlineStr">
        <is>
          <t>NEUTRAL</t>
        </is>
      </c>
      <c r="C78">
        <f>IF(B78="NEUTRAL","TS","OS")</f>
        <v/>
      </c>
      <c r="D78" t="n">
        <v>3</v>
      </c>
      <c r="E78">
        <f>IF(C78="TS",IF(D78=3,"Consistent",IF(OR(D78=2,D78=4),"Partially Consistent","Inconsistent")),IF(D78=3,"Inconsistent",IF(AND(D78=5,B78="POSITIVE"),"Consistent",IF(AND(D78=1,B78="NEGATIVE"),"Consistent",IF(AND(D78=4,B78="POSITIVE"),"Partially Consistent",IF(AND(D78=2,B78="NEGATIVE"),"Partially Consistent","Inconsistent"))))))</f>
        <v/>
      </c>
      <c r="F78">
        <f>IF(C78="TS","High","Low")</f>
        <v/>
      </c>
      <c r="G78">
        <f>IF(AND(B78="NEUTRAL",F78="Low"),"LOW",IF(AND(C78="TS",F78="High",D78=3),"HIGH",IF(AND(C78="TS",F78="High",OR(D78=2,D78=4)),"MODERATE",IF(AND(C78="TS",F78="High",OR(D78=1,D78=5)),"LOW",IF(AND(C78="OS",E78="Consistent",OR(D78=1,D78=5)),"MODERATE",IF(AND(C78="OS",E78="Partially Consistent",OR(D78=2,D78=4)),"MODERATE","LOW"))))))</f>
        <v/>
      </c>
      <c r="H78" t="inlineStr"/>
      <c r="I78" t="inlineStr"/>
      <c r="J78" t="inlineStr"/>
      <c r="K78" t="inlineStr"/>
      <c r="L78" t="inlineStr"/>
      <c r="M78" t="inlineStr">
        <is>
          <t>https://www.lazada.com.ph/products/pdp-i278633257-s14323854110.html</t>
        </is>
      </c>
      <c r="N78" t="n">
        <v>1</v>
      </c>
    </row>
    <row r="79">
      <c r="A79" t="inlineStr">
        <is>
          <t>hello, i ordered this and there is a missing part.</t>
        </is>
      </c>
      <c r="B79" t="inlineStr">
        <is>
          <t>NEGATIVE</t>
        </is>
      </c>
      <c r="C79">
        <f>IF(B79="NEUTRAL","TS","OS")</f>
        <v/>
      </c>
      <c r="D79" t="n">
        <v>3</v>
      </c>
      <c r="E79">
        <f>IF(C79="TS",IF(D79=3,"Consistent",IF(OR(D79=2,D79=4),"Partially Consistent","Inconsistent")),IF(D79=3,"Inconsistent",IF(AND(D79=5,B79="POSITIVE"),"Consistent",IF(AND(D79=1,B79="NEGATIVE"),"Consistent",IF(AND(D79=4,B79="POSITIVE"),"Partially Consistent",IF(AND(D79=2,B79="NEGATIVE"),"Partially Consistent","Inconsistent"))))))</f>
        <v/>
      </c>
      <c r="F79">
        <f>IF(C79="TS","High","Low")</f>
        <v/>
      </c>
      <c r="G79">
        <f>IF(AND(B79="NEUTRAL",F79="Low"),"LOW",IF(AND(C79="TS",F79="High",D79=3),"HIGH",IF(AND(C79="TS",F79="High",OR(D79=2,D79=4)),"MODERATE",IF(AND(C79="TS",F79="High",OR(D79=1,D79=5)),"LOW",IF(AND(C79="OS",E79="Consistent",OR(D79=1,D79=5)),"MODERATE",IF(AND(C79="OS",E79="Partially Consistent",OR(D79=2,D79=4)),"MODERATE","LOW"))))))</f>
        <v/>
      </c>
      <c r="H79" t="inlineStr"/>
      <c r="I79" t="inlineStr"/>
      <c r="J79" t="inlineStr"/>
      <c r="K79" t="inlineStr"/>
      <c r="L79" t="inlineStr"/>
      <c r="M79" t="inlineStr">
        <is>
          <t>https://www.lazada.com.ph/products/pdp-i278633257-s14323854110.html</t>
        </is>
      </c>
      <c r="N79" t="n">
        <v>1</v>
      </c>
    </row>
    <row r="80">
      <c r="A80" t="inlineStr">
        <is>
          <t>pros: 1.) vacuum works well 2.) it was shipped right away and arrived in just 2 days cons: 1.) it can be seen in the photo that the plug' s teeth are not the same. one has a different shape (bigger) and when you plug it, it cant be fully plug properly. in some outlets, it doesn' t even fit. i asked the seller if i can return the product and have it replaced but they said all of their products have the same issue.</t>
        </is>
      </c>
      <c r="B80" t="inlineStr">
        <is>
          <t>NEUTRAL</t>
        </is>
      </c>
      <c r="C80">
        <f>IF(B80="NEUTRAL","TS","OS")</f>
        <v/>
      </c>
      <c r="D80" t="n">
        <v>3</v>
      </c>
      <c r="E80">
        <f>IF(C80="TS",IF(D80=3,"Consistent",IF(OR(D80=2,D80=4),"Partially Consistent","Inconsistent")),IF(D80=3,"Inconsistent",IF(AND(D80=5,B80="POSITIVE"),"Consistent",IF(AND(D80=1,B80="NEGATIVE"),"Consistent",IF(AND(D80=4,B80="POSITIVE"),"Partially Consistent",IF(AND(D80=2,B80="NEGATIVE"),"Partially Consistent","Inconsistent"))))))</f>
        <v/>
      </c>
      <c r="F80">
        <f>IF(C80="TS","High","Low")</f>
        <v/>
      </c>
      <c r="G80">
        <f>IF(AND(B80="NEUTRAL",F80="Low"),"LOW",IF(AND(C80="TS",F80="High",D80=3),"HIGH",IF(AND(C80="TS",F80="High",OR(D80=2,D80=4)),"MODERATE",IF(AND(C80="TS",F80="High",OR(D80=1,D80=5)),"LOW",IF(AND(C80="OS",E80="Consistent",OR(D80=1,D80=5)),"MODERATE",IF(AND(C80="OS",E80="Partially Consistent",OR(D80=2,D80=4)),"MODERATE","LOW"))))))</f>
        <v/>
      </c>
      <c r="H80" t="inlineStr"/>
      <c r="I80" t="inlineStr"/>
      <c r="J80" t="inlineStr"/>
      <c r="K80" t="inlineStr"/>
      <c r="L80" t="inlineStr"/>
      <c r="M80" t="inlineStr">
        <is>
          <t>https://www.lazada.com.ph/products/pdp-i278633257-s14323854110.html</t>
        </is>
      </c>
      <c r="N80" t="n">
        <v>1</v>
      </c>
    </row>
    <row r="81">
      <c r="A81" t="inlineStr">
        <is>
          <t>tagal dumating nang order ku, we haven' t tried it kasi wala pang kuryente my damage kunti.</t>
        </is>
      </c>
      <c r="B81" t="inlineStr">
        <is>
          <t>NEGATIVE</t>
        </is>
      </c>
      <c r="C81">
        <f>IF(B81="NEUTRAL","TS","OS")</f>
        <v/>
      </c>
      <c r="D81" t="n">
        <v>3</v>
      </c>
      <c r="E81">
        <f>IF(C81="TS",IF(D81=3,"Consistent",IF(OR(D81=2,D81=4),"Partially Consistent","Inconsistent")),IF(D81=3,"Inconsistent",IF(AND(D81=5,B81="POSITIVE"),"Consistent",IF(AND(D81=1,B81="NEGATIVE"),"Consistent",IF(AND(D81=4,B81="POSITIVE"),"Partially Consistent",IF(AND(D81=2,B81="NEGATIVE"),"Partially Consistent","Inconsistent"))))))</f>
        <v/>
      </c>
      <c r="F81">
        <f>IF(C81="TS","High","Low")</f>
        <v/>
      </c>
      <c r="G81">
        <f>IF(AND(B81="NEUTRAL",F81="Low"),"LOW",IF(AND(C81="TS",F81="High",D81=3),"HIGH",IF(AND(C81="TS",F81="High",OR(D81=2,D81=4)),"MODERATE",IF(AND(C81="TS",F81="High",OR(D81=1,D81=5)),"LOW",IF(AND(C81="OS",E81="Consistent",OR(D81=1,D81=5)),"MODERATE",IF(AND(C81="OS",E81="Partially Consistent",OR(D81=2,D81=4)),"MODERATE","LOW"))))))</f>
        <v/>
      </c>
      <c r="H81" t="inlineStr"/>
      <c r="I81" t="inlineStr"/>
      <c r="J81" t="inlineStr"/>
      <c r="K81" t="inlineStr"/>
      <c r="L81" t="inlineStr"/>
      <c r="M81" t="inlineStr">
        <is>
          <t>https://www.lazada.com.ph/products/pdp-i278633257-s14323854110.html</t>
        </is>
      </c>
      <c r="N81" t="n">
        <v>1</v>
      </c>
    </row>
    <row r="82">
      <c r="A82" t="inlineStr">
        <is>
          <t>sakto lang</t>
        </is>
      </c>
      <c r="B82" t="inlineStr">
        <is>
          <t>NEUTRAL</t>
        </is>
      </c>
      <c r="C82">
        <f>IF(B82="NEUTRAL","TS","OS")</f>
        <v/>
      </c>
      <c r="D82" t="n">
        <v>3</v>
      </c>
      <c r="E82">
        <f>IF(C82="TS",IF(D82=3,"Consistent",IF(OR(D82=2,D82=4),"Partially Consistent","Inconsistent")),IF(D82=3,"Inconsistent",IF(AND(D82=5,B82="POSITIVE"),"Consistent",IF(AND(D82=1,B82="NEGATIVE"),"Consistent",IF(AND(D82=4,B82="POSITIVE"),"Partially Consistent",IF(AND(D82=2,B82="NEGATIVE"),"Partially Consistent","Inconsistent"))))))</f>
        <v/>
      </c>
      <c r="F82">
        <f>IF(C82="TS","High","Low")</f>
        <v/>
      </c>
      <c r="G82">
        <f>IF(AND(B82="NEUTRAL",F82="Low"),"LOW",IF(AND(C82="TS",F82="High",D82=3),"HIGH",IF(AND(C82="TS",F82="High",OR(D82=2,D82=4)),"MODERATE",IF(AND(C82="TS",F82="High",OR(D82=1,D82=5)),"LOW",IF(AND(C82="OS",E82="Consistent",OR(D82=1,D82=5)),"MODERATE",IF(AND(C82="OS",E82="Partially Consistent",OR(D82=2,D82=4)),"MODERATE","LOW"))))))</f>
        <v/>
      </c>
      <c r="H82" t="inlineStr"/>
      <c r="I82" t="inlineStr"/>
      <c r="J82" t="inlineStr"/>
      <c r="K82" t="inlineStr"/>
      <c r="L82" t="inlineStr"/>
      <c r="M82" t="inlineStr">
        <is>
          <t>https://www.lazada.com.ph/products/pdp-i278633257-s14323854110.html</t>
        </is>
      </c>
      <c r="N82" t="n">
        <v>1</v>
      </c>
    </row>
    <row r="83">
      <c r="A83" t="inlineStr">
        <is>
          <t>not as heavy duty as i expected. . . . mostly made of plastic material. . . vacuum suction not as strong as i expected. . . otherwise cheap product. . . useful for light works. . m</t>
        </is>
      </c>
      <c r="B83" t="inlineStr">
        <is>
          <t>NEGATIVE</t>
        </is>
      </c>
      <c r="C83">
        <f>IF(B83="NEUTRAL","TS","OS")</f>
        <v/>
      </c>
      <c r="D83" t="n">
        <v>3</v>
      </c>
      <c r="E83">
        <f>IF(C83="TS",IF(D83=3,"Consistent",IF(OR(D83=2,D83=4),"Partially Consistent","Inconsistent")),IF(D83=3,"Inconsistent",IF(AND(D83=5,B83="POSITIVE"),"Consistent",IF(AND(D83=1,B83="NEGATIVE"),"Consistent",IF(AND(D83=4,B83="POSITIVE"),"Partially Consistent",IF(AND(D83=2,B83="NEGATIVE"),"Partially Consistent","Inconsistent"))))))</f>
        <v/>
      </c>
      <c r="F83">
        <f>IF(C83="TS","High","Low")</f>
        <v/>
      </c>
      <c r="G83">
        <f>IF(AND(B83="NEUTRAL",F83="Low"),"LOW",IF(AND(C83="TS",F83="High",D83=3),"HIGH",IF(AND(C83="TS",F83="High",OR(D83=2,D83=4)),"MODERATE",IF(AND(C83="TS",F83="High",OR(D83=1,D83=5)),"LOW",IF(AND(C83="OS",E83="Consistent",OR(D83=1,D83=5)),"MODERATE",IF(AND(C83="OS",E83="Partially Consistent",OR(D83=2,D83=4)),"MODERATE","LOW"))))))</f>
        <v/>
      </c>
      <c r="H83" t="inlineStr"/>
      <c r="I83" t="inlineStr"/>
      <c r="J83" t="inlineStr"/>
      <c r="K83" t="inlineStr"/>
      <c r="L83" t="inlineStr"/>
      <c r="M83" t="inlineStr">
        <is>
          <t>https://www.lazada.com.ph/products/pdp-i278633257-s14323854110.html</t>
        </is>
      </c>
      <c r="N83" t="n">
        <v>1</v>
      </c>
    </row>
    <row r="84">
      <c r="A84" t="inlineStr">
        <is>
          <t>okay naman po siya. need lang i-rest every now and then kasi umiinit. hindi ko po sure kung ganito talaga kaingay yung mga vacuum cleaner kasi first time ko lang po bumili pero medyo maingay nga po siya. i wish meron din pong kasamang hepa filter. anyway, thank you po.</t>
        </is>
      </c>
      <c r="B84" t="inlineStr">
        <is>
          <t>NEUTRAL</t>
        </is>
      </c>
      <c r="C84">
        <f>IF(B84="NEUTRAL","TS","OS")</f>
        <v/>
      </c>
      <c r="D84" t="n">
        <v>3</v>
      </c>
      <c r="E84">
        <f>IF(C84="TS",IF(D84=3,"Consistent",IF(OR(D84=2,D84=4),"Partially Consistent","Inconsistent")),IF(D84=3,"Inconsistent",IF(AND(D84=5,B84="POSITIVE"),"Consistent",IF(AND(D84=1,B84="NEGATIVE"),"Consistent",IF(AND(D84=4,B84="POSITIVE"),"Partially Consistent",IF(AND(D84=2,B84="NEGATIVE"),"Partially Consistent","Inconsistent"))))))</f>
        <v/>
      </c>
      <c r="F84">
        <f>IF(C84="TS","High","Low")</f>
        <v/>
      </c>
      <c r="G84">
        <f>IF(AND(B84="NEUTRAL",F84="Low"),"LOW",IF(AND(C84="TS",F84="High",D84=3),"HIGH",IF(AND(C84="TS",F84="High",OR(D84=2,D84=4)),"MODERATE",IF(AND(C84="TS",F84="High",OR(D84=1,D84=5)),"LOW",IF(AND(C84="OS",E84="Consistent",OR(D84=1,D84=5)),"MODERATE",IF(AND(C84="OS",E84="Partially Consistent",OR(D84=2,D84=4)),"MODERATE","LOW"))))))</f>
        <v/>
      </c>
      <c r="H84" t="inlineStr"/>
      <c r="I84" t="inlineStr"/>
      <c r="J84" t="inlineStr"/>
      <c r="K84" t="inlineStr"/>
      <c r="L84" t="inlineStr"/>
      <c r="M84" t="inlineStr">
        <is>
          <t>https://www.lazada.com.ph/products/pdp-i278633257-s14323854110.html</t>
        </is>
      </c>
      <c r="N84" t="n">
        <v>1</v>
      </c>
    </row>
    <row r="85">
      <c r="A85" t="inlineStr">
        <is>
          <t>maganda sana malakas yung motor good for vacuum and blower use kaso nong dumating sakin sira yung isang gulong.</t>
        </is>
      </c>
      <c r="B85" t="inlineStr">
        <is>
          <t>NEUTRAL</t>
        </is>
      </c>
      <c r="C85">
        <f>IF(B85="NEUTRAL","TS","OS")</f>
        <v/>
      </c>
      <c r="D85" t="n">
        <v>3</v>
      </c>
      <c r="E85">
        <f>IF(C85="TS",IF(D85=3,"Consistent",IF(OR(D85=2,D85=4),"Partially Consistent","Inconsistent")),IF(D85=3,"Inconsistent",IF(AND(D85=5,B85="POSITIVE"),"Consistent",IF(AND(D85=1,B85="NEGATIVE"),"Consistent",IF(AND(D85=4,B85="POSITIVE"),"Partially Consistent",IF(AND(D85=2,B85="NEGATIVE"),"Partially Consistent","Inconsistent"))))))</f>
        <v/>
      </c>
      <c r="F85">
        <f>IF(C85="TS","High","Low")</f>
        <v/>
      </c>
      <c r="G85">
        <f>IF(AND(B85="NEUTRAL",F85="Low"),"LOW",IF(AND(C85="TS",F85="High",D85=3),"HIGH",IF(AND(C85="TS",F85="High",OR(D85=2,D85=4)),"MODERATE",IF(AND(C85="TS",F85="High",OR(D85=1,D85=5)),"LOW",IF(AND(C85="OS",E85="Consistent",OR(D85=1,D85=5)),"MODERATE",IF(AND(C85="OS",E85="Partially Consistent",OR(D85=2,D85=4)),"MODERATE","LOW"))))))</f>
        <v/>
      </c>
      <c r="H85" t="inlineStr"/>
      <c r="I85" t="inlineStr"/>
      <c r="J85" t="inlineStr"/>
      <c r="K85" t="inlineStr"/>
      <c r="L85" t="inlineStr"/>
      <c r="M85" t="inlineStr">
        <is>
          <t>https://www.lazada.com.ph/products/pdp-i278633257-s14323854110.html</t>
        </is>
      </c>
      <c r="N85" t="n">
        <v>1</v>
      </c>
    </row>
    <row r="86">
      <c r="A86" t="inlineStr">
        <is>
          <t>okkkkkkkkkkkkkkkkkkkkkkkkkk</t>
        </is>
      </c>
      <c r="B86" t="inlineStr">
        <is>
          <t>NEGATIVE</t>
        </is>
      </c>
      <c r="C86">
        <f>IF(B86="NEUTRAL","TS","OS")</f>
        <v/>
      </c>
      <c r="D86" t="n">
        <v>3</v>
      </c>
      <c r="E86">
        <f>IF(C86="TS",IF(D86=3,"Consistent",IF(OR(D86=2,D86=4),"Partially Consistent","Inconsistent")),IF(D86=3,"Inconsistent",IF(AND(D86=5,B86="POSITIVE"),"Consistent",IF(AND(D86=1,B86="NEGATIVE"),"Consistent",IF(AND(D86=4,B86="POSITIVE"),"Partially Consistent",IF(AND(D86=2,B86="NEGATIVE"),"Partially Consistent","Inconsistent"))))))</f>
        <v/>
      </c>
      <c r="F86">
        <f>IF(C86="TS","High","Low")</f>
        <v/>
      </c>
      <c r="G86">
        <f>IF(AND(B86="NEUTRAL",F86="Low"),"LOW",IF(AND(C86="TS",F86="High",D86=3),"HIGH",IF(AND(C86="TS",F86="High",OR(D86=2,D86=4)),"MODERATE",IF(AND(C86="TS",F86="High",OR(D86=1,D86=5)),"LOW",IF(AND(C86="OS",E86="Consistent",OR(D86=1,D86=5)),"MODERATE",IF(AND(C86="OS",E86="Partially Consistent",OR(D86=2,D86=4)),"MODERATE","LOW"))))))</f>
        <v/>
      </c>
      <c r="H86" t="inlineStr"/>
      <c r="I86" t="inlineStr"/>
      <c r="J86" t="inlineStr"/>
      <c r="K86" t="inlineStr"/>
      <c r="L86" t="inlineStr"/>
      <c r="M86" t="inlineStr">
        <is>
          <t>https://www.lazada.com.ph/products/pdp-i278633257-s14323854110.html</t>
        </is>
      </c>
      <c r="N86" t="n">
        <v>1</v>
      </c>
    </row>
    <row r="87">
      <c r="A87" t="inlineStr">
        <is>
          <t>where is the hepa filter? how can i use this without the filter?</t>
        </is>
      </c>
      <c r="B87" t="inlineStr">
        <is>
          <t>NEUTRAL</t>
        </is>
      </c>
      <c r="C87">
        <f>IF(B87="NEUTRAL","TS","OS")</f>
        <v/>
      </c>
      <c r="D87" t="n">
        <v>3</v>
      </c>
      <c r="E87">
        <f>IF(C87="TS",IF(D87=3,"Consistent",IF(OR(D87=2,D87=4),"Partially Consistent","Inconsistent")),IF(D87=3,"Inconsistent",IF(AND(D87=5,B87="POSITIVE"),"Consistent",IF(AND(D87=1,B87="NEGATIVE"),"Consistent",IF(AND(D87=4,B87="POSITIVE"),"Partially Consistent",IF(AND(D87=2,B87="NEGATIVE"),"Partially Consistent","Inconsistent"))))))</f>
        <v/>
      </c>
      <c r="F87">
        <f>IF(C87="TS","High","Low")</f>
        <v/>
      </c>
      <c r="G87">
        <f>IF(AND(B87="NEUTRAL",F87="Low"),"LOW",IF(AND(C87="TS",F87="High",D87=3),"HIGH",IF(AND(C87="TS",F87="High",OR(D87=2,D87=4)),"MODERATE",IF(AND(C87="TS",F87="High",OR(D87=1,D87=5)),"LOW",IF(AND(C87="OS",E87="Consistent",OR(D87=1,D87=5)),"MODERATE",IF(AND(C87="OS",E87="Partially Consistent",OR(D87=2,D87=4)),"MODERATE","LOW"))))))</f>
        <v/>
      </c>
      <c r="H87" t="inlineStr"/>
      <c r="I87" t="inlineStr"/>
      <c r="J87" t="inlineStr"/>
      <c r="K87" t="inlineStr"/>
      <c r="L87" t="inlineStr"/>
      <c r="M87" t="inlineStr">
        <is>
          <t>https://www.lazada.com.ph/products/pdp-i278633257-s14323854110.html</t>
        </is>
      </c>
      <c r="N87" t="n">
        <v>1</v>
      </c>
    </row>
    <row r="88">
      <c r="A88" t="inlineStr">
        <is>
          <t>maingay sya natry ko lang akala ko hindi. but overall ok naman. try ko sa wet. mabilis din mawala un sa higop pag nagalaw sya. overall, ok lang.</t>
        </is>
      </c>
      <c r="B88" t="inlineStr">
        <is>
          <t>NEUTRAL</t>
        </is>
      </c>
      <c r="C88">
        <f>IF(B88="NEUTRAL","TS","OS")</f>
        <v/>
      </c>
      <c r="D88" t="n">
        <v>3</v>
      </c>
      <c r="E88">
        <f>IF(C88="TS",IF(D88=3,"Consistent",IF(OR(D88=2,D88=4),"Partially Consistent","Inconsistent")),IF(D88=3,"Inconsistent",IF(AND(D88=5,B88="POSITIVE"),"Consistent",IF(AND(D88=1,B88="NEGATIVE"),"Consistent",IF(AND(D88=4,B88="POSITIVE"),"Partially Consistent",IF(AND(D88=2,B88="NEGATIVE"),"Partially Consistent","Inconsistent"))))))</f>
        <v/>
      </c>
      <c r="F88">
        <f>IF(C88="TS","High","Low")</f>
        <v/>
      </c>
      <c r="G88">
        <f>IF(AND(B88="NEUTRAL",F88="Low"),"LOW",IF(AND(C88="TS",F88="High",D88=3),"HIGH",IF(AND(C88="TS",F88="High",OR(D88=2,D88=4)),"MODERATE",IF(AND(C88="TS",F88="High",OR(D88=1,D88=5)),"LOW",IF(AND(C88="OS",E88="Consistent",OR(D88=1,D88=5)),"MODERATE",IF(AND(C88="OS",E88="Partially Consistent",OR(D88=2,D88=4)),"MODERATE","LOW"))))))</f>
        <v/>
      </c>
      <c r="H88" t="inlineStr"/>
      <c r="I88" t="inlineStr"/>
      <c r="J88" t="inlineStr"/>
      <c r="K88" t="inlineStr"/>
      <c r="L88" t="inlineStr"/>
      <c r="M88" t="inlineStr">
        <is>
          <t>https://www.lazada.com.ph/products/pdp-i278633257-s14323854110.html</t>
        </is>
      </c>
      <c r="N88" t="n">
        <v>1</v>
      </c>
    </row>
    <row r="89">
      <c r="A89" t="inlineStr">
        <is>
          <t>suction is good but nothing beats manual sweeping</t>
        </is>
      </c>
      <c r="B89" t="inlineStr">
        <is>
          <t>NEUTRAL</t>
        </is>
      </c>
      <c r="C89">
        <f>IF(B89="NEUTRAL","TS","OS")</f>
        <v/>
      </c>
      <c r="D89" t="n">
        <v>3</v>
      </c>
      <c r="E89">
        <f>IF(C89="TS",IF(D89=3,"Consistent",IF(OR(D89=2,D89=4),"Partially Consistent","Inconsistent")),IF(D89=3,"Inconsistent",IF(AND(D89=5,B89="POSITIVE"),"Consistent",IF(AND(D89=1,B89="NEGATIVE"),"Consistent",IF(AND(D89=4,B89="POSITIVE"),"Partially Consistent",IF(AND(D89=2,B89="NEGATIVE"),"Partially Consistent","Inconsistent"))))))</f>
        <v/>
      </c>
      <c r="F89">
        <f>IF(C89="TS","High","Low")</f>
        <v/>
      </c>
      <c r="G89">
        <f>IF(AND(B89="NEUTRAL",F89="Low"),"LOW",IF(AND(C89="TS",F89="High",D89=3),"HIGH",IF(AND(C89="TS",F89="High",OR(D89=2,D89=4)),"MODERATE",IF(AND(C89="TS",F89="High",OR(D89=1,D89=5)),"LOW",IF(AND(C89="OS",E89="Consistent",OR(D89=1,D89=5)),"MODERATE",IF(AND(C89="OS",E89="Partially Consistent",OR(D89=2,D89=4)),"MODERATE","LOW"))))))</f>
        <v/>
      </c>
      <c r="H89" t="inlineStr"/>
      <c r="I89" t="inlineStr"/>
      <c r="J89" t="inlineStr"/>
      <c r="K89" t="inlineStr"/>
      <c r="L89" t="inlineStr"/>
      <c r="M89" t="inlineStr">
        <is>
          <t>https://www.lazada.com.ph/products/pdp-i278633257-s14323854110.html</t>
        </is>
      </c>
      <c r="N89" t="n">
        <v>1</v>
      </c>
    </row>
    <row r="90">
      <c r="A90" t="inlineStr">
        <is>
          <t>very powerful motor. strong blow and works perfectly. unfortunately, it has very weak suction suggesting there' s leak on the peripheral tubes. did a vacuum test and i was right, the leak emanates from the connecting-joints of the tube. what are your recommendations for this?</t>
        </is>
      </c>
      <c r="B90" t="inlineStr">
        <is>
          <t>NEUTRAL</t>
        </is>
      </c>
      <c r="C90">
        <f>IF(B90="NEUTRAL","TS","OS")</f>
        <v/>
      </c>
      <c r="D90" t="n">
        <v>3</v>
      </c>
      <c r="E90">
        <f>IF(C90="TS",IF(D90=3,"Consistent",IF(OR(D90=2,D90=4),"Partially Consistent","Inconsistent")),IF(D90=3,"Inconsistent",IF(AND(D90=5,B90="POSITIVE"),"Consistent",IF(AND(D90=1,B90="NEGATIVE"),"Consistent",IF(AND(D90=4,B90="POSITIVE"),"Partially Consistent",IF(AND(D90=2,B90="NEGATIVE"),"Partially Consistent","Inconsistent"))))))</f>
        <v/>
      </c>
      <c r="F90">
        <f>IF(C90="TS","High","Low")</f>
        <v/>
      </c>
      <c r="G90">
        <f>IF(AND(B90="NEUTRAL",F90="Low"),"LOW",IF(AND(C90="TS",F90="High",D90=3),"HIGH",IF(AND(C90="TS",F90="High",OR(D90=2,D90=4)),"MODERATE",IF(AND(C90="TS",F90="High",OR(D90=1,D90=5)),"LOW",IF(AND(C90="OS",E90="Consistent",OR(D90=1,D90=5)),"MODERATE",IF(AND(C90="OS",E90="Partially Consistent",OR(D90=2,D90=4)),"MODERATE","LOW"))))))</f>
        <v/>
      </c>
      <c r="H90" t="inlineStr"/>
      <c r="I90" t="inlineStr"/>
      <c r="J90" t="inlineStr"/>
      <c r="K90" t="inlineStr"/>
      <c r="L90" t="inlineStr"/>
      <c r="M90" t="inlineStr">
        <is>
          <t>https://www.lazada.com.ph/products/pdp-i278633257-s14323854110.html</t>
        </is>
      </c>
      <c r="N90" t="n">
        <v>1</v>
      </c>
    </row>
    <row r="91">
      <c r="A91" t="inlineStr">
        <is>
          <t>the vacuum is properly working but it doesnt suck well.</t>
        </is>
      </c>
      <c r="B91" t="inlineStr">
        <is>
          <t>NEUTRAL</t>
        </is>
      </c>
      <c r="C91">
        <f>IF(B91="NEUTRAL","TS","OS")</f>
        <v/>
      </c>
      <c r="D91" t="n">
        <v>3</v>
      </c>
      <c r="E91">
        <f>IF(C91="TS",IF(D91=3,"Consistent",IF(OR(D91=2,D91=4),"Partially Consistent","Inconsistent")),IF(D91=3,"Inconsistent",IF(AND(D91=5,B91="POSITIVE"),"Consistent",IF(AND(D91=1,B91="NEGATIVE"),"Consistent",IF(AND(D91=4,B91="POSITIVE"),"Partially Consistent",IF(AND(D91=2,B91="NEGATIVE"),"Partially Consistent","Inconsistent"))))))</f>
        <v/>
      </c>
      <c r="F91">
        <f>IF(C91="TS","High","Low")</f>
        <v/>
      </c>
      <c r="G91">
        <f>IF(AND(B91="NEUTRAL",F91="Low"),"LOW",IF(AND(C91="TS",F91="High",D91=3),"HIGH",IF(AND(C91="TS",F91="High",OR(D91=2,D91=4)),"MODERATE",IF(AND(C91="TS",F91="High",OR(D91=1,D91=5)),"LOW",IF(AND(C91="OS",E91="Consistent",OR(D91=1,D91=5)),"MODERATE",IF(AND(C91="OS",E91="Partially Consistent",OR(D91=2,D91=4)),"MODERATE","LOW"))))))</f>
        <v/>
      </c>
      <c r="H91" t="inlineStr"/>
      <c r="I91" t="inlineStr"/>
      <c r="J91" t="inlineStr"/>
      <c r="K91" t="inlineStr"/>
      <c r="L91" t="inlineStr"/>
      <c r="M91" t="inlineStr">
        <is>
          <t>https://www.lazada.com.ph/products/pdp-i278633257-s14323854110.html</t>
        </is>
      </c>
      <c r="N91" t="n">
        <v>1</v>
      </c>
    </row>
    <row r="92">
      <c r="A92" t="inlineStr">
        <is>
          <t>ang bilis ng delivery, almost complete naman yun mga items. kaso dun sa manual at saka sa box, may nakalagay na hepa filter, pero dun sa item na nareceived ko ay wala. sana po masagot ako ng seller kasi nag message din ako sa kanila dito. pag okay na gagawin ko na ulit 5 star ratings ko. :)</t>
        </is>
      </c>
      <c r="B92" t="inlineStr">
        <is>
          <t>NEUTRAL</t>
        </is>
      </c>
      <c r="C92">
        <f>IF(B92="NEUTRAL","TS","OS")</f>
        <v/>
      </c>
      <c r="D92" t="n">
        <v>3</v>
      </c>
      <c r="E92">
        <f>IF(C92="TS",IF(D92=3,"Consistent",IF(OR(D92=2,D92=4),"Partially Consistent","Inconsistent")),IF(D92=3,"Inconsistent",IF(AND(D92=5,B92="POSITIVE"),"Consistent",IF(AND(D92=1,B92="NEGATIVE"),"Consistent",IF(AND(D92=4,B92="POSITIVE"),"Partially Consistent",IF(AND(D92=2,B92="NEGATIVE"),"Partially Consistent","Inconsistent"))))))</f>
        <v/>
      </c>
      <c r="F92">
        <f>IF(C92="TS","High","Low")</f>
        <v/>
      </c>
      <c r="G92">
        <f>IF(AND(B92="NEUTRAL",F92="Low"),"LOW",IF(AND(C92="TS",F92="High",D92=3),"HIGH",IF(AND(C92="TS",F92="High",OR(D92=2,D92=4)),"MODERATE",IF(AND(C92="TS",F92="High",OR(D92=1,D92=5)),"LOW",IF(AND(C92="OS",E92="Consistent",OR(D92=1,D92=5)),"MODERATE",IF(AND(C92="OS",E92="Partially Consistent",OR(D92=2,D92=4)),"MODERATE","LOW"))))))</f>
        <v/>
      </c>
      <c r="H92" t="inlineStr"/>
      <c r="I92" t="inlineStr"/>
      <c r="J92" t="inlineStr"/>
      <c r="K92" t="inlineStr"/>
      <c r="L92" t="inlineStr"/>
      <c r="M92" t="inlineStr">
        <is>
          <t>https://www.lazada.com.ph/products/pdp-i278633257-s14323854110.html</t>
        </is>
      </c>
      <c r="N92" t="n">
        <v>1</v>
      </c>
    </row>
    <row r="93">
      <c r="A93" t="inlineStr">
        <is>
          <t>received parcel earlier than expected. maayos packaging. 2nd time to order for tapo and it doesnt disappoint. great video quality! , reliable motion detection. all in all it is a great buy</t>
        </is>
      </c>
      <c r="B93" t="inlineStr">
        <is>
          <t>POSITIVE</t>
        </is>
      </c>
      <c r="C93">
        <f>IF(B93="NEUTRAL","TS","OS")</f>
        <v/>
      </c>
      <c r="D93" t="n">
        <v>5</v>
      </c>
      <c r="E93">
        <f>IF(C93="TS",IF(D93=3,"Consistent",IF(OR(D93=2,D93=4),"Partially Consistent","Inconsistent")),IF(D93=3,"Inconsistent",IF(AND(D93=5,B93="POSITIVE"),"Consistent",IF(AND(D93=1,B93="NEGATIVE"),"Consistent",IF(AND(D93=4,B93="POSITIVE"),"Partially Consistent",IF(AND(D93=2,B93="NEGATIVE"),"Partially Consistent","Inconsistent"))))))</f>
        <v/>
      </c>
      <c r="F93">
        <f>IF(C93="TS","High","Low")</f>
        <v/>
      </c>
      <c r="G93">
        <f>IF(AND(B93="NEUTRAL",F93="Low"),"LOW",IF(AND(C93="TS",F93="High",D93=3),"HIGH",IF(AND(C93="TS",F93="High",OR(D93=2,D93=4)),"MODERATE",IF(AND(C93="TS",F93="High",OR(D93=1,D93=5)),"LOW",IF(AND(C93="OS",E93="Consistent",OR(D93=1,D93=5)),"MODERATE",IF(AND(C93="OS",E93="Partially Consistent",OR(D93=2,D93=4)),"MODERATE","LOW"))))))</f>
        <v/>
      </c>
      <c r="H93" t="inlineStr"/>
      <c r="I93" t="inlineStr"/>
      <c r="J93" t="inlineStr"/>
      <c r="K93" t="inlineStr"/>
      <c r="L93" t="inlineStr"/>
      <c r="M93" t="inlineStr">
        <is>
          <t>https://www.lazada.com.ph/products/pdp-i1416996096-s29809518922.html</t>
        </is>
      </c>
      <c r="N93" t="n">
        <v>2</v>
      </c>
    </row>
    <row r="94">
      <c r="A94" t="inlineStr">
        <is>
          <t>very fast delivery. well packaged. the product is secured and it arrived safely. functioning. walang damage. sobrang helpful nito. thank you sa freebie na sd card.</t>
        </is>
      </c>
      <c r="B94" t="inlineStr">
        <is>
          <t>POSITIVE</t>
        </is>
      </c>
      <c r="C94">
        <f>IF(B94="NEUTRAL","TS","OS")</f>
        <v/>
      </c>
      <c r="D94" t="n">
        <v>5</v>
      </c>
      <c r="E94">
        <f>IF(C94="TS",IF(D94=3,"Consistent",IF(OR(D94=2,D94=4),"Partially Consistent","Inconsistent")),IF(D94=3,"Inconsistent",IF(AND(D94=5,B94="POSITIVE"),"Consistent",IF(AND(D94=1,B94="NEGATIVE"),"Consistent",IF(AND(D94=4,B94="POSITIVE"),"Partially Consistent",IF(AND(D94=2,B94="NEGATIVE"),"Partially Consistent","Inconsistent"))))))</f>
        <v/>
      </c>
      <c r="F94">
        <f>IF(C94="TS","High","Low")</f>
        <v/>
      </c>
      <c r="G94">
        <f>IF(AND(B94="NEUTRAL",F94="Low"),"LOW",IF(AND(C94="TS",F94="High",D94=3),"HIGH",IF(AND(C94="TS",F94="High",OR(D94=2,D94=4)),"MODERATE",IF(AND(C94="TS",F94="High",OR(D94=1,D94=5)),"LOW",IF(AND(C94="OS",E94="Consistent",OR(D94=1,D94=5)),"MODERATE",IF(AND(C94="OS",E94="Partially Consistent",OR(D94=2,D94=4)),"MODERATE","LOW"))))))</f>
        <v/>
      </c>
      <c r="H94" t="inlineStr"/>
      <c r="I94" t="inlineStr"/>
      <c r="J94" t="inlineStr"/>
      <c r="K94" t="inlineStr"/>
      <c r="L94" t="inlineStr"/>
      <c r="M94" t="inlineStr">
        <is>
          <t>https://www.lazada.com.ph/products/pdp-i1416996096-s29809518922.html</t>
        </is>
      </c>
      <c r="N94" t="n">
        <v>2</v>
      </c>
    </row>
    <row r="95">
      <c r="A95" t="inlineStr">
        <is>
          <t>satisfied with my purchase. user-friendly interface, easy installation process,</t>
        </is>
      </c>
      <c r="B95" t="inlineStr">
        <is>
          <t>POSITIVE</t>
        </is>
      </c>
      <c r="C95">
        <f>IF(B95="NEUTRAL","TS","OS")</f>
        <v/>
      </c>
      <c r="D95" t="n">
        <v>5</v>
      </c>
      <c r="E95">
        <f>IF(C95="TS",IF(D95=3,"Consistent",IF(OR(D95=2,D95=4),"Partially Consistent","Inconsistent")),IF(D95=3,"Inconsistent",IF(AND(D95=5,B95="POSITIVE"),"Consistent",IF(AND(D95=1,B95="NEGATIVE"),"Consistent",IF(AND(D95=4,B95="POSITIVE"),"Partially Consistent",IF(AND(D95=2,B95="NEGATIVE"),"Partially Consistent","Inconsistent"))))))</f>
        <v/>
      </c>
      <c r="F95">
        <f>IF(C95="TS","High","Low")</f>
        <v/>
      </c>
      <c r="G95">
        <f>IF(AND(B95="NEUTRAL",F95="Low"),"LOW",IF(AND(C95="TS",F95="High",D95=3),"HIGH",IF(AND(C95="TS",F95="High",OR(D95=2,D95=4)),"MODERATE",IF(AND(C95="TS",F95="High",OR(D95=1,D95=5)),"LOW",IF(AND(C95="OS",E95="Consistent",OR(D95=1,D95=5)),"MODERATE",IF(AND(C95="OS",E95="Partially Consistent",OR(D95=2,D95=4)),"MODERATE","LOW"))))))</f>
        <v/>
      </c>
      <c r="H95" t="inlineStr"/>
      <c r="I95" t="inlineStr"/>
      <c r="J95" t="inlineStr"/>
      <c r="K95" t="inlineStr"/>
      <c r="L95" t="inlineStr"/>
      <c r="M95" t="inlineStr">
        <is>
          <t>https://www.lazada.com.ph/products/pdp-i1416996096-s29809518922.html</t>
        </is>
      </c>
      <c r="N95" t="n">
        <v>2</v>
      </c>
    </row>
    <row r="96">
      <c r="A96" t="inlineStr">
        <is>
          <t>clear and crisp images. user-friendly interface resolution: remote access:</t>
        </is>
      </c>
      <c r="B96" t="inlineStr">
        <is>
          <t>NEUTRAL</t>
        </is>
      </c>
      <c r="C96">
        <f>IF(B96="NEUTRAL","TS","OS")</f>
        <v/>
      </c>
      <c r="D96" t="n">
        <v>5</v>
      </c>
      <c r="E96">
        <f>IF(C96="TS",IF(D96=3,"Consistent",IF(OR(D96=2,D96=4),"Partially Consistent","Inconsistent")),IF(D96=3,"Inconsistent",IF(AND(D96=5,B96="POSITIVE"),"Consistent",IF(AND(D96=1,B96="NEGATIVE"),"Consistent",IF(AND(D96=4,B96="POSITIVE"),"Partially Consistent",IF(AND(D96=2,B96="NEGATIVE"),"Partially Consistent","Inconsistent"))))))</f>
        <v/>
      </c>
      <c r="F96">
        <f>IF(C96="TS","High","Low")</f>
        <v/>
      </c>
      <c r="G96">
        <f>IF(AND(B96="NEUTRAL",F96="Low"),"LOW",IF(AND(C96="TS",F96="High",D96=3),"HIGH",IF(AND(C96="TS",F96="High",OR(D96=2,D96=4)),"MODERATE",IF(AND(C96="TS",F96="High",OR(D96=1,D96=5)),"LOW",IF(AND(C96="OS",E96="Consistent",OR(D96=1,D96=5)),"MODERATE",IF(AND(C96="OS",E96="Partially Consistent",OR(D96=2,D96=4)),"MODERATE","LOW"))))))</f>
        <v/>
      </c>
      <c r="H96" t="inlineStr"/>
      <c r="I96" t="inlineStr"/>
      <c r="J96" t="inlineStr"/>
      <c r="K96" t="inlineStr"/>
      <c r="L96" t="inlineStr"/>
      <c r="M96" t="inlineStr">
        <is>
          <t>https://www.lazada.com.ph/products/pdp-i1416996096-s29809518922.html</t>
        </is>
      </c>
      <c r="N96" t="n">
        <v>2</v>
      </c>
    </row>
    <row r="97">
      <c r="A97" t="inlineStr">
        <is>
          <t>user-friendly interface, great video quality! , clear and crisp images, highly recommended for home security, highly recommended for home security, reliable motion detection, convenient two-way audio feature, large storage capacity,</t>
        </is>
      </c>
      <c r="B97" t="inlineStr">
        <is>
          <t>POSITIVE</t>
        </is>
      </c>
      <c r="C97">
        <f>IF(B97="NEUTRAL","TS","OS")</f>
        <v/>
      </c>
      <c r="D97" t="n">
        <v>5</v>
      </c>
      <c r="E97">
        <f>IF(C97="TS",IF(D97=3,"Consistent",IF(OR(D97=2,D97=4),"Partially Consistent","Inconsistent")),IF(D97=3,"Inconsistent",IF(AND(D97=5,B97="POSITIVE"),"Consistent",IF(AND(D97=1,B97="NEGATIVE"),"Consistent",IF(AND(D97=4,B97="POSITIVE"),"Partially Consistent",IF(AND(D97=2,B97="NEGATIVE"),"Partially Consistent","Inconsistent"))))))</f>
        <v/>
      </c>
      <c r="F97">
        <f>IF(C97="TS","High","Low")</f>
        <v/>
      </c>
      <c r="G97">
        <f>IF(AND(B97="NEUTRAL",F97="Low"),"LOW",IF(AND(C97="TS",F97="High",D97=3),"HIGH",IF(AND(C97="TS",F97="High",OR(D97=2,D97=4)),"MODERATE",IF(AND(C97="TS",F97="High",OR(D97=1,D97=5)),"LOW",IF(AND(C97="OS",E97="Consistent",OR(D97=1,D97=5)),"MODERATE",IF(AND(C97="OS",E97="Partially Consistent",OR(D97=2,D97=4)),"MODERATE","LOW"))))))</f>
        <v/>
      </c>
      <c r="H97" t="inlineStr"/>
      <c r="I97" t="inlineStr"/>
      <c r="J97" t="inlineStr"/>
      <c r="K97" t="inlineStr"/>
      <c r="L97" t="inlineStr"/>
      <c r="M97" t="inlineStr">
        <is>
          <t>https://www.lazada.com.ph/products/pdp-i1416996096-s29809518922.html</t>
        </is>
      </c>
      <c r="N97" t="n">
        <v>2</v>
      </c>
    </row>
    <row r="98">
      <c r="A98" t="inlineStr">
        <is>
          <t>resolution: excellent night vision capabilities, great video quality! , highly recommended for home security, versatile for indoor and outdoor use,</t>
        </is>
      </c>
      <c r="B98" t="inlineStr">
        <is>
          <t>POSITIVE</t>
        </is>
      </c>
      <c r="C98">
        <f>IF(B98="NEUTRAL","TS","OS")</f>
        <v/>
      </c>
      <c r="D98" t="n">
        <v>5</v>
      </c>
      <c r="E98">
        <f>IF(C98="TS",IF(D98=3,"Consistent",IF(OR(D98=2,D98=4),"Partially Consistent","Inconsistent")),IF(D98=3,"Inconsistent",IF(AND(D98=5,B98="POSITIVE"),"Consistent",IF(AND(D98=1,B98="NEGATIVE"),"Consistent",IF(AND(D98=4,B98="POSITIVE"),"Partially Consistent",IF(AND(D98=2,B98="NEGATIVE"),"Partially Consistent","Inconsistent"))))))</f>
        <v/>
      </c>
      <c r="F98">
        <f>IF(C98="TS","High","Low")</f>
        <v/>
      </c>
      <c r="G98">
        <f>IF(AND(B98="NEUTRAL",F98="Low"),"LOW",IF(AND(C98="TS",F98="High",D98=3),"HIGH",IF(AND(C98="TS",F98="High",OR(D98=2,D98=4)),"MODERATE",IF(AND(C98="TS",F98="High",OR(D98=1,D98=5)),"LOW",IF(AND(C98="OS",E98="Consistent",OR(D98=1,D98=5)),"MODERATE",IF(AND(C98="OS",E98="Partially Consistent",OR(D98=2,D98=4)),"MODERATE","LOW"))))))</f>
        <v/>
      </c>
      <c r="H98" t="inlineStr"/>
      <c r="I98" t="inlineStr"/>
      <c r="J98" t="inlineStr"/>
      <c r="K98" t="inlineStr"/>
      <c r="L98" t="inlineStr"/>
      <c r="M98" t="inlineStr">
        <is>
          <t>https://www.lazada.com.ph/products/pdp-i1416996096-s29809518922.html</t>
        </is>
      </c>
      <c r="N98" t="n">
        <v>2</v>
      </c>
    </row>
    <row r="99">
      <c r="A99" t="inlineStr">
        <is>
          <t>versatile for indoor and outdoor use, excellent night vision capabilities, great video quality! , large storage capacity, user-friendly interface, reliable motion detection, easy installation process, highly recommended for home security,</t>
        </is>
      </c>
      <c r="B99" t="inlineStr">
        <is>
          <t>POSITIVE</t>
        </is>
      </c>
      <c r="C99">
        <f>IF(B99="NEUTRAL","TS","OS")</f>
        <v/>
      </c>
      <c r="D99" t="n">
        <v>5</v>
      </c>
      <c r="E99">
        <f>IF(C99="TS",IF(D99=3,"Consistent",IF(OR(D99=2,D99=4),"Partially Consistent","Inconsistent")),IF(D99=3,"Inconsistent",IF(AND(D99=5,B99="POSITIVE"),"Consistent",IF(AND(D99=1,B99="NEGATIVE"),"Consistent",IF(AND(D99=4,B99="POSITIVE"),"Partially Consistent",IF(AND(D99=2,B99="NEGATIVE"),"Partially Consistent","Inconsistent"))))))</f>
        <v/>
      </c>
      <c r="F99">
        <f>IF(C99="TS","High","Low")</f>
        <v/>
      </c>
      <c r="G99">
        <f>IF(AND(B99="NEUTRAL",F99="Low"),"LOW",IF(AND(C99="TS",F99="High",D99=3),"HIGH",IF(AND(C99="TS",F99="High",OR(D99=2,D99=4)),"MODERATE",IF(AND(C99="TS",F99="High",OR(D99=1,D99=5)),"LOW",IF(AND(C99="OS",E99="Consistent",OR(D99=1,D99=5)),"MODERATE",IF(AND(C99="OS",E99="Partially Consistent",OR(D99=2,D99=4)),"MODERATE","LOW"))))))</f>
        <v/>
      </c>
      <c r="H99" t="inlineStr"/>
      <c r="I99" t="inlineStr"/>
      <c r="J99" t="inlineStr"/>
      <c r="K99" t="inlineStr"/>
      <c r="L99" t="inlineStr"/>
      <c r="M99" t="inlineStr">
        <is>
          <t>https://www.lazada.com.ph/products/pdp-i1416996096-s29809518922.html</t>
        </is>
      </c>
      <c r="N99" t="n">
        <v>2</v>
      </c>
    </row>
    <row r="100">
      <c r="A100" t="inlineStr">
        <is>
          <t>resolution: good night vision: good remote access: goodeasy installation process,</t>
        </is>
      </c>
      <c r="B100" t="inlineStr">
        <is>
          <t>POSITIVE</t>
        </is>
      </c>
      <c r="C100">
        <f>IF(B100="NEUTRAL","TS","OS")</f>
        <v/>
      </c>
      <c r="D100" t="n">
        <v>5</v>
      </c>
      <c r="E100">
        <f>IF(C100="TS",IF(D100=3,"Consistent",IF(OR(D100=2,D100=4),"Partially Consistent","Inconsistent")),IF(D100=3,"Inconsistent",IF(AND(D100=5,B100="POSITIVE"),"Consistent",IF(AND(D100=1,B100="NEGATIVE"),"Consistent",IF(AND(D100=4,B100="POSITIVE"),"Partially Consistent",IF(AND(D100=2,B100="NEGATIVE"),"Partially Consistent","Inconsistent"))))))</f>
        <v/>
      </c>
      <c r="F100">
        <f>IF(C100="TS","High","Low")</f>
        <v/>
      </c>
      <c r="G100">
        <f>IF(AND(B100="NEUTRAL",F100="Low"),"LOW",IF(AND(C100="TS",F100="High",D100=3),"HIGH",IF(AND(C100="TS",F100="High",OR(D100=2,D100=4)),"MODERATE",IF(AND(C100="TS",F100="High",OR(D100=1,D100=5)),"LOW",IF(AND(C100="OS",E100="Consistent",OR(D100=1,D100=5)),"MODERATE",IF(AND(C100="OS",E100="Partially Consistent",OR(D100=2,D100=4)),"MODERATE","LOW"))))))</f>
        <v/>
      </c>
      <c r="H100" t="inlineStr"/>
      <c r="I100" t="inlineStr"/>
      <c r="J100" t="inlineStr"/>
      <c r="K100" t="inlineStr"/>
      <c r="L100" t="inlineStr"/>
      <c r="M100" t="inlineStr">
        <is>
          <t>https://www.lazada.com.ph/products/pdp-i1416996096-s29809518922.html</t>
        </is>
      </c>
      <c r="N100" t="n">
        <v>2</v>
      </c>
    </row>
    <row r="101">
      <c r="A101" t="inlineStr">
        <is>
          <t>highly recommended for home security, large storage capacity, highly recommended for home security, large storage capacity, great video quality! , clear and crisp images, convenient two-way audio feature, excellent night vision capabilities, user-friendly interface, reliable motion detection,</t>
        </is>
      </c>
      <c r="B101" t="inlineStr">
        <is>
          <t>POSITIVE</t>
        </is>
      </c>
      <c r="C101">
        <f>IF(B101="NEUTRAL","TS","OS")</f>
        <v/>
      </c>
      <c r="D101" t="n">
        <v>5</v>
      </c>
      <c r="E101">
        <f>IF(C101="TS",IF(D101=3,"Consistent",IF(OR(D101=2,D101=4),"Partially Consistent","Inconsistent")),IF(D101=3,"Inconsistent",IF(AND(D101=5,B101="POSITIVE"),"Consistent",IF(AND(D101=1,B101="NEGATIVE"),"Consistent",IF(AND(D101=4,B101="POSITIVE"),"Partially Consistent",IF(AND(D101=2,B101="NEGATIVE"),"Partially Consistent","Inconsistent"))))))</f>
        <v/>
      </c>
      <c r="F101">
        <f>IF(C101="TS","High","Low")</f>
        <v/>
      </c>
      <c r="G101">
        <f>IF(AND(B101="NEUTRAL",F101="Low"),"LOW",IF(AND(C101="TS",F101="High",D101=3),"HIGH",IF(AND(C101="TS",F101="High",OR(D101=2,D101=4)),"MODERATE",IF(AND(C101="TS",F101="High",OR(D101=1,D101=5)),"LOW",IF(AND(C101="OS",E101="Consistent",OR(D101=1,D101=5)),"MODERATE",IF(AND(C101="OS",E101="Partially Consistent",OR(D101=2,D101=4)),"MODERATE","LOW"))))))</f>
        <v/>
      </c>
      <c r="H101" t="inlineStr"/>
      <c r="I101" t="inlineStr"/>
      <c r="J101" t="inlineStr"/>
      <c r="K101" t="inlineStr"/>
      <c r="L101" t="inlineStr"/>
      <c r="M101" t="inlineStr">
        <is>
          <t>https://www.lazada.com.ph/products/pdp-i1416996096-s29809518922.html</t>
        </is>
      </c>
      <c r="N101" t="n">
        <v>2</v>
      </c>
    </row>
    <row r="102">
      <c r="A102" t="inlineStr">
        <is>
          <t>gohas plaque- lgu plaque- 3 pcs garland- 130 pcs souvenir mugs- 15 pcs frosted mugs- 4x8 gate 2 tarp- 9x20 stage backdrop- 40 pcs invitation- to print 1 draft for s' rtt checking on march 14 4 pcs memento- ongoing cavassing vips toblerone- office charts- fdas monitoring- updated completion of erg - ongoing reproduction of mall id- ongoing 201 files- vaflor (brgy, court&amp;police, license exp.) ernie (ibarra (barredo (id, white mug =65 x 130pcs= 8, 450 beer mug= 250 x 15pcs= 3, 750 garland =654 (3pcs) (acrylic price not included) gohas plaque= 4, 000 delivery fee =+345 memento= 3, 250 (nameplate price not included) lgu certificate= invitation= 9x20 back drop= 4x8 welcome tarp= toblerone 8 vip names=</t>
        </is>
      </c>
      <c r="B102" t="inlineStr">
        <is>
          <t>NEGATIVE</t>
        </is>
      </c>
      <c r="C102">
        <f>IF(B102="NEUTRAL","TS","OS")</f>
        <v/>
      </c>
      <c r="D102" t="n">
        <v>5</v>
      </c>
      <c r="E102">
        <f>IF(C102="TS",IF(D102=3,"Consistent",IF(OR(D102=2,D102=4),"Partially Consistent","Inconsistent")),IF(D102=3,"Inconsistent",IF(AND(D102=5,B102="POSITIVE"),"Consistent",IF(AND(D102=1,B102="NEGATIVE"),"Consistent",IF(AND(D102=4,B102="POSITIVE"),"Partially Consistent",IF(AND(D102=2,B102="NEGATIVE"),"Partially Consistent","Inconsistent"))))))</f>
        <v/>
      </c>
      <c r="F102">
        <f>IF(C102="TS","High","Low")</f>
        <v/>
      </c>
      <c r="G102">
        <f>IF(AND(B102="NEUTRAL",F102="Low"),"LOW",IF(AND(C102="TS",F102="High",D102=3),"HIGH",IF(AND(C102="TS",F102="High",OR(D102=2,D102=4)),"MODERATE",IF(AND(C102="TS",F102="High",OR(D102=1,D102=5)),"LOW",IF(AND(C102="OS",E102="Consistent",OR(D102=1,D102=5)),"MODERATE",IF(AND(C102="OS",E102="Partially Consistent",OR(D102=2,D102=4)),"MODERATE","LOW"))))))</f>
        <v/>
      </c>
      <c r="H102" t="inlineStr"/>
      <c r="I102" t="inlineStr"/>
      <c r="J102" t="inlineStr"/>
      <c r="K102" t="inlineStr"/>
      <c r="L102" t="inlineStr"/>
      <c r="M102" t="inlineStr">
        <is>
          <t>https://www.lazada.com.ph/products/pdp-i1416996096-s29809518922.html</t>
        </is>
      </c>
      <c r="N102" t="n">
        <v>2</v>
      </c>
    </row>
    <row r="103">
      <c r="A103" t="inlineStr">
        <is>
          <t>8 lessons na natutunan ko kay roxanne guinoo sa toni talks 1. hindi lahat dapat ipaliwanag. minsan, mas okay ang manahimik. hindi mo kailangang magpaliwanag sa mga taong hindi naman interesado sa totoong nangyare. mind over matterwag mo silang isipin, kasi hindi sila mahalaga. 2. makikinig lang ang tao sa gusto nilang paniwalaan. kahit anong paliwanag mo, iba pa rin ang kwento nila. ang totoong kaibigan, tatanungin ka muna bago humusga. pero kung naniwala agad sila sa tsismis, baka matagal na nilang hinihintay ang pagkakamali moo baka simulat sapul, hindi ka talaga nila gusto. 3. wag habulin ang lumalayo. ang totoong tao sayo, hindi kailangang pilitin. yung aalis, eh di bye. 4. hindi mo kontrolado ang pananaw ng iba. kahit anong gawin mo, may masasabi pa rin sila. imbes na baguhin ang isip ng mga sarado na, mas mabuting ipagpatuloy mo na lang ang pagiging mabuting tao. 5. matuto sa pagkakamali, pero wag ipilit ang paliwanag at wag maging defensive. am</t>
        </is>
      </c>
      <c r="B103" t="inlineStr">
        <is>
          <t>NEGATIVE</t>
        </is>
      </c>
      <c r="C103">
        <f>IF(B103="NEUTRAL","TS","OS")</f>
        <v/>
      </c>
      <c r="D103" t="n">
        <v>5</v>
      </c>
      <c r="E103">
        <f>IF(C103="TS",IF(D103=3,"Consistent",IF(OR(D103=2,D103=4),"Partially Consistent","Inconsistent")),IF(D103=3,"Inconsistent",IF(AND(D103=5,B103="POSITIVE"),"Consistent",IF(AND(D103=1,B103="NEGATIVE"),"Consistent",IF(AND(D103=4,B103="POSITIVE"),"Partially Consistent",IF(AND(D103=2,B103="NEGATIVE"),"Partially Consistent","Inconsistent"))))))</f>
        <v/>
      </c>
      <c r="F103">
        <f>IF(C103="TS","High","Low")</f>
        <v/>
      </c>
      <c r="G103">
        <f>IF(AND(B103="NEUTRAL",F103="Low"),"LOW",IF(AND(C103="TS",F103="High",D103=3),"HIGH",IF(AND(C103="TS",F103="High",OR(D103=2,D103=4)),"MODERATE",IF(AND(C103="TS",F103="High",OR(D103=1,D103=5)),"LOW",IF(AND(C103="OS",E103="Consistent",OR(D103=1,D103=5)),"MODERATE",IF(AND(C103="OS",E103="Partially Consistent",OR(D103=2,D103=4)),"MODERATE","LOW"))))))</f>
        <v/>
      </c>
      <c r="H103" t="inlineStr"/>
      <c r="I103" t="inlineStr"/>
      <c r="J103" t="inlineStr"/>
      <c r="K103" t="inlineStr"/>
      <c r="L103" t="inlineStr"/>
      <c r="M103" t="inlineStr">
        <is>
          <t>https://www.lazada.com.ph/products/pdp-i1416996096-s29809518922.html</t>
        </is>
      </c>
      <c r="N103" t="n">
        <v>2</v>
      </c>
    </row>
    <row r="104">
      <c r="A104" t="inlineStr">
        <is>
          <t>clear and crisp images, great video quality! , great video quality! , great video quality! , great video quality! ,</t>
        </is>
      </c>
      <c r="B104" t="inlineStr">
        <is>
          <t>POSITIVE</t>
        </is>
      </c>
      <c r="C104">
        <f>IF(B104="NEUTRAL","TS","OS")</f>
        <v/>
      </c>
      <c r="D104" t="n">
        <v>5</v>
      </c>
      <c r="E104">
        <f>IF(C104="TS",IF(D104=3,"Consistent",IF(OR(D104=2,D104=4),"Partially Consistent","Inconsistent")),IF(D104=3,"Inconsistent",IF(AND(D104=5,B104="POSITIVE"),"Consistent",IF(AND(D104=1,B104="NEGATIVE"),"Consistent",IF(AND(D104=4,B104="POSITIVE"),"Partially Consistent",IF(AND(D104=2,B104="NEGATIVE"),"Partially Consistent","Inconsistent"))))))</f>
        <v/>
      </c>
      <c r="F104">
        <f>IF(C104="TS","High","Low")</f>
        <v/>
      </c>
      <c r="G104">
        <f>IF(AND(B104="NEUTRAL",F104="Low"),"LOW",IF(AND(C104="TS",F104="High",D104=3),"HIGH",IF(AND(C104="TS",F104="High",OR(D104=2,D104=4)),"MODERATE",IF(AND(C104="TS",F104="High",OR(D104=1,D104=5)),"LOW",IF(AND(C104="OS",E104="Consistent",OR(D104=1,D104=5)),"MODERATE",IF(AND(C104="OS",E104="Partially Consistent",OR(D104=2,D104=4)),"MODERATE","LOW"))))))</f>
        <v/>
      </c>
      <c r="H104" t="inlineStr"/>
      <c r="I104" t="inlineStr"/>
      <c r="J104" t="inlineStr"/>
      <c r="K104" t="inlineStr"/>
      <c r="L104" t="inlineStr"/>
      <c r="M104" t="inlineStr">
        <is>
          <t>https://www.lazada.com.ph/products/pdp-i1416996096-s29809518922.html</t>
        </is>
      </c>
      <c r="N104" t="n">
        <v>2</v>
      </c>
    </row>
    <row r="105">
      <c r="A105" t="inlineStr">
        <is>
          <t>item arrived on time. well-packaged and bubble wrapped. good addition to my current home and farm cctv setup. will buy again</t>
        </is>
      </c>
      <c r="B105" t="inlineStr">
        <is>
          <t>POSITIVE</t>
        </is>
      </c>
      <c r="C105">
        <f>IF(B105="NEUTRAL","TS","OS")</f>
        <v/>
      </c>
      <c r="D105" t="n">
        <v>5</v>
      </c>
      <c r="E105">
        <f>IF(C105="TS",IF(D105=3,"Consistent",IF(OR(D105=2,D105=4),"Partially Consistent","Inconsistent")),IF(D105=3,"Inconsistent",IF(AND(D105=5,B105="POSITIVE"),"Consistent",IF(AND(D105=1,B105="NEGATIVE"),"Consistent",IF(AND(D105=4,B105="POSITIVE"),"Partially Consistent",IF(AND(D105=2,B105="NEGATIVE"),"Partially Consistent","Inconsistent"))))))</f>
        <v/>
      </c>
      <c r="F105">
        <f>IF(C105="TS","High","Low")</f>
        <v/>
      </c>
      <c r="G105">
        <f>IF(AND(B105="NEUTRAL",F105="Low"),"LOW",IF(AND(C105="TS",F105="High",D105=3),"HIGH",IF(AND(C105="TS",F105="High",OR(D105=2,D105=4)),"MODERATE",IF(AND(C105="TS",F105="High",OR(D105=1,D105=5)),"LOW",IF(AND(C105="OS",E105="Consistent",OR(D105=1,D105=5)),"MODERATE",IF(AND(C105="OS",E105="Partially Consistent",OR(D105=2,D105=4)),"MODERATE","LOW"))))))</f>
        <v/>
      </c>
      <c r="H105" t="inlineStr"/>
      <c r="I105" t="inlineStr"/>
      <c r="J105" t="inlineStr"/>
      <c r="K105" t="inlineStr"/>
      <c r="L105" t="inlineStr"/>
      <c r="M105" t="inlineStr">
        <is>
          <t>https://www.lazada.com.ph/products/pdp-i1416996096-s29809518922.html</t>
        </is>
      </c>
      <c r="N105" t="n">
        <v>2</v>
      </c>
    </row>
    <row r="106">
      <c r="A106" t="inlineStr">
        <is>
          <t>highly recommended for home security, convenient two-way audio feature, convenient two-way audio feature, excellent night vision capabilities,</t>
        </is>
      </c>
      <c r="B106" t="inlineStr">
        <is>
          <t>NEUTRAL</t>
        </is>
      </c>
      <c r="C106">
        <f>IF(B106="NEUTRAL","TS","OS")</f>
        <v/>
      </c>
      <c r="D106" t="n">
        <v>5</v>
      </c>
      <c r="E106">
        <f>IF(C106="TS",IF(D106=3,"Consistent",IF(OR(D106=2,D106=4),"Partially Consistent","Inconsistent")),IF(D106=3,"Inconsistent",IF(AND(D106=5,B106="POSITIVE"),"Consistent",IF(AND(D106=1,B106="NEGATIVE"),"Consistent",IF(AND(D106=4,B106="POSITIVE"),"Partially Consistent",IF(AND(D106=2,B106="NEGATIVE"),"Partially Consistent","Inconsistent"))))))</f>
        <v/>
      </c>
      <c r="F106">
        <f>IF(C106="TS","High","Low")</f>
        <v/>
      </c>
      <c r="G106">
        <f>IF(AND(B106="NEUTRAL",F106="Low"),"LOW",IF(AND(C106="TS",F106="High",D106=3),"HIGH",IF(AND(C106="TS",F106="High",OR(D106=2,D106=4)),"MODERATE",IF(AND(C106="TS",F106="High",OR(D106=1,D106=5)),"LOW",IF(AND(C106="OS",E106="Consistent",OR(D106=1,D106=5)),"MODERATE",IF(AND(C106="OS",E106="Partially Consistent",OR(D106=2,D106=4)),"MODERATE","LOW"))))))</f>
        <v/>
      </c>
      <c r="H106" t="inlineStr"/>
      <c r="I106" t="inlineStr"/>
      <c r="J106" t="inlineStr"/>
      <c r="K106" t="inlineStr"/>
      <c r="L106" t="inlineStr"/>
      <c r="M106" t="inlineStr">
        <is>
          <t>https://www.lazada.com.ph/products/pdp-i1416996096-s29809518922.html</t>
        </is>
      </c>
      <c r="N106" t="n">
        <v>2</v>
      </c>
    </row>
    <row r="107">
      <c r="A107" t="inlineStr">
        <is>
          <t>thank you so much po. maayos po pagdating at ang bilis ng shippng. maganda talaga ang cam at vid ng tapo ang linaw tlaga ng kuha. . thank you so much po ulit</t>
        </is>
      </c>
      <c r="B107" t="inlineStr">
        <is>
          <t>POSITIVE</t>
        </is>
      </c>
      <c r="C107">
        <f>IF(B107="NEUTRAL","TS","OS")</f>
        <v/>
      </c>
      <c r="D107" t="n">
        <v>5</v>
      </c>
      <c r="E107">
        <f>IF(C107="TS",IF(D107=3,"Consistent",IF(OR(D107=2,D107=4),"Partially Consistent","Inconsistent")),IF(D107=3,"Inconsistent",IF(AND(D107=5,B107="POSITIVE"),"Consistent",IF(AND(D107=1,B107="NEGATIVE"),"Consistent",IF(AND(D107=4,B107="POSITIVE"),"Partially Consistent",IF(AND(D107=2,B107="NEGATIVE"),"Partially Consistent","Inconsistent"))))))</f>
        <v/>
      </c>
      <c r="F107">
        <f>IF(C107="TS","High","Low")</f>
        <v/>
      </c>
      <c r="G107">
        <f>IF(AND(B107="NEUTRAL",F107="Low"),"LOW",IF(AND(C107="TS",F107="High",D107=3),"HIGH",IF(AND(C107="TS",F107="High",OR(D107=2,D107=4)),"MODERATE",IF(AND(C107="TS",F107="High",OR(D107=1,D107=5)),"LOW",IF(AND(C107="OS",E107="Consistent",OR(D107=1,D107=5)),"MODERATE",IF(AND(C107="OS",E107="Partially Consistent",OR(D107=2,D107=4)),"MODERATE","LOW"))))))</f>
        <v/>
      </c>
      <c r="H107" t="inlineStr"/>
      <c r="I107" t="inlineStr"/>
      <c r="J107" t="inlineStr"/>
      <c r="K107" t="inlineStr"/>
      <c r="L107" t="inlineStr"/>
      <c r="M107" t="inlineStr">
        <is>
          <t>https://www.lazada.com.ph/products/pdp-i1416996096-s29809518922.html</t>
        </is>
      </c>
      <c r="N107" t="n">
        <v>2</v>
      </c>
    </row>
    <row r="108">
      <c r="A108" t="inlineStr">
        <is>
          <t>excellent night vision capabilities, versatile for indoor and outdoor use, user-friendly interface, great video quality! , large storage capacity,</t>
        </is>
      </c>
      <c r="B108" t="inlineStr">
        <is>
          <t>POSITIVE</t>
        </is>
      </c>
      <c r="C108">
        <f>IF(B108="NEUTRAL","TS","OS")</f>
        <v/>
      </c>
      <c r="D108" t="n">
        <v>5</v>
      </c>
      <c r="E108">
        <f>IF(C108="TS",IF(D108=3,"Consistent",IF(OR(D108=2,D108=4),"Partially Consistent","Inconsistent")),IF(D108=3,"Inconsistent",IF(AND(D108=5,B108="POSITIVE"),"Consistent",IF(AND(D108=1,B108="NEGATIVE"),"Consistent",IF(AND(D108=4,B108="POSITIVE"),"Partially Consistent",IF(AND(D108=2,B108="NEGATIVE"),"Partially Consistent","Inconsistent"))))))</f>
        <v/>
      </c>
      <c r="F108">
        <f>IF(C108="TS","High","Low")</f>
        <v/>
      </c>
      <c r="G108">
        <f>IF(AND(B108="NEUTRAL",F108="Low"),"LOW",IF(AND(C108="TS",F108="High",D108=3),"HIGH",IF(AND(C108="TS",F108="High",OR(D108=2,D108=4)),"MODERATE",IF(AND(C108="TS",F108="High",OR(D108=1,D108=5)),"LOW",IF(AND(C108="OS",E108="Consistent",OR(D108=1,D108=5)),"MODERATE",IF(AND(C108="OS",E108="Partially Consistent",OR(D108=2,D108=4)),"MODERATE","LOW"))))))</f>
        <v/>
      </c>
      <c r="H108" t="inlineStr"/>
      <c r="I108" t="inlineStr"/>
      <c r="J108" t="inlineStr"/>
      <c r="K108" t="inlineStr"/>
      <c r="L108" t="inlineStr"/>
      <c r="M108" t="inlineStr">
        <is>
          <t>https://www.lazada.com.ph/products/pdp-i1416996096-s29809518922.html</t>
        </is>
      </c>
      <c r="N108" t="n">
        <v>2</v>
      </c>
    </row>
    <row r="109">
      <c r="A109" t="inlineStr">
        <is>
          <t>large storage capacity, highly recommended for home security, highly recommended for home security, excellent night vision capabilities, great video quality! , clear and crisp images, convenient two-way audio feature,</t>
        </is>
      </c>
      <c r="B109" t="inlineStr">
        <is>
          <t>POSITIVE</t>
        </is>
      </c>
      <c r="C109">
        <f>IF(B109="NEUTRAL","TS","OS")</f>
        <v/>
      </c>
      <c r="D109" t="n">
        <v>5</v>
      </c>
      <c r="E109">
        <f>IF(C109="TS",IF(D109=3,"Consistent",IF(OR(D109=2,D109=4),"Partially Consistent","Inconsistent")),IF(D109=3,"Inconsistent",IF(AND(D109=5,B109="POSITIVE"),"Consistent",IF(AND(D109=1,B109="NEGATIVE"),"Consistent",IF(AND(D109=4,B109="POSITIVE"),"Partially Consistent",IF(AND(D109=2,B109="NEGATIVE"),"Partially Consistent","Inconsistent"))))))</f>
        <v/>
      </c>
      <c r="F109">
        <f>IF(C109="TS","High","Low")</f>
        <v/>
      </c>
      <c r="G109">
        <f>IF(AND(B109="NEUTRAL",F109="Low"),"LOW",IF(AND(C109="TS",F109="High",D109=3),"HIGH",IF(AND(C109="TS",F109="High",OR(D109=2,D109=4)),"MODERATE",IF(AND(C109="TS",F109="High",OR(D109=1,D109=5)),"LOW",IF(AND(C109="OS",E109="Consistent",OR(D109=1,D109=5)),"MODERATE",IF(AND(C109="OS",E109="Partially Consistent",OR(D109=2,D109=4)),"MODERATE","LOW"))))))</f>
        <v/>
      </c>
      <c r="H109" t="inlineStr"/>
      <c r="I109" t="inlineStr"/>
      <c r="J109" t="inlineStr"/>
      <c r="K109" t="inlineStr"/>
      <c r="L109" t="inlineStr"/>
      <c r="M109" t="inlineStr">
        <is>
          <t>https://www.lazada.com.ph/products/pdp-i1416996096-s29809518922.html</t>
        </is>
      </c>
      <c r="N109" t="n">
        <v>2</v>
      </c>
    </row>
    <row r="110">
      <c r="A110" t="inlineStr">
        <is>
          <t>highly recommended for home security, clear and crisp images, versatile for indoor and outdoor use.</t>
        </is>
      </c>
      <c r="B110" t="inlineStr">
        <is>
          <t>POSITIVE</t>
        </is>
      </c>
      <c r="C110">
        <f>IF(B110="NEUTRAL","TS","OS")</f>
        <v/>
      </c>
      <c r="D110" t="n">
        <v>5</v>
      </c>
      <c r="E110">
        <f>IF(C110="TS",IF(D110=3,"Consistent",IF(OR(D110=2,D110=4),"Partially Consistent","Inconsistent")),IF(D110=3,"Inconsistent",IF(AND(D110=5,B110="POSITIVE"),"Consistent",IF(AND(D110=1,B110="NEGATIVE"),"Consistent",IF(AND(D110=4,B110="POSITIVE"),"Partially Consistent",IF(AND(D110=2,B110="NEGATIVE"),"Partially Consistent","Inconsistent"))))))</f>
        <v/>
      </c>
      <c r="F110">
        <f>IF(C110="TS","High","Low")</f>
        <v/>
      </c>
      <c r="G110">
        <f>IF(AND(B110="NEUTRAL",F110="Low"),"LOW",IF(AND(C110="TS",F110="High",D110=3),"HIGH",IF(AND(C110="TS",F110="High",OR(D110=2,D110=4)),"MODERATE",IF(AND(C110="TS",F110="High",OR(D110=1,D110=5)),"LOW",IF(AND(C110="OS",E110="Consistent",OR(D110=1,D110=5)),"MODERATE",IF(AND(C110="OS",E110="Partially Consistent",OR(D110=2,D110=4)),"MODERATE","LOW"))))))</f>
        <v/>
      </c>
      <c r="H110" t="inlineStr"/>
      <c r="I110" t="inlineStr"/>
      <c r="J110" t="inlineStr"/>
      <c r="K110" t="inlineStr"/>
      <c r="L110" t="inlineStr"/>
      <c r="M110" t="inlineStr">
        <is>
          <t>https://www.lazada.com.ph/products/pdp-i1416996096-s29809518922.html</t>
        </is>
      </c>
      <c r="N110" t="n">
        <v>2</v>
      </c>
    </row>
    <row r="111">
      <c r="A111" t="inlineStr">
        <is>
          <t>user-friendly interface, easy installation process, reliable motion detection, excellent night vision capabilities,</t>
        </is>
      </c>
      <c r="B111" t="inlineStr">
        <is>
          <t>POSITIVE</t>
        </is>
      </c>
      <c r="C111">
        <f>IF(B111="NEUTRAL","TS","OS")</f>
        <v/>
      </c>
      <c r="D111" t="n">
        <v>5</v>
      </c>
      <c r="E111">
        <f>IF(C111="TS",IF(D111=3,"Consistent",IF(OR(D111=2,D111=4),"Partially Consistent","Inconsistent")),IF(D111=3,"Inconsistent",IF(AND(D111=5,B111="POSITIVE"),"Consistent",IF(AND(D111=1,B111="NEGATIVE"),"Consistent",IF(AND(D111=4,B111="POSITIVE"),"Partially Consistent",IF(AND(D111=2,B111="NEGATIVE"),"Partially Consistent","Inconsistent"))))))</f>
        <v/>
      </c>
      <c r="F111">
        <f>IF(C111="TS","High","Low")</f>
        <v/>
      </c>
      <c r="G111">
        <f>IF(AND(B111="NEUTRAL",F111="Low"),"LOW",IF(AND(C111="TS",F111="High",D111=3),"HIGH",IF(AND(C111="TS",F111="High",OR(D111=2,D111=4)),"MODERATE",IF(AND(C111="TS",F111="High",OR(D111=1,D111=5)),"LOW",IF(AND(C111="OS",E111="Consistent",OR(D111=1,D111=5)),"MODERATE",IF(AND(C111="OS",E111="Partially Consistent",OR(D111=2,D111=4)),"MODERATE","LOW"))))))</f>
        <v/>
      </c>
      <c r="H111" t="inlineStr"/>
      <c r="I111" t="inlineStr"/>
      <c r="J111" t="inlineStr"/>
      <c r="K111" t="inlineStr"/>
      <c r="L111" t="inlineStr"/>
      <c r="M111" t="inlineStr">
        <is>
          <t>https://www.lazada.com.ph/products/pdp-i1416996096-s29809518922.html</t>
        </is>
      </c>
      <c r="N111" t="n">
        <v>2</v>
      </c>
    </row>
    <row r="112">
      <c r="A112" t="inlineStr">
        <is>
          <t>reliable motion detection, highly recommended for home security, versatile for indoor and outdoor use, large storage capacity,</t>
        </is>
      </c>
      <c r="B112" t="inlineStr">
        <is>
          <t>NEUTRAL</t>
        </is>
      </c>
      <c r="C112">
        <f>IF(B112="NEUTRAL","TS","OS")</f>
        <v/>
      </c>
      <c r="D112" t="n">
        <v>5</v>
      </c>
      <c r="E112">
        <f>IF(C112="TS",IF(D112=3,"Consistent",IF(OR(D112=2,D112=4),"Partially Consistent","Inconsistent")),IF(D112=3,"Inconsistent",IF(AND(D112=5,B112="POSITIVE"),"Consistent",IF(AND(D112=1,B112="NEGATIVE"),"Consistent",IF(AND(D112=4,B112="POSITIVE"),"Partially Consistent",IF(AND(D112=2,B112="NEGATIVE"),"Partially Consistent","Inconsistent"))))))</f>
        <v/>
      </c>
      <c r="F112">
        <f>IF(C112="TS","High","Low")</f>
        <v/>
      </c>
      <c r="G112">
        <f>IF(AND(B112="NEUTRAL",F112="Low"),"LOW",IF(AND(C112="TS",F112="High",D112=3),"HIGH",IF(AND(C112="TS",F112="High",OR(D112=2,D112=4)),"MODERATE",IF(AND(C112="TS",F112="High",OR(D112=1,D112=5)),"LOW",IF(AND(C112="OS",E112="Consistent",OR(D112=1,D112=5)),"MODERATE",IF(AND(C112="OS",E112="Partially Consistent",OR(D112=2,D112=4)),"MODERATE","LOW"))))))</f>
        <v/>
      </c>
      <c r="H112" t="inlineStr"/>
      <c r="I112" t="inlineStr"/>
      <c r="J112" t="inlineStr"/>
      <c r="K112" t="inlineStr"/>
      <c r="L112" t="inlineStr"/>
      <c r="M112" t="inlineStr">
        <is>
          <t>https://www.lazada.com.ph/products/pdp-i1416996096-s29809518922.html</t>
        </is>
      </c>
      <c r="N112" t="n">
        <v>2</v>
      </c>
    </row>
    <row r="113">
      <c r="A113" t="inlineStr">
        <is>
          <t>reliable motion detection, highly recommended for home security, great video quality! ,</t>
        </is>
      </c>
      <c r="B113" t="inlineStr">
        <is>
          <t>POSITIVE</t>
        </is>
      </c>
      <c r="C113">
        <f>IF(B113="NEUTRAL","TS","OS")</f>
        <v/>
      </c>
      <c r="D113" t="n">
        <v>4</v>
      </c>
      <c r="E113">
        <f>IF(C113="TS",IF(D113=3,"Consistent",IF(OR(D113=2,D113=4),"Partially Consistent","Inconsistent")),IF(D113=3,"Inconsistent",IF(AND(D113=5,B113="POSITIVE"),"Consistent",IF(AND(D113=1,B113="NEGATIVE"),"Consistent",IF(AND(D113=4,B113="POSITIVE"),"Partially Consistent",IF(AND(D113=2,B113="NEGATIVE"),"Partially Consistent","Inconsistent"))))))</f>
        <v/>
      </c>
      <c r="F113">
        <f>IF(C113="TS","High","Low")</f>
        <v/>
      </c>
      <c r="G113">
        <f>IF(AND(B113="NEUTRAL",F113="Low"),"LOW",IF(AND(C113="TS",F113="High",D113=3),"HIGH",IF(AND(C113="TS",F113="High",OR(D113=2,D113=4)),"MODERATE",IF(AND(C113="TS",F113="High",OR(D113=1,D113=5)),"LOW",IF(AND(C113="OS",E113="Consistent",OR(D113=1,D113=5)),"MODERATE",IF(AND(C113="OS",E113="Partially Consistent",OR(D113=2,D113=4)),"MODERATE","LOW"))))))</f>
        <v/>
      </c>
      <c r="H113" t="inlineStr"/>
      <c r="I113" t="inlineStr"/>
      <c r="J113" t="inlineStr"/>
      <c r="K113" t="inlineStr"/>
      <c r="L113" t="inlineStr"/>
      <c r="M113" t="inlineStr">
        <is>
          <t>https://www.lazada.com.ph/products/pdp-i1416996096-s29809518922.html</t>
        </is>
      </c>
      <c r="N113" t="n">
        <v>2</v>
      </c>
    </row>
    <row r="114">
      <c r="A114" t="inlineStr">
        <is>
          <t>ok nmn po malinaw, kaya lng bkt po plage need iunplug dhl madalas offline po</t>
        </is>
      </c>
      <c r="B114" t="inlineStr">
        <is>
          <t>NEUTRAL</t>
        </is>
      </c>
      <c r="C114">
        <f>IF(B114="NEUTRAL","TS","OS")</f>
        <v/>
      </c>
      <c r="D114" t="n">
        <v>4</v>
      </c>
      <c r="E114">
        <f>IF(C114="TS",IF(D114=3,"Consistent",IF(OR(D114=2,D114=4),"Partially Consistent","Inconsistent")),IF(D114=3,"Inconsistent",IF(AND(D114=5,B114="POSITIVE"),"Consistent",IF(AND(D114=1,B114="NEGATIVE"),"Consistent",IF(AND(D114=4,B114="POSITIVE"),"Partially Consistent",IF(AND(D114=2,B114="NEGATIVE"),"Partially Consistent","Inconsistent"))))))</f>
        <v/>
      </c>
      <c r="F114">
        <f>IF(C114="TS","High","Low")</f>
        <v/>
      </c>
      <c r="G114">
        <f>IF(AND(B114="NEUTRAL",F114="Low"),"LOW",IF(AND(C114="TS",F114="High",D114=3),"HIGH",IF(AND(C114="TS",F114="High",OR(D114=2,D114=4)),"MODERATE",IF(AND(C114="TS",F114="High",OR(D114=1,D114=5)),"LOW",IF(AND(C114="OS",E114="Consistent",OR(D114=1,D114=5)),"MODERATE",IF(AND(C114="OS",E114="Partially Consistent",OR(D114=2,D114=4)),"MODERATE","LOW"))))))</f>
        <v/>
      </c>
      <c r="H114" t="inlineStr"/>
      <c r="I114" t="inlineStr"/>
      <c r="J114" t="inlineStr"/>
      <c r="K114" t="inlineStr"/>
      <c r="L114" t="inlineStr"/>
      <c r="M114" t="inlineStr">
        <is>
          <t>https://www.lazada.com.ph/products/pdp-i1416996096-s29809518922.html</t>
        </is>
      </c>
      <c r="N114" t="n">
        <v>2</v>
      </c>
    </row>
    <row r="115">
      <c r="A115" t="inlineStr">
        <is>
          <t>quality: good</t>
        </is>
      </c>
      <c r="B115" t="inlineStr">
        <is>
          <t>POSITIVE</t>
        </is>
      </c>
      <c r="C115">
        <f>IF(B115="NEUTRAL","TS","OS")</f>
        <v/>
      </c>
      <c r="D115" t="n">
        <v>4</v>
      </c>
      <c r="E115">
        <f>IF(C115="TS",IF(D115=3,"Consistent",IF(OR(D115=2,D115=4),"Partially Consistent","Inconsistent")),IF(D115=3,"Inconsistent",IF(AND(D115=5,B115="POSITIVE"),"Consistent",IF(AND(D115=1,B115="NEGATIVE"),"Consistent",IF(AND(D115=4,B115="POSITIVE"),"Partially Consistent",IF(AND(D115=2,B115="NEGATIVE"),"Partially Consistent","Inconsistent"))))))</f>
        <v/>
      </c>
      <c r="F115">
        <f>IF(C115="TS","High","Low")</f>
        <v/>
      </c>
      <c r="G115">
        <f>IF(AND(B115="NEUTRAL",F115="Low"),"LOW",IF(AND(C115="TS",F115="High",D115=3),"HIGH",IF(AND(C115="TS",F115="High",OR(D115=2,D115=4)),"MODERATE",IF(AND(C115="TS",F115="High",OR(D115=1,D115=5)),"LOW",IF(AND(C115="OS",E115="Consistent",OR(D115=1,D115=5)),"MODERATE",IF(AND(C115="OS",E115="Partially Consistent",OR(D115=2,D115=4)),"MODERATE","LOW"))))))</f>
        <v/>
      </c>
      <c r="H115" t="inlineStr"/>
      <c r="I115" t="inlineStr"/>
      <c r="J115" t="inlineStr"/>
      <c r="K115" t="inlineStr"/>
      <c r="L115" t="inlineStr"/>
      <c r="M115" t="inlineStr">
        <is>
          <t>https://www.lazada.com.ph/products/pdp-i1416996096-s29809518922.html</t>
        </is>
      </c>
      <c r="N115" t="n">
        <v>2</v>
      </c>
    </row>
    <row r="116">
      <c r="A116" t="inlineStr">
        <is>
          <t>pang 2nd ko na nag purchase nito sa kanila. so far ok naman yung naua. ok packaging, bilis ng deluvery. thanks seller at sa delivery partner nyo</t>
        </is>
      </c>
      <c r="B116" t="inlineStr">
        <is>
          <t>POSITIVE</t>
        </is>
      </c>
      <c r="C116">
        <f>IF(B116="NEUTRAL","TS","OS")</f>
        <v/>
      </c>
      <c r="D116" t="n">
        <v>4</v>
      </c>
      <c r="E116">
        <f>IF(C116="TS",IF(D116=3,"Consistent",IF(OR(D116=2,D116=4),"Partially Consistent","Inconsistent")),IF(D116=3,"Inconsistent",IF(AND(D116=5,B116="POSITIVE"),"Consistent",IF(AND(D116=1,B116="NEGATIVE"),"Consistent",IF(AND(D116=4,B116="POSITIVE"),"Partially Consistent",IF(AND(D116=2,B116="NEGATIVE"),"Partially Consistent","Inconsistent"))))))</f>
        <v/>
      </c>
      <c r="F116">
        <f>IF(C116="TS","High","Low")</f>
        <v/>
      </c>
      <c r="G116">
        <f>IF(AND(B116="NEUTRAL",F116="Low"),"LOW",IF(AND(C116="TS",F116="High",D116=3),"HIGH",IF(AND(C116="TS",F116="High",OR(D116=2,D116=4)),"MODERATE",IF(AND(C116="TS",F116="High",OR(D116=1,D116=5)),"LOW",IF(AND(C116="OS",E116="Consistent",OR(D116=1,D116=5)),"MODERATE",IF(AND(C116="OS",E116="Partially Consistent",OR(D116=2,D116=4)),"MODERATE","LOW"))))))</f>
        <v/>
      </c>
      <c r="H116" t="inlineStr"/>
      <c r="I116" t="inlineStr"/>
      <c r="J116" t="inlineStr"/>
      <c r="K116" t="inlineStr"/>
      <c r="L116" t="inlineStr"/>
      <c r="M116" t="inlineStr">
        <is>
          <t>https://www.lazada.com.ph/products/pdp-i1416996096-s29809518922.html</t>
        </is>
      </c>
      <c r="N116" t="n">
        <v>2</v>
      </c>
    </row>
    <row r="117">
      <c r="A117" t="inlineStr">
        <is>
          <t>works perfectly as expected. voice call and camera quality is satisfactory. though i thought that the camera could be tilt or do patrols.</t>
        </is>
      </c>
      <c r="B117" t="inlineStr">
        <is>
          <t>NEUTRAL</t>
        </is>
      </c>
      <c r="C117">
        <f>IF(B117="NEUTRAL","TS","OS")</f>
        <v/>
      </c>
      <c r="D117" t="n">
        <v>4</v>
      </c>
      <c r="E117">
        <f>IF(C117="TS",IF(D117=3,"Consistent",IF(OR(D117=2,D117=4),"Partially Consistent","Inconsistent")),IF(D117=3,"Inconsistent",IF(AND(D117=5,B117="POSITIVE"),"Consistent",IF(AND(D117=1,B117="NEGATIVE"),"Consistent",IF(AND(D117=4,B117="POSITIVE"),"Partially Consistent",IF(AND(D117=2,B117="NEGATIVE"),"Partially Consistent","Inconsistent"))))))</f>
        <v/>
      </c>
      <c r="F117">
        <f>IF(C117="TS","High","Low")</f>
        <v/>
      </c>
      <c r="G117">
        <f>IF(AND(B117="NEUTRAL",F117="Low"),"LOW",IF(AND(C117="TS",F117="High",D117=3),"HIGH",IF(AND(C117="TS",F117="High",OR(D117=2,D117=4)),"MODERATE",IF(AND(C117="TS",F117="High",OR(D117=1,D117=5)),"LOW",IF(AND(C117="OS",E117="Consistent",OR(D117=1,D117=5)),"MODERATE",IF(AND(C117="OS",E117="Partially Consistent",OR(D117=2,D117=4)),"MODERATE","LOW"))))))</f>
        <v/>
      </c>
      <c r="H117" t="inlineStr"/>
      <c r="I117" t="inlineStr"/>
      <c r="J117" t="inlineStr"/>
      <c r="K117" t="inlineStr"/>
      <c r="L117" t="inlineStr"/>
      <c r="M117" t="inlineStr">
        <is>
          <t>https://www.lazada.com.ph/products/pdp-i1416996096-s29809518922.html</t>
        </is>
      </c>
      <c r="N117" t="n">
        <v>2</v>
      </c>
    </row>
    <row r="118">
      <c r="A118" t="inlineStr">
        <is>
          <t>okay naman. wala lang yung free na micro sd. : - (</t>
        </is>
      </c>
      <c r="B118" t="inlineStr">
        <is>
          <t>NEUTRAL</t>
        </is>
      </c>
      <c r="C118">
        <f>IF(B118="NEUTRAL","TS","OS")</f>
        <v/>
      </c>
      <c r="D118" t="n">
        <v>4</v>
      </c>
      <c r="E118">
        <f>IF(C118="TS",IF(D118=3,"Consistent",IF(OR(D118=2,D118=4),"Partially Consistent","Inconsistent")),IF(D118=3,"Inconsistent",IF(AND(D118=5,B118="POSITIVE"),"Consistent",IF(AND(D118=1,B118="NEGATIVE"),"Consistent",IF(AND(D118=4,B118="POSITIVE"),"Partially Consistent",IF(AND(D118=2,B118="NEGATIVE"),"Partially Consistent","Inconsistent"))))))</f>
        <v/>
      </c>
      <c r="F118">
        <f>IF(C118="TS","High","Low")</f>
        <v/>
      </c>
      <c r="G118">
        <f>IF(AND(B118="NEUTRAL",F118="Low"),"LOW",IF(AND(C118="TS",F118="High",D118=3),"HIGH",IF(AND(C118="TS",F118="High",OR(D118=2,D118=4)),"MODERATE",IF(AND(C118="TS",F118="High",OR(D118=1,D118=5)),"LOW",IF(AND(C118="OS",E118="Consistent",OR(D118=1,D118=5)),"MODERATE",IF(AND(C118="OS",E118="Partially Consistent",OR(D118=2,D118=4)),"MODERATE","LOW"))))))</f>
        <v/>
      </c>
      <c r="H118" t="inlineStr"/>
      <c r="I118" t="inlineStr"/>
      <c r="J118" t="inlineStr"/>
      <c r="K118" t="inlineStr"/>
      <c r="L118" t="inlineStr"/>
      <c r="M118" t="inlineStr">
        <is>
          <t>https://www.lazada.com.ph/products/pdp-i1416996096-s29809518922.html</t>
        </is>
      </c>
      <c r="N118" t="n">
        <v>2</v>
      </c>
    </row>
    <row r="119">
      <c r="A119" t="inlineStr">
        <is>
          <t>worth for it' s price</t>
        </is>
      </c>
      <c r="B119" t="inlineStr">
        <is>
          <t>POSITIVE</t>
        </is>
      </c>
      <c r="C119">
        <f>IF(B119="NEUTRAL","TS","OS")</f>
        <v/>
      </c>
      <c r="D119" t="n">
        <v>4</v>
      </c>
      <c r="E119">
        <f>IF(C119="TS",IF(D119=3,"Consistent",IF(OR(D119=2,D119=4),"Partially Consistent","Inconsistent")),IF(D119=3,"Inconsistent",IF(AND(D119=5,B119="POSITIVE"),"Consistent",IF(AND(D119=1,B119="NEGATIVE"),"Consistent",IF(AND(D119=4,B119="POSITIVE"),"Partially Consistent",IF(AND(D119=2,B119="NEGATIVE"),"Partially Consistent","Inconsistent"))))))</f>
        <v/>
      </c>
      <c r="F119">
        <f>IF(C119="TS","High","Low")</f>
        <v/>
      </c>
      <c r="G119">
        <f>IF(AND(B119="NEUTRAL",F119="Low"),"LOW",IF(AND(C119="TS",F119="High",D119=3),"HIGH",IF(AND(C119="TS",F119="High",OR(D119=2,D119=4)),"MODERATE",IF(AND(C119="TS",F119="High",OR(D119=1,D119=5)),"LOW",IF(AND(C119="OS",E119="Consistent",OR(D119=1,D119=5)),"MODERATE",IF(AND(C119="OS",E119="Partially Consistent",OR(D119=2,D119=4)),"MODERATE","LOW"))))))</f>
        <v/>
      </c>
      <c r="H119" t="inlineStr"/>
      <c r="I119" t="inlineStr"/>
      <c r="J119" t="inlineStr"/>
      <c r="K119" t="inlineStr"/>
      <c r="L119" t="inlineStr"/>
      <c r="M119" t="inlineStr">
        <is>
          <t>https://www.lazada.com.ph/products/pdp-i1416996096-s29809518922.html</t>
        </is>
      </c>
      <c r="N119" t="n">
        <v>2</v>
      </c>
    </row>
    <row r="120">
      <c r="A120" t="inlineStr">
        <is>
          <t>user-friendly interface,</t>
        </is>
      </c>
      <c r="B120" t="inlineStr">
        <is>
          <t>NEGATIVE</t>
        </is>
      </c>
      <c r="C120">
        <f>IF(B120="NEUTRAL","TS","OS")</f>
        <v/>
      </c>
      <c r="D120" t="n">
        <v>4</v>
      </c>
      <c r="E120">
        <f>IF(C120="TS",IF(D120=3,"Consistent",IF(OR(D120=2,D120=4),"Partially Consistent","Inconsistent")),IF(D120=3,"Inconsistent",IF(AND(D120=5,B120="POSITIVE"),"Consistent",IF(AND(D120=1,B120="NEGATIVE"),"Consistent",IF(AND(D120=4,B120="POSITIVE"),"Partially Consistent",IF(AND(D120=2,B120="NEGATIVE"),"Partially Consistent","Inconsistent"))))))</f>
        <v/>
      </c>
      <c r="F120">
        <f>IF(C120="TS","High","Low")</f>
        <v/>
      </c>
      <c r="G120">
        <f>IF(AND(B120="NEUTRAL",F120="Low"),"LOW",IF(AND(C120="TS",F120="High",D120=3),"HIGH",IF(AND(C120="TS",F120="High",OR(D120=2,D120=4)),"MODERATE",IF(AND(C120="TS",F120="High",OR(D120=1,D120=5)),"LOW",IF(AND(C120="OS",E120="Consistent",OR(D120=1,D120=5)),"MODERATE",IF(AND(C120="OS",E120="Partially Consistent",OR(D120=2,D120=4)),"MODERATE","LOW"))))))</f>
        <v/>
      </c>
      <c r="H120" t="inlineStr"/>
      <c r="I120" t="inlineStr"/>
      <c r="J120" t="inlineStr"/>
      <c r="K120" t="inlineStr"/>
      <c r="L120" t="inlineStr"/>
      <c r="M120" t="inlineStr">
        <is>
          <t>https://www.lazada.com.ph/products/pdp-i1416996096-s29809518922.html</t>
        </is>
      </c>
      <c r="N120" t="n">
        <v>2</v>
      </c>
    </row>
    <row r="121">
      <c r="A121" t="inlineStr">
        <is>
          <t>easy set up except had difficulty inserting the sd card. screws were so tight in the lid that it was difficult to unscrew. it connected online quite easily.</t>
        </is>
      </c>
      <c r="B121" t="inlineStr">
        <is>
          <t>NEUTRAL</t>
        </is>
      </c>
      <c r="C121">
        <f>IF(B121="NEUTRAL","TS","OS")</f>
        <v/>
      </c>
      <c r="D121" t="n">
        <v>4</v>
      </c>
      <c r="E121">
        <f>IF(C121="TS",IF(D121=3,"Consistent",IF(OR(D121=2,D121=4),"Partially Consistent","Inconsistent")),IF(D121=3,"Inconsistent",IF(AND(D121=5,B121="POSITIVE"),"Consistent",IF(AND(D121=1,B121="NEGATIVE"),"Consistent",IF(AND(D121=4,B121="POSITIVE"),"Partially Consistent",IF(AND(D121=2,B121="NEGATIVE"),"Partially Consistent","Inconsistent"))))))</f>
        <v/>
      </c>
      <c r="F121">
        <f>IF(C121="TS","High","Low")</f>
        <v/>
      </c>
      <c r="G121">
        <f>IF(AND(B121="NEUTRAL",F121="Low"),"LOW",IF(AND(C121="TS",F121="High",D121=3),"HIGH",IF(AND(C121="TS",F121="High",OR(D121=2,D121=4)),"MODERATE",IF(AND(C121="TS",F121="High",OR(D121=1,D121=5)),"LOW",IF(AND(C121="OS",E121="Consistent",OR(D121=1,D121=5)),"MODERATE",IF(AND(C121="OS",E121="Partially Consistent",OR(D121=2,D121=4)),"MODERATE","LOW"))))))</f>
        <v/>
      </c>
      <c r="H121" t="inlineStr"/>
      <c r="I121" t="inlineStr"/>
      <c r="J121" t="inlineStr"/>
      <c r="K121" t="inlineStr"/>
      <c r="L121" t="inlineStr"/>
      <c r="M121" t="inlineStr">
        <is>
          <t>https://www.lazada.com.ph/products/pdp-i1416996096-s29809518922.html</t>
        </is>
      </c>
      <c r="N121" t="n">
        <v>2</v>
      </c>
    </row>
    <row r="122">
      <c r="A122" t="inlineStr">
        <is>
          <t>i have plenty of tapo cameras already and what i got from this one is a bad batch i suppose, for those persons that want to update their firmware, i suggest don' t, i tried that and it bricked my camera, i sent it to the support team, i hope i get my camera back soon, awesome customer service, though i feel bad for this camera, i haven' t experienced that problem with my other tapo cameras.</t>
        </is>
      </c>
      <c r="B122" t="inlineStr">
        <is>
          <t>NEUTRAL</t>
        </is>
      </c>
      <c r="C122">
        <f>IF(B122="NEUTRAL","TS","OS")</f>
        <v/>
      </c>
      <c r="D122" t="n">
        <v>4</v>
      </c>
      <c r="E122">
        <f>IF(C122="TS",IF(D122=3,"Consistent",IF(OR(D122=2,D122=4),"Partially Consistent","Inconsistent")),IF(D122=3,"Inconsistent",IF(AND(D122=5,B122="POSITIVE"),"Consistent",IF(AND(D122=1,B122="NEGATIVE"),"Consistent",IF(AND(D122=4,B122="POSITIVE"),"Partially Consistent",IF(AND(D122=2,B122="NEGATIVE"),"Partially Consistent","Inconsistent"))))))</f>
        <v/>
      </c>
      <c r="F122">
        <f>IF(C122="TS","High","Low")</f>
        <v/>
      </c>
      <c r="G122">
        <f>IF(AND(B122="NEUTRAL",F122="Low"),"LOW",IF(AND(C122="TS",F122="High",D122=3),"HIGH",IF(AND(C122="TS",F122="High",OR(D122=2,D122=4)),"MODERATE",IF(AND(C122="TS",F122="High",OR(D122=1,D122=5)),"LOW",IF(AND(C122="OS",E122="Consistent",OR(D122=1,D122=5)),"MODERATE",IF(AND(C122="OS",E122="Partially Consistent",OR(D122=2,D122=4)),"MODERATE","LOW"))))))</f>
        <v/>
      </c>
      <c r="H122" t="inlineStr"/>
      <c r="I122" t="inlineStr"/>
      <c r="J122" t="inlineStr"/>
      <c r="K122" t="inlineStr"/>
      <c r="L122" t="inlineStr"/>
      <c r="M122" t="inlineStr">
        <is>
          <t>https://www.lazada.com.ph/products/pdp-i1416996096-s29809518922.html</t>
        </is>
      </c>
      <c r="N122" t="n">
        <v>2</v>
      </c>
    </row>
    <row r="123">
      <c r="A123" t="inlineStr">
        <is>
          <t>2nd cctv purchased from this store. you have to figure out everything you need to know about this cos they are not so fond of responding to all you queries. they will answer in a very short sentences or will refer you to the manual when some of us would prefer to speak to a live person who knows the product well.</t>
        </is>
      </c>
      <c r="B123" t="inlineStr">
        <is>
          <t>POSITIVE</t>
        </is>
      </c>
      <c r="C123">
        <f>IF(B123="NEUTRAL","TS","OS")</f>
        <v/>
      </c>
      <c r="D123" t="n">
        <v>4</v>
      </c>
      <c r="E123">
        <f>IF(C123="TS",IF(D123=3,"Consistent",IF(OR(D123=2,D123=4),"Partially Consistent","Inconsistent")),IF(D123=3,"Inconsistent",IF(AND(D123=5,B123="POSITIVE"),"Consistent",IF(AND(D123=1,B123="NEGATIVE"),"Consistent",IF(AND(D123=4,B123="POSITIVE"),"Partially Consistent",IF(AND(D123=2,B123="NEGATIVE"),"Partially Consistent","Inconsistent"))))))</f>
        <v/>
      </c>
      <c r="F123">
        <f>IF(C123="TS","High","Low")</f>
        <v/>
      </c>
      <c r="G123">
        <f>IF(AND(B123="NEUTRAL",F123="Low"),"LOW",IF(AND(C123="TS",F123="High",D123=3),"HIGH",IF(AND(C123="TS",F123="High",OR(D123=2,D123=4)),"MODERATE",IF(AND(C123="TS",F123="High",OR(D123=1,D123=5)),"LOW",IF(AND(C123="OS",E123="Consistent",OR(D123=1,D123=5)),"MODERATE",IF(AND(C123="OS",E123="Partially Consistent",OR(D123=2,D123=4)),"MODERATE","LOW"))))))</f>
        <v/>
      </c>
      <c r="H123" t="inlineStr"/>
      <c r="I123" t="inlineStr"/>
      <c r="J123" t="inlineStr"/>
      <c r="K123" t="inlineStr"/>
      <c r="L123" t="inlineStr"/>
      <c r="M123" t="inlineStr">
        <is>
          <t>https://www.lazada.com.ph/products/pdp-i1416996096-s29809518922.html</t>
        </is>
      </c>
      <c r="N123" t="n">
        <v>2</v>
      </c>
    </row>
    <row r="124">
      <c r="A124" t="inlineStr">
        <is>
          <t>magandang talaga yung tapo c310 malinaw kahit gabi malinaw din mabilis din ang shipping 4 star lang kasi medyo mahirap luwagan ang screw ng pagsasalpakan ng sd card pero overall maganda yung screw lang talaga</t>
        </is>
      </c>
      <c r="B124" t="inlineStr">
        <is>
          <t>NEUTRAL</t>
        </is>
      </c>
      <c r="C124">
        <f>IF(B124="NEUTRAL","TS","OS")</f>
        <v/>
      </c>
      <c r="D124" t="n">
        <v>4</v>
      </c>
      <c r="E124">
        <f>IF(C124="TS",IF(D124=3,"Consistent",IF(OR(D124=2,D124=4),"Partially Consistent","Inconsistent")),IF(D124=3,"Inconsistent",IF(AND(D124=5,B124="POSITIVE"),"Consistent",IF(AND(D124=1,B124="NEGATIVE"),"Consistent",IF(AND(D124=4,B124="POSITIVE"),"Partially Consistent",IF(AND(D124=2,B124="NEGATIVE"),"Partially Consistent","Inconsistent"))))))</f>
        <v/>
      </c>
      <c r="F124">
        <f>IF(C124="TS","High","Low")</f>
        <v/>
      </c>
      <c r="G124">
        <f>IF(AND(B124="NEUTRAL",F124="Low"),"LOW",IF(AND(C124="TS",F124="High",D124=3),"HIGH",IF(AND(C124="TS",F124="High",OR(D124=2,D124=4)),"MODERATE",IF(AND(C124="TS",F124="High",OR(D124=1,D124=5)),"LOW",IF(AND(C124="OS",E124="Consistent",OR(D124=1,D124=5)),"MODERATE",IF(AND(C124="OS",E124="Partially Consistent",OR(D124=2,D124=4)),"MODERATE","LOW"))))))</f>
        <v/>
      </c>
      <c r="H124" t="inlineStr"/>
      <c r="I124" t="inlineStr"/>
      <c r="J124" t="inlineStr"/>
      <c r="K124" t="inlineStr"/>
      <c r="L124" t="inlineStr"/>
      <c r="M124" t="inlineStr">
        <is>
          <t>https://www.lazada.com.ph/products/pdp-i1416996096-s29809518922.html</t>
        </is>
      </c>
      <c r="N124" t="n">
        <v>2</v>
      </c>
    </row>
    <row r="125">
      <c r="A125" t="inlineStr">
        <is>
          <t>hindi pala sya magmomove or nag rorotate, ok, na rin, malinaw naman</t>
        </is>
      </c>
      <c r="B125" t="inlineStr">
        <is>
          <t>NEUTRAL</t>
        </is>
      </c>
      <c r="C125">
        <f>IF(B125="NEUTRAL","TS","OS")</f>
        <v/>
      </c>
      <c r="D125" t="n">
        <v>4</v>
      </c>
      <c r="E125">
        <f>IF(C125="TS",IF(D125=3,"Consistent",IF(OR(D125=2,D125=4),"Partially Consistent","Inconsistent")),IF(D125=3,"Inconsistent",IF(AND(D125=5,B125="POSITIVE"),"Consistent",IF(AND(D125=1,B125="NEGATIVE"),"Consistent",IF(AND(D125=4,B125="POSITIVE"),"Partially Consistent",IF(AND(D125=2,B125="NEGATIVE"),"Partially Consistent","Inconsistent"))))))</f>
        <v/>
      </c>
      <c r="F125">
        <f>IF(C125="TS","High","Low")</f>
        <v/>
      </c>
      <c r="G125">
        <f>IF(AND(B125="NEUTRAL",F125="Low"),"LOW",IF(AND(C125="TS",F125="High",D125=3),"HIGH",IF(AND(C125="TS",F125="High",OR(D125=2,D125=4)),"MODERATE",IF(AND(C125="TS",F125="High",OR(D125=1,D125=5)),"LOW",IF(AND(C125="OS",E125="Consistent",OR(D125=1,D125=5)),"MODERATE",IF(AND(C125="OS",E125="Partially Consistent",OR(D125=2,D125=4)),"MODERATE","LOW"))))))</f>
        <v/>
      </c>
      <c r="H125" t="inlineStr"/>
      <c r="I125" t="inlineStr"/>
      <c r="J125" t="inlineStr"/>
      <c r="K125" t="inlineStr"/>
      <c r="L125" t="inlineStr"/>
      <c r="M125" t="inlineStr">
        <is>
          <t>https://www.lazada.com.ph/products/pdp-i1416996096-s29809518922.html</t>
        </is>
      </c>
      <c r="N125" t="n">
        <v>2</v>
      </c>
    </row>
    <row r="126">
      <c r="A126" t="inlineStr">
        <is>
          <t>akala ko nagleleft and right yung cam pero akala ko lang pala yun pero okay na din kesa wala hehehehe salamat!</t>
        </is>
      </c>
      <c r="B126" t="inlineStr">
        <is>
          <t>NEUTRAL</t>
        </is>
      </c>
      <c r="C126">
        <f>IF(B126="NEUTRAL","TS","OS")</f>
        <v/>
      </c>
      <c r="D126" t="n">
        <v>4</v>
      </c>
      <c r="E126">
        <f>IF(C126="TS",IF(D126=3,"Consistent",IF(OR(D126=2,D126=4),"Partially Consistent","Inconsistent")),IF(D126=3,"Inconsistent",IF(AND(D126=5,B126="POSITIVE"),"Consistent",IF(AND(D126=1,B126="NEGATIVE"),"Consistent",IF(AND(D126=4,B126="POSITIVE"),"Partially Consistent",IF(AND(D126=2,B126="NEGATIVE"),"Partially Consistent","Inconsistent"))))))</f>
        <v/>
      </c>
      <c r="F126">
        <f>IF(C126="TS","High","Low")</f>
        <v/>
      </c>
      <c r="G126">
        <f>IF(AND(B126="NEUTRAL",F126="Low"),"LOW",IF(AND(C126="TS",F126="High",D126=3),"HIGH",IF(AND(C126="TS",F126="High",OR(D126=2,D126=4)),"MODERATE",IF(AND(C126="TS",F126="High",OR(D126=1,D126=5)),"LOW",IF(AND(C126="OS",E126="Consistent",OR(D126=1,D126=5)),"MODERATE",IF(AND(C126="OS",E126="Partially Consistent",OR(D126=2,D126=4)),"MODERATE","LOW"))))))</f>
        <v/>
      </c>
      <c r="H126" t="inlineStr"/>
      <c r="I126" t="inlineStr"/>
      <c r="J126" t="inlineStr"/>
      <c r="K126" t="inlineStr"/>
      <c r="L126" t="inlineStr"/>
      <c r="M126" t="inlineStr">
        <is>
          <t>https://www.lazada.com.ph/products/pdp-i1416996096-s29809518922.html</t>
        </is>
      </c>
      <c r="N126" t="n">
        <v>2</v>
      </c>
    </row>
    <row r="127">
      <c r="A127" t="inlineStr">
        <is>
          <t>sobrang ganda ng camera. kaso di ata siya compatible sa imou wireless nvr. madali lang configure sa phone pero di siya ma-add sa nvr. sana may makatulog sakin yung marunong. lahat ng way ginawa ko na.</t>
        </is>
      </c>
      <c r="B127" t="inlineStr">
        <is>
          <t>NEUTRAL</t>
        </is>
      </c>
      <c r="C127">
        <f>IF(B127="NEUTRAL","TS","OS")</f>
        <v/>
      </c>
      <c r="D127" t="n">
        <v>4</v>
      </c>
      <c r="E127">
        <f>IF(C127="TS",IF(D127=3,"Consistent",IF(OR(D127=2,D127=4),"Partially Consistent","Inconsistent")),IF(D127=3,"Inconsistent",IF(AND(D127=5,B127="POSITIVE"),"Consistent",IF(AND(D127=1,B127="NEGATIVE"),"Consistent",IF(AND(D127=4,B127="POSITIVE"),"Partially Consistent",IF(AND(D127=2,B127="NEGATIVE"),"Partially Consistent","Inconsistent"))))))</f>
        <v/>
      </c>
      <c r="F127">
        <f>IF(C127="TS","High","Low")</f>
        <v/>
      </c>
      <c r="G127">
        <f>IF(AND(B127="NEUTRAL",F127="Low"),"LOW",IF(AND(C127="TS",F127="High",D127=3),"HIGH",IF(AND(C127="TS",F127="High",OR(D127=2,D127=4)),"MODERATE",IF(AND(C127="TS",F127="High",OR(D127=1,D127=5)),"LOW",IF(AND(C127="OS",E127="Consistent",OR(D127=1,D127=5)),"MODERATE",IF(AND(C127="OS",E127="Partially Consistent",OR(D127=2,D127=4)),"MODERATE","LOW"))))))</f>
        <v/>
      </c>
      <c r="H127" t="inlineStr"/>
      <c r="I127" t="inlineStr"/>
      <c r="J127" t="inlineStr"/>
      <c r="K127" t="inlineStr"/>
      <c r="L127" t="inlineStr"/>
      <c r="M127" t="inlineStr">
        <is>
          <t>https://www.lazada.com.ph/products/pdp-i1416996096-s29809518922.html</t>
        </is>
      </c>
      <c r="N127" t="n">
        <v>2</v>
      </c>
    </row>
    <row r="128">
      <c r="A128" t="inlineStr">
        <is>
          <t>seller didnt include the sd card but they refunded iit naman. bit onconvenience since i have to buy separately pa. but the product is good.</t>
        </is>
      </c>
      <c r="B128" t="inlineStr">
        <is>
          <t>NEUTRAL</t>
        </is>
      </c>
      <c r="C128">
        <f>IF(B128="NEUTRAL","TS","OS")</f>
        <v/>
      </c>
      <c r="D128" t="n">
        <v>4</v>
      </c>
      <c r="E128">
        <f>IF(C128="TS",IF(D128=3,"Consistent",IF(OR(D128=2,D128=4),"Partially Consistent","Inconsistent")),IF(D128=3,"Inconsistent",IF(AND(D128=5,B128="POSITIVE"),"Consistent",IF(AND(D128=1,B128="NEGATIVE"),"Consistent",IF(AND(D128=4,B128="POSITIVE"),"Partially Consistent",IF(AND(D128=2,B128="NEGATIVE"),"Partially Consistent","Inconsistent"))))))</f>
        <v/>
      </c>
      <c r="F128">
        <f>IF(C128="TS","High","Low")</f>
        <v/>
      </c>
      <c r="G128">
        <f>IF(AND(B128="NEUTRAL",F128="Low"),"LOW",IF(AND(C128="TS",F128="High",D128=3),"HIGH",IF(AND(C128="TS",F128="High",OR(D128=2,D128=4)),"MODERATE",IF(AND(C128="TS",F128="High",OR(D128=1,D128=5)),"LOW",IF(AND(C128="OS",E128="Consistent",OR(D128=1,D128=5)),"MODERATE",IF(AND(C128="OS",E128="Partially Consistent",OR(D128=2,D128=4)),"MODERATE","LOW"))))))</f>
        <v/>
      </c>
      <c r="H128" t="inlineStr"/>
      <c r="I128" t="inlineStr"/>
      <c r="J128" t="inlineStr"/>
      <c r="K128" t="inlineStr"/>
      <c r="L128" t="inlineStr"/>
      <c r="M128" t="inlineStr">
        <is>
          <t>https://www.lazada.com.ph/products/pdp-i1416996096-s29809518922.html</t>
        </is>
      </c>
      <c r="N128" t="n">
        <v>2</v>
      </c>
    </row>
    <row r="129">
      <c r="A129" t="inlineStr">
        <is>
          <t>this is a fixed cctv camera. unlike the c210. maybe a new version should include rotating function</t>
        </is>
      </c>
      <c r="B129" t="inlineStr">
        <is>
          <t>NEGATIVE</t>
        </is>
      </c>
      <c r="C129">
        <f>IF(B129="NEUTRAL","TS","OS")</f>
        <v/>
      </c>
      <c r="D129" t="n">
        <v>4</v>
      </c>
      <c r="E129">
        <f>IF(C129="TS",IF(D129=3,"Consistent",IF(OR(D129=2,D129=4),"Partially Consistent","Inconsistent")),IF(D129=3,"Inconsistent",IF(AND(D129=5,B129="POSITIVE"),"Consistent",IF(AND(D129=1,B129="NEGATIVE"),"Consistent",IF(AND(D129=4,B129="POSITIVE"),"Partially Consistent",IF(AND(D129=2,B129="NEGATIVE"),"Partially Consistent","Inconsistent"))))))</f>
        <v/>
      </c>
      <c r="F129">
        <f>IF(C129="TS","High","Low")</f>
        <v/>
      </c>
      <c r="G129">
        <f>IF(AND(B129="NEUTRAL",F129="Low"),"LOW",IF(AND(C129="TS",F129="High",D129=3),"HIGH",IF(AND(C129="TS",F129="High",OR(D129=2,D129=4)),"MODERATE",IF(AND(C129="TS",F129="High",OR(D129=1,D129=5)),"LOW",IF(AND(C129="OS",E129="Consistent",OR(D129=1,D129=5)),"MODERATE",IF(AND(C129="OS",E129="Partially Consistent",OR(D129=2,D129=4)),"MODERATE","LOW"))))))</f>
        <v/>
      </c>
      <c r="H129" t="inlineStr"/>
      <c r="I129" t="inlineStr"/>
      <c r="J129" t="inlineStr"/>
      <c r="K129" t="inlineStr"/>
      <c r="L129" t="inlineStr"/>
      <c r="M129" t="inlineStr">
        <is>
          <t>https://www.lazada.com.ph/products/pdp-i1416996096-s29809518922.html</t>
        </is>
      </c>
      <c r="N129" t="n">
        <v>2</v>
      </c>
    </row>
    <row r="130">
      <c r="A130" t="inlineStr">
        <is>
          <t>ai software detects dog as person</t>
        </is>
      </c>
      <c r="B130" t="inlineStr">
        <is>
          <t>NEGATIVE</t>
        </is>
      </c>
      <c r="C130">
        <f>IF(B130="NEUTRAL","TS","OS")</f>
        <v/>
      </c>
      <c r="D130" t="n">
        <v>4</v>
      </c>
      <c r="E130">
        <f>IF(C130="TS",IF(D130=3,"Consistent",IF(OR(D130=2,D130=4),"Partially Consistent","Inconsistent")),IF(D130=3,"Inconsistent",IF(AND(D130=5,B130="POSITIVE"),"Consistent",IF(AND(D130=1,B130="NEGATIVE"),"Consistent",IF(AND(D130=4,B130="POSITIVE"),"Partially Consistent",IF(AND(D130=2,B130="NEGATIVE"),"Partially Consistent","Inconsistent"))))))</f>
        <v/>
      </c>
      <c r="F130">
        <f>IF(C130="TS","High","Low")</f>
        <v/>
      </c>
      <c r="G130">
        <f>IF(AND(B130="NEUTRAL",F130="Low"),"LOW",IF(AND(C130="TS",F130="High",D130=3),"HIGH",IF(AND(C130="TS",F130="High",OR(D130=2,D130=4)),"MODERATE",IF(AND(C130="TS",F130="High",OR(D130=1,D130=5)),"LOW",IF(AND(C130="OS",E130="Consistent",OR(D130=1,D130=5)),"MODERATE",IF(AND(C130="OS",E130="Partially Consistent",OR(D130=2,D130=4)),"MODERATE","LOW"))))))</f>
        <v/>
      </c>
      <c r="H130" t="inlineStr"/>
      <c r="I130" t="inlineStr"/>
      <c r="J130" t="inlineStr"/>
      <c r="K130" t="inlineStr"/>
      <c r="L130" t="inlineStr"/>
      <c r="M130" t="inlineStr">
        <is>
          <t>https://www.lazada.com.ph/products/pdp-i1416996096-s29809518922.html</t>
        </is>
      </c>
      <c r="N130" t="n">
        <v>2</v>
      </c>
    </row>
    <row r="131">
      <c r="A131" t="inlineStr">
        <is>
          <t>ito nakakalito kala ko camera na ang order ko dumating sd card pala.</t>
        </is>
      </c>
      <c r="B131" t="inlineStr">
        <is>
          <t>NEGATIVE</t>
        </is>
      </c>
      <c r="C131">
        <f>IF(B131="NEUTRAL","TS","OS")</f>
        <v/>
      </c>
      <c r="D131" t="n">
        <v>4</v>
      </c>
      <c r="E131">
        <f>IF(C131="TS",IF(D131=3,"Consistent",IF(OR(D131=2,D131=4),"Partially Consistent","Inconsistent")),IF(D131=3,"Inconsistent",IF(AND(D131=5,B131="POSITIVE"),"Consistent",IF(AND(D131=1,B131="NEGATIVE"),"Consistent",IF(AND(D131=4,B131="POSITIVE"),"Partially Consistent",IF(AND(D131=2,B131="NEGATIVE"),"Partially Consistent","Inconsistent"))))))</f>
        <v/>
      </c>
      <c r="F131">
        <f>IF(C131="TS","High","Low")</f>
        <v/>
      </c>
      <c r="G131">
        <f>IF(AND(B131="NEUTRAL",F131="Low"),"LOW",IF(AND(C131="TS",F131="High",D131=3),"HIGH",IF(AND(C131="TS",F131="High",OR(D131=2,D131=4)),"MODERATE",IF(AND(C131="TS",F131="High",OR(D131=1,D131=5)),"LOW",IF(AND(C131="OS",E131="Consistent",OR(D131=1,D131=5)),"MODERATE",IF(AND(C131="OS",E131="Partially Consistent",OR(D131=2,D131=4)),"MODERATE","LOW"))))))</f>
        <v/>
      </c>
      <c r="H131" t="inlineStr"/>
      <c r="I131" t="inlineStr"/>
      <c r="J131" t="inlineStr"/>
      <c r="K131" t="inlineStr"/>
      <c r="L131" t="inlineStr"/>
      <c r="M131" t="inlineStr">
        <is>
          <t>https://www.lazada.com.ph/products/pdp-i1416996096-s29809518922.html</t>
        </is>
      </c>
      <c r="N131" t="n">
        <v>2</v>
      </c>
    </row>
    <row r="132">
      <c r="A132" t="inlineStr">
        <is>
          <t>speaker and camera clarity not that clear (not sure if it is with my network connection) . overall product quality is good.</t>
        </is>
      </c>
      <c r="B132" t="inlineStr">
        <is>
          <t>NEUTRAL</t>
        </is>
      </c>
      <c r="C132">
        <f>IF(B132="NEUTRAL","TS","OS")</f>
        <v/>
      </c>
      <c r="D132" t="n">
        <v>4</v>
      </c>
      <c r="E132">
        <f>IF(C132="TS",IF(D132=3,"Consistent",IF(OR(D132=2,D132=4),"Partially Consistent","Inconsistent")),IF(D132=3,"Inconsistent",IF(AND(D132=5,B132="POSITIVE"),"Consistent",IF(AND(D132=1,B132="NEGATIVE"),"Consistent",IF(AND(D132=4,B132="POSITIVE"),"Partially Consistent",IF(AND(D132=2,B132="NEGATIVE"),"Partially Consistent","Inconsistent"))))))</f>
        <v/>
      </c>
      <c r="F132">
        <f>IF(C132="TS","High","Low")</f>
        <v/>
      </c>
      <c r="G132">
        <f>IF(AND(B132="NEUTRAL",F132="Low"),"LOW",IF(AND(C132="TS",F132="High",D132=3),"HIGH",IF(AND(C132="TS",F132="High",OR(D132=2,D132=4)),"MODERATE",IF(AND(C132="TS",F132="High",OR(D132=1,D132=5)),"LOW",IF(AND(C132="OS",E132="Consistent",OR(D132=1,D132=5)),"MODERATE",IF(AND(C132="OS",E132="Partially Consistent",OR(D132=2,D132=4)),"MODERATE","LOW"))))))</f>
        <v/>
      </c>
      <c r="H132" t="inlineStr"/>
      <c r="I132" t="inlineStr"/>
      <c r="J132" t="inlineStr"/>
      <c r="K132" t="inlineStr"/>
      <c r="L132" t="inlineStr"/>
      <c r="M132" t="inlineStr">
        <is>
          <t>https://www.lazada.com.ph/products/pdp-i1416996096-s29809518922.html</t>
        </is>
      </c>
      <c r="N132" t="n">
        <v>2</v>
      </c>
    </row>
    <row r="133">
      <c r="A133" t="inlineStr">
        <is>
          <t>so disappointed. excellent camera let down by poor software and zero tp link support. motion detection is ridiculously over sensitive (triggered if a fly passes by!) more crucially the sd cards will not format. when researching online, both issues appear well known yet unresolved. a cctv camera with excess alarms, no video recording, and no tp link response, has no value. a real disappointment because the image quality is excellent</t>
        </is>
      </c>
      <c r="B133" t="inlineStr">
        <is>
          <t>NEGATIVE</t>
        </is>
      </c>
      <c r="C133">
        <f>IF(B133="NEUTRAL","TS","OS")</f>
        <v/>
      </c>
      <c r="D133" t="n">
        <v>2</v>
      </c>
      <c r="E133">
        <f>IF(C133="TS",IF(D133=3,"Consistent",IF(OR(D133=2,D133=4),"Partially Consistent","Inconsistent")),IF(D133=3,"Inconsistent",IF(AND(D133=5,B133="POSITIVE"),"Consistent",IF(AND(D133=1,B133="NEGATIVE"),"Consistent",IF(AND(D133=4,B133="POSITIVE"),"Partially Consistent",IF(AND(D133=2,B133="NEGATIVE"),"Partially Consistent","Inconsistent"))))))</f>
        <v/>
      </c>
      <c r="F133">
        <f>IF(C133="TS","High","Low")</f>
        <v/>
      </c>
      <c r="G133">
        <f>IF(AND(B133="NEUTRAL",F133="Low"),"LOW",IF(AND(C133="TS",F133="High",D133=3),"HIGH",IF(AND(C133="TS",F133="High",OR(D133=2,D133=4)),"MODERATE",IF(AND(C133="TS",F133="High",OR(D133=1,D133=5)),"LOW",IF(AND(C133="OS",E133="Consistent",OR(D133=1,D133=5)),"MODERATE",IF(AND(C133="OS",E133="Partially Consistent",OR(D133=2,D133=4)),"MODERATE","LOW"))))))</f>
        <v/>
      </c>
      <c r="H133" t="inlineStr"/>
      <c r="I133" t="inlineStr"/>
      <c r="J133" t="inlineStr"/>
      <c r="K133" t="inlineStr"/>
      <c r="L133" t="inlineStr"/>
      <c r="M133" t="inlineStr">
        <is>
          <t>https://www.lazada.com.ph/products/pdp-i1416996096-s29809518922.html</t>
        </is>
      </c>
      <c r="N133" t="n">
        <v>2</v>
      </c>
    </row>
    <row r="134">
      <c r="A134" t="inlineStr">
        <is>
          <t>the product is great and shipping was fast but unfortunately the unit that i ordered was defective as the image of the camera was pink (broken/stuck ir filter) manage a fix by shaking the camera a little as to get a colored image from the camera but the ir filter of the camera is still broken/stuck the downside to this temporary fix is that night vision is pretty much useless at night if the area has no lights to support the camera. im gonna change this review if given the chance to order this product again being hopeful that my next order is not going to be defective.</t>
        </is>
      </c>
      <c r="B134" t="inlineStr">
        <is>
          <t>NEUTRAL</t>
        </is>
      </c>
      <c r="C134">
        <f>IF(B134="NEUTRAL","TS","OS")</f>
        <v/>
      </c>
      <c r="D134" t="n">
        <v>2</v>
      </c>
      <c r="E134">
        <f>IF(C134="TS",IF(D134=3,"Consistent",IF(OR(D134=2,D134=4),"Partially Consistent","Inconsistent")),IF(D134=3,"Inconsistent",IF(AND(D134=5,B134="POSITIVE"),"Consistent",IF(AND(D134=1,B134="NEGATIVE"),"Consistent",IF(AND(D134=4,B134="POSITIVE"),"Partially Consistent",IF(AND(D134=2,B134="NEGATIVE"),"Partially Consistent","Inconsistent"))))))</f>
        <v/>
      </c>
      <c r="F134">
        <f>IF(C134="TS","High","Low")</f>
        <v/>
      </c>
      <c r="G134">
        <f>IF(AND(B134="NEUTRAL",F134="Low"),"LOW",IF(AND(C134="TS",F134="High",D134=3),"HIGH",IF(AND(C134="TS",F134="High",OR(D134=2,D134=4)),"MODERATE",IF(AND(C134="TS",F134="High",OR(D134=1,D134=5)),"LOW",IF(AND(C134="OS",E134="Consistent",OR(D134=1,D134=5)),"MODERATE",IF(AND(C134="OS",E134="Partially Consistent",OR(D134=2,D134=4)),"MODERATE","LOW"))))))</f>
        <v/>
      </c>
      <c r="H134" t="inlineStr"/>
      <c r="I134" t="inlineStr"/>
      <c r="J134" t="inlineStr"/>
      <c r="K134" t="inlineStr"/>
      <c r="L134" t="inlineStr"/>
      <c r="M134" t="inlineStr">
        <is>
          <t>https://www.lazada.com.ph/products/pdp-i1416996096-s29809518922.html</t>
        </is>
      </c>
      <c r="N134" t="n">
        <v>2</v>
      </c>
    </row>
    <row r="135">
      <c r="A135" t="inlineStr">
        <is>
          <t>no 128 gb storage in the camera despite the description saying there is.</t>
        </is>
      </c>
      <c r="B135" t="inlineStr">
        <is>
          <t>NEUTRAL</t>
        </is>
      </c>
      <c r="C135">
        <f>IF(B135="NEUTRAL","TS","OS")</f>
        <v/>
      </c>
      <c r="D135" t="n">
        <v>2</v>
      </c>
      <c r="E135">
        <f>IF(C135="TS",IF(D135=3,"Consistent",IF(OR(D135=2,D135=4),"Partially Consistent","Inconsistent")),IF(D135=3,"Inconsistent",IF(AND(D135=5,B135="POSITIVE"),"Consistent",IF(AND(D135=1,B135="NEGATIVE"),"Consistent",IF(AND(D135=4,B135="POSITIVE"),"Partially Consistent",IF(AND(D135=2,B135="NEGATIVE"),"Partially Consistent","Inconsistent"))))))</f>
        <v/>
      </c>
      <c r="F135">
        <f>IF(C135="TS","High","Low")</f>
        <v/>
      </c>
      <c r="G135">
        <f>IF(AND(B135="NEUTRAL",F135="Low"),"LOW",IF(AND(C135="TS",F135="High",D135=3),"HIGH",IF(AND(C135="TS",F135="High",OR(D135=2,D135=4)),"MODERATE",IF(AND(C135="TS",F135="High",OR(D135=1,D135=5)),"LOW",IF(AND(C135="OS",E135="Consistent",OR(D135=1,D135=5)),"MODERATE",IF(AND(C135="OS",E135="Partially Consistent",OR(D135=2,D135=4)),"MODERATE","LOW"))))))</f>
        <v/>
      </c>
      <c r="H135" t="inlineStr"/>
      <c r="I135" t="inlineStr"/>
      <c r="J135" t="inlineStr"/>
      <c r="K135" t="inlineStr"/>
      <c r="L135" t="inlineStr"/>
      <c r="M135" t="inlineStr">
        <is>
          <t>https://www.lazada.com.ph/products/pdp-i1416996096-s29809518922.html</t>
        </is>
      </c>
      <c r="N135" t="n">
        <v>2</v>
      </c>
    </row>
    <row r="136">
      <c r="A136" t="inlineStr">
        <is>
          <t>badtrip si seller ang order ko tc65 with 128gb sd card pero ang binigay lang ay yung free na 64gb. hindi maayos makipag comunicate bupols kasi. ayaw ko na ibalik mag aaksaya pa ako ng oras sa kanila hindi naman maaayos makioag usap. saksak nyo yang 128gb sa baga nyo. order pa sana ako kaso badtrip lang sa mga kupal na seller like this.</t>
        </is>
      </c>
      <c r="B136" t="inlineStr">
        <is>
          <t>NEGATIVE</t>
        </is>
      </c>
      <c r="C136">
        <f>IF(B136="NEUTRAL","TS","OS")</f>
        <v/>
      </c>
      <c r="D136" t="n">
        <v>2</v>
      </c>
      <c r="E136">
        <f>IF(C136="TS",IF(D136=3,"Consistent",IF(OR(D136=2,D136=4),"Partially Consistent","Inconsistent")),IF(D136=3,"Inconsistent",IF(AND(D136=5,B136="POSITIVE"),"Consistent",IF(AND(D136=1,B136="NEGATIVE"),"Consistent",IF(AND(D136=4,B136="POSITIVE"),"Partially Consistent",IF(AND(D136=2,B136="NEGATIVE"),"Partially Consistent","Inconsistent"))))))</f>
        <v/>
      </c>
      <c r="F136">
        <f>IF(C136="TS","High","Low")</f>
        <v/>
      </c>
      <c r="G136">
        <f>IF(AND(B136="NEUTRAL",F136="Low"),"LOW",IF(AND(C136="TS",F136="High",D136=3),"HIGH",IF(AND(C136="TS",F136="High",OR(D136=2,D136=4)),"MODERATE",IF(AND(C136="TS",F136="High",OR(D136=1,D136=5)),"LOW",IF(AND(C136="OS",E136="Consistent",OR(D136=1,D136=5)),"MODERATE",IF(AND(C136="OS",E136="Partially Consistent",OR(D136=2,D136=4)),"MODERATE","LOW"))))))</f>
        <v/>
      </c>
      <c r="H136" t="inlineStr"/>
      <c r="I136" t="inlineStr"/>
      <c r="J136" t="inlineStr"/>
      <c r="K136" t="inlineStr"/>
      <c r="L136" t="inlineStr"/>
      <c r="M136" t="inlineStr">
        <is>
          <t>https://www.lazada.com.ph/products/pdp-i1416996096-s29809518922.html</t>
        </is>
      </c>
      <c r="N136" t="n">
        <v>2</v>
      </c>
    </row>
    <row r="137">
      <c r="A137" t="inlineStr">
        <is>
          <t>laging initialize sd card, everyday tuloy formatted ang sd walang recording. yung c200 hindi naman ganun.</t>
        </is>
      </c>
      <c r="B137" t="inlineStr">
        <is>
          <t>NEGATIVE</t>
        </is>
      </c>
      <c r="C137">
        <f>IF(B137="NEUTRAL","TS","OS")</f>
        <v/>
      </c>
      <c r="D137" t="n">
        <v>2</v>
      </c>
      <c r="E137">
        <f>IF(C137="TS",IF(D137=3,"Consistent",IF(OR(D137=2,D137=4),"Partially Consistent","Inconsistent")),IF(D137=3,"Inconsistent",IF(AND(D137=5,B137="POSITIVE"),"Consistent",IF(AND(D137=1,B137="NEGATIVE"),"Consistent",IF(AND(D137=4,B137="POSITIVE"),"Partially Consistent",IF(AND(D137=2,B137="NEGATIVE"),"Partially Consistent","Inconsistent"))))))</f>
        <v/>
      </c>
      <c r="F137">
        <f>IF(C137="TS","High","Low")</f>
        <v/>
      </c>
      <c r="G137">
        <f>IF(AND(B137="NEUTRAL",F137="Low"),"LOW",IF(AND(C137="TS",F137="High",D137=3),"HIGH",IF(AND(C137="TS",F137="High",OR(D137=2,D137=4)),"MODERATE",IF(AND(C137="TS",F137="High",OR(D137=1,D137=5)),"LOW",IF(AND(C137="OS",E137="Consistent",OR(D137=1,D137=5)),"MODERATE",IF(AND(C137="OS",E137="Partially Consistent",OR(D137=2,D137=4)),"MODERATE","LOW"))))))</f>
        <v/>
      </c>
      <c r="H137" t="inlineStr"/>
      <c r="I137" t="inlineStr"/>
      <c r="J137" t="inlineStr"/>
      <c r="K137" t="inlineStr"/>
      <c r="L137" t="inlineStr"/>
      <c r="M137" t="inlineStr">
        <is>
          <t>https://www.lazada.com.ph/products/pdp-i1416996096-s29809518922.html</t>
        </is>
      </c>
      <c r="N137" t="n">
        <v>2</v>
      </c>
    </row>
    <row r="138">
      <c r="A138" t="inlineStr">
        <is>
          <t>package is valued php13k worth of electronics. courier left it outside of the house under heavy rain without contacting me that they' ve arrived 9pm in the evening. package is wet. courier needs to be blacklisted for incompetency.</t>
        </is>
      </c>
      <c r="B138" t="inlineStr">
        <is>
          <t>NEUTRAL</t>
        </is>
      </c>
      <c r="C138">
        <f>IF(B138="NEUTRAL","TS","OS")</f>
        <v/>
      </c>
      <c r="D138" t="n">
        <v>2</v>
      </c>
      <c r="E138">
        <f>IF(C138="TS",IF(D138=3,"Consistent",IF(OR(D138=2,D138=4),"Partially Consistent","Inconsistent")),IF(D138=3,"Inconsistent",IF(AND(D138=5,B138="POSITIVE"),"Consistent",IF(AND(D138=1,B138="NEGATIVE"),"Consistent",IF(AND(D138=4,B138="POSITIVE"),"Partially Consistent",IF(AND(D138=2,B138="NEGATIVE"),"Partially Consistent","Inconsistent"))))))</f>
        <v/>
      </c>
      <c r="F138">
        <f>IF(C138="TS","High","Low")</f>
        <v/>
      </c>
      <c r="G138">
        <f>IF(AND(B138="NEUTRAL",F138="Low"),"LOW",IF(AND(C138="TS",F138="High",D138=3),"HIGH",IF(AND(C138="TS",F138="High",OR(D138=2,D138=4)),"MODERATE",IF(AND(C138="TS",F138="High",OR(D138=1,D138=5)),"LOW",IF(AND(C138="OS",E138="Consistent",OR(D138=1,D138=5)),"MODERATE",IF(AND(C138="OS",E138="Partially Consistent",OR(D138=2,D138=4)),"MODERATE","LOW"))))))</f>
        <v/>
      </c>
      <c r="H138" t="inlineStr"/>
      <c r="I138" t="inlineStr"/>
      <c r="J138" t="inlineStr"/>
      <c r="K138" t="inlineStr"/>
      <c r="L138" t="inlineStr"/>
      <c r="M138" t="inlineStr">
        <is>
          <t>https://www.lazada.com.ph/products/pdp-i1416996096-s29809518922.html</t>
        </is>
      </c>
      <c r="N138" t="n">
        <v>2</v>
      </c>
    </row>
    <row r="139">
      <c r="A139" t="inlineStr">
        <is>
          <t>not working.</t>
        </is>
      </c>
      <c r="B139" t="inlineStr">
        <is>
          <t>NEGATIVE</t>
        </is>
      </c>
      <c r="C139">
        <f>IF(B139="NEUTRAL","TS","OS")</f>
        <v/>
      </c>
      <c r="D139" t="n">
        <v>1</v>
      </c>
      <c r="E139">
        <f>IF(C139="TS",IF(D139=3,"Consistent",IF(OR(D139=2,D139=4),"Partially Consistent","Inconsistent")),IF(D139=3,"Inconsistent",IF(AND(D139=5,B139="POSITIVE"),"Consistent",IF(AND(D139=1,B139="NEGATIVE"),"Consistent",IF(AND(D139=4,B139="POSITIVE"),"Partially Consistent",IF(AND(D139=2,B139="NEGATIVE"),"Partially Consistent","Inconsistent"))))))</f>
        <v/>
      </c>
      <c r="F139">
        <f>IF(C139="TS","High","Low")</f>
        <v/>
      </c>
      <c r="G139">
        <f>IF(AND(B139="NEUTRAL",F139="Low"),"LOW",IF(AND(C139="TS",F139="High",D139=3),"HIGH",IF(AND(C139="TS",F139="High",OR(D139=2,D139=4)),"MODERATE",IF(AND(C139="TS",F139="High",OR(D139=1,D139=5)),"LOW",IF(AND(C139="OS",E139="Consistent",OR(D139=1,D139=5)),"MODERATE",IF(AND(C139="OS",E139="Partially Consistent",OR(D139=2,D139=4)),"MODERATE","LOW"))))))</f>
        <v/>
      </c>
      <c r="H139" t="inlineStr"/>
      <c r="I139" t="inlineStr"/>
      <c r="J139" t="inlineStr"/>
      <c r="K139" t="inlineStr"/>
      <c r="L139" t="inlineStr"/>
      <c r="M139" t="inlineStr">
        <is>
          <t>https://www.lazada.com.ph/products/pdp-i1416996096-s29809518922.html</t>
        </is>
      </c>
      <c r="N139" t="n">
        <v>2</v>
      </c>
    </row>
    <row r="140">
      <c r="A140" t="inlineStr">
        <is>
          <t>this is my 6th tapo cctv unit and i was surprise to find out that the item delivered was tc65 which is a poorer version i was expecting that its a c310 model dont be deceive by there advertisement and promo. and better check all the details before making a purchase</t>
        </is>
      </c>
      <c r="B140" t="inlineStr">
        <is>
          <t>NEGATIVE</t>
        </is>
      </c>
      <c r="C140">
        <f>IF(B140="NEUTRAL","TS","OS")</f>
        <v/>
      </c>
      <c r="D140" t="n">
        <v>1</v>
      </c>
      <c r="E140">
        <f>IF(C140="TS",IF(D140=3,"Consistent",IF(OR(D140=2,D140=4),"Partially Consistent","Inconsistent")),IF(D140=3,"Inconsistent",IF(AND(D140=5,B140="POSITIVE"),"Consistent",IF(AND(D140=1,B140="NEGATIVE"),"Consistent",IF(AND(D140=4,B140="POSITIVE"),"Partially Consistent",IF(AND(D140=2,B140="NEGATIVE"),"Partially Consistent","Inconsistent"))))))</f>
        <v/>
      </c>
      <c r="F140">
        <f>IF(C140="TS","High","Low")</f>
        <v/>
      </c>
      <c r="G140">
        <f>IF(AND(B140="NEUTRAL",F140="Low"),"LOW",IF(AND(C140="TS",F140="High",D140=3),"HIGH",IF(AND(C140="TS",F140="High",OR(D140=2,D140=4)),"MODERATE",IF(AND(C140="TS",F140="High",OR(D140=1,D140=5)),"LOW",IF(AND(C140="OS",E140="Consistent",OR(D140=1,D140=5)),"MODERATE",IF(AND(C140="OS",E140="Partially Consistent",OR(D140=2,D140=4)),"MODERATE","LOW"))))))</f>
        <v/>
      </c>
      <c r="H140" t="inlineStr"/>
      <c r="I140" t="inlineStr"/>
      <c r="J140" t="inlineStr"/>
      <c r="K140" t="inlineStr"/>
      <c r="L140" t="inlineStr"/>
      <c r="M140" t="inlineStr">
        <is>
          <t>https://www.lazada.com.ph/products/pdp-i1416996096-s29809518922.html</t>
        </is>
      </c>
      <c r="N140" t="n">
        <v>2</v>
      </c>
    </row>
    <row r="141">
      <c r="A141" t="inlineStr">
        <is>
          <t>slow app. camera doent have a memory card</t>
        </is>
      </c>
      <c r="B141" t="inlineStr">
        <is>
          <t>NEGATIVE</t>
        </is>
      </c>
      <c r="C141">
        <f>IF(B141="NEUTRAL","TS","OS")</f>
        <v/>
      </c>
      <c r="D141" t="n">
        <v>1</v>
      </c>
      <c r="E141">
        <f>IF(C141="TS",IF(D141=3,"Consistent",IF(OR(D141=2,D141=4),"Partially Consistent","Inconsistent")),IF(D141=3,"Inconsistent",IF(AND(D141=5,B141="POSITIVE"),"Consistent",IF(AND(D141=1,B141="NEGATIVE"),"Consistent",IF(AND(D141=4,B141="POSITIVE"),"Partially Consistent",IF(AND(D141=2,B141="NEGATIVE"),"Partially Consistent","Inconsistent"))))))</f>
        <v/>
      </c>
      <c r="F141">
        <f>IF(C141="TS","High","Low")</f>
        <v/>
      </c>
      <c r="G141">
        <f>IF(AND(B141="NEUTRAL",F141="Low"),"LOW",IF(AND(C141="TS",F141="High",D141=3),"HIGH",IF(AND(C141="TS",F141="High",OR(D141=2,D141=4)),"MODERATE",IF(AND(C141="TS",F141="High",OR(D141=1,D141=5)),"LOW",IF(AND(C141="OS",E141="Consistent",OR(D141=1,D141=5)),"MODERATE",IF(AND(C141="OS",E141="Partially Consistent",OR(D141=2,D141=4)),"MODERATE","LOW"))))))</f>
        <v/>
      </c>
      <c r="H141" t="inlineStr"/>
      <c r="I141" t="inlineStr"/>
      <c r="J141" t="inlineStr"/>
      <c r="K141" t="inlineStr"/>
      <c r="L141" t="inlineStr"/>
      <c r="M141" t="inlineStr">
        <is>
          <t>https://www.lazada.com.ph/products/pdp-i1416996096-s29809518922.html</t>
        </is>
      </c>
      <c r="N141" t="n">
        <v>2</v>
      </c>
    </row>
    <row r="142">
      <c r="A142" t="inlineStr">
        <is>
          <t>i ordered cctv plus 128gb sandisk memory card. only the camera was delivered and a 64gb lexar. dont order cctv with memory card, when i back read comments here. they always missed to deliver the memory card. super disappointed. you deseve negative star instead.</t>
        </is>
      </c>
      <c r="B142" t="inlineStr">
        <is>
          <t>NEGATIVE</t>
        </is>
      </c>
      <c r="C142">
        <f>IF(B142="NEUTRAL","TS","OS")</f>
        <v/>
      </c>
      <c r="D142" t="n">
        <v>1</v>
      </c>
      <c r="E142">
        <f>IF(C142="TS",IF(D142=3,"Consistent",IF(OR(D142=2,D142=4),"Partially Consistent","Inconsistent")),IF(D142=3,"Inconsistent",IF(AND(D142=5,B142="POSITIVE"),"Consistent",IF(AND(D142=1,B142="NEGATIVE"),"Consistent",IF(AND(D142=4,B142="POSITIVE"),"Partially Consistent",IF(AND(D142=2,B142="NEGATIVE"),"Partially Consistent","Inconsistent"))))))</f>
        <v/>
      </c>
      <c r="F142">
        <f>IF(C142="TS","High","Low")</f>
        <v/>
      </c>
      <c r="G142">
        <f>IF(AND(B142="NEUTRAL",F142="Low"),"LOW",IF(AND(C142="TS",F142="High",D142=3),"HIGH",IF(AND(C142="TS",F142="High",OR(D142=2,D142=4)),"MODERATE",IF(AND(C142="TS",F142="High",OR(D142=1,D142=5)),"LOW",IF(AND(C142="OS",E142="Consistent",OR(D142=1,D142=5)),"MODERATE",IF(AND(C142="OS",E142="Partially Consistent",OR(D142=2,D142=4)),"MODERATE","LOW"))))))</f>
        <v/>
      </c>
      <c r="H142" t="inlineStr"/>
      <c r="I142" t="inlineStr"/>
      <c r="J142" t="inlineStr"/>
      <c r="K142" t="inlineStr"/>
      <c r="L142" t="inlineStr"/>
      <c r="M142" t="inlineStr">
        <is>
          <t>https://www.lazada.com.ph/products/pdp-i1416996096-s29809518922.html</t>
        </is>
      </c>
      <c r="N142" t="n">
        <v>2</v>
      </c>
    </row>
    <row r="143">
      <c r="A143" t="inlineStr">
        <is>
          <t>received the item on time but encountered a problem with removing one of the the screws on the sd slot. i reported the issue and sent the item to thinknicians and the item has been with them for almost a month now (since jan 19) . i had to follow up 5 times to get updates otherwise i wouldn' t know what' s happening to my unit. bayad na po yung item. di ko alam kung bibigyan ba ako ng replacement talaga o magfofollow up nalang ako forever. sayang naman yung dalawang libo ko.</t>
        </is>
      </c>
      <c r="B143" t="inlineStr">
        <is>
          <t>NEGATIVE</t>
        </is>
      </c>
      <c r="C143">
        <f>IF(B143="NEUTRAL","TS","OS")</f>
        <v/>
      </c>
      <c r="D143" t="n">
        <v>1</v>
      </c>
      <c r="E143">
        <f>IF(C143="TS",IF(D143=3,"Consistent",IF(OR(D143=2,D143=4),"Partially Consistent","Inconsistent")),IF(D143=3,"Inconsistent",IF(AND(D143=5,B143="POSITIVE"),"Consistent",IF(AND(D143=1,B143="NEGATIVE"),"Consistent",IF(AND(D143=4,B143="POSITIVE"),"Partially Consistent",IF(AND(D143=2,B143="NEGATIVE"),"Partially Consistent","Inconsistent"))))))</f>
        <v/>
      </c>
      <c r="F143">
        <f>IF(C143="TS","High","Low")</f>
        <v/>
      </c>
      <c r="G143">
        <f>IF(AND(B143="NEUTRAL",F143="Low"),"LOW",IF(AND(C143="TS",F143="High",D143=3),"HIGH",IF(AND(C143="TS",F143="High",OR(D143=2,D143=4)),"MODERATE",IF(AND(C143="TS",F143="High",OR(D143=1,D143=5)),"LOW",IF(AND(C143="OS",E143="Consistent",OR(D143=1,D143=5)),"MODERATE",IF(AND(C143="OS",E143="Partially Consistent",OR(D143=2,D143=4)),"MODERATE","LOW"))))))</f>
        <v/>
      </c>
      <c r="H143" t="inlineStr"/>
      <c r="I143" t="inlineStr"/>
      <c r="J143" t="inlineStr"/>
      <c r="K143" t="inlineStr"/>
      <c r="L143" t="inlineStr"/>
      <c r="M143" t="inlineStr">
        <is>
          <t>https://www.lazada.com.ph/products/pdp-i1416996096-s29809518922.html</t>
        </is>
      </c>
      <c r="N143" t="n">
        <v>2</v>
      </c>
    </row>
    <row r="144">
      <c r="A144" t="inlineStr">
        <is>
          <t>after 5days ayaw na gumana</t>
        </is>
      </c>
      <c r="B144" t="inlineStr">
        <is>
          <t>NEGATIVE</t>
        </is>
      </c>
      <c r="C144">
        <f>IF(B144="NEUTRAL","TS","OS")</f>
        <v/>
      </c>
      <c r="D144" t="n">
        <v>1</v>
      </c>
      <c r="E144">
        <f>IF(C144="TS",IF(D144=3,"Consistent",IF(OR(D144=2,D144=4),"Partially Consistent","Inconsistent")),IF(D144=3,"Inconsistent",IF(AND(D144=5,B144="POSITIVE"),"Consistent",IF(AND(D144=1,B144="NEGATIVE"),"Consistent",IF(AND(D144=4,B144="POSITIVE"),"Partially Consistent",IF(AND(D144=2,B144="NEGATIVE"),"Partially Consistent","Inconsistent"))))))</f>
        <v/>
      </c>
      <c r="F144">
        <f>IF(C144="TS","High","Low")</f>
        <v/>
      </c>
      <c r="G144">
        <f>IF(AND(B144="NEUTRAL",F144="Low"),"LOW",IF(AND(C144="TS",F144="High",D144=3),"HIGH",IF(AND(C144="TS",F144="High",OR(D144=2,D144=4)),"MODERATE",IF(AND(C144="TS",F144="High",OR(D144=1,D144=5)),"LOW",IF(AND(C144="OS",E144="Consistent",OR(D144=1,D144=5)),"MODERATE",IF(AND(C144="OS",E144="Partially Consistent",OR(D144=2,D144=4)),"MODERATE","LOW"))))))</f>
        <v/>
      </c>
      <c r="H144" t="inlineStr"/>
      <c r="I144" t="inlineStr"/>
      <c r="J144" t="inlineStr"/>
      <c r="K144" t="inlineStr"/>
      <c r="L144" t="inlineStr"/>
      <c r="M144" t="inlineStr">
        <is>
          <t>https://www.lazada.com.ph/products/pdp-i1416996096-s29809518922.html</t>
        </is>
      </c>
      <c r="N144" t="n">
        <v>2</v>
      </c>
    </row>
    <row r="145">
      <c r="A145" t="inlineStr">
        <is>
          <t>very disappointed! akala ko basta lazmall store maayos katransact. . bumili ako ng may kasama nang 128gb sd card, pero pagdating ng package walang kasama! ! mga mandurugas! !</t>
        </is>
      </c>
      <c r="B145" t="inlineStr">
        <is>
          <t>NEGATIVE</t>
        </is>
      </c>
      <c r="C145">
        <f>IF(B145="NEUTRAL","TS","OS")</f>
        <v/>
      </c>
      <c r="D145" t="n">
        <v>1</v>
      </c>
      <c r="E145">
        <f>IF(C145="TS",IF(D145=3,"Consistent",IF(OR(D145=2,D145=4),"Partially Consistent","Inconsistent")),IF(D145=3,"Inconsistent",IF(AND(D145=5,B145="POSITIVE"),"Consistent",IF(AND(D145=1,B145="NEGATIVE"),"Consistent",IF(AND(D145=4,B145="POSITIVE"),"Partially Consistent",IF(AND(D145=2,B145="NEGATIVE"),"Partially Consistent","Inconsistent"))))))</f>
        <v/>
      </c>
      <c r="F145">
        <f>IF(C145="TS","High","Low")</f>
        <v/>
      </c>
      <c r="G145">
        <f>IF(AND(B145="NEUTRAL",F145="Low"),"LOW",IF(AND(C145="TS",F145="High",D145=3),"HIGH",IF(AND(C145="TS",F145="High",OR(D145=2,D145=4)),"MODERATE",IF(AND(C145="TS",F145="High",OR(D145=1,D145=5)),"LOW",IF(AND(C145="OS",E145="Consistent",OR(D145=1,D145=5)),"MODERATE",IF(AND(C145="OS",E145="Partially Consistent",OR(D145=2,D145=4)),"MODERATE","LOW"))))))</f>
        <v/>
      </c>
      <c r="H145" t="inlineStr"/>
      <c r="I145" t="inlineStr"/>
      <c r="J145" t="inlineStr"/>
      <c r="K145" t="inlineStr"/>
      <c r="L145" t="inlineStr"/>
      <c r="M145" t="inlineStr">
        <is>
          <t>https://www.lazada.com.ph/products/pdp-i1416996096-s29809518922.html</t>
        </is>
      </c>
      <c r="N145" t="n">
        <v>2</v>
      </c>
    </row>
    <row r="146">
      <c r="A146" t="inlineStr">
        <is>
          <t>did not match description. . no sd card included</t>
        </is>
      </c>
      <c r="B146" t="inlineStr">
        <is>
          <t>NEGATIVE</t>
        </is>
      </c>
      <c r="C146">
        <f>IF(B146="NEUTRAL","TS","OS")</f>
        <v/>
      </c>
      <c r="D146" t="n">
        <v>1</v>
      </c>
      <c r="E146">
        <f>IF(C146="TS",IF(D146=3,"Consistent",IF(OR(D146=2,D146=4),"Partially Consistent","Inconsistent")),IF(D146=3,"Inconsistent",IF(AND(D146=5,B146="POSITIVE"),"Consistent",IF(AND(D146=1,B146="NEGATIVE"),"Consistent",IF(AND(D146=4,B146="POSITIVE"),"Partially Consistent",IF(AND(D146=2,B146="NEGATIVE"),"Partially Consistent","Inconsistent"))))))</f>
        <v/>
      </c>
      <c r="F146">
        <f>IF(C146="TS","High","Low")</f>
        <v/>
      </c>
      <c r="G146">
        <f>IF(AND(B146="NEUTRAL",F146="Low"),"LOW",IF(AND(C146="TS",F146="High",D146=3),"HIGH",IF(AND(C146="TS",F146="High",OR(D146=2,D146=4)),"MODERATE",IF(AND(C146="TS",F146="High",OR(D146=1,D146=5)),"LOW",IF(AND(C146="OS",E146="Consistent",OR(D146=1,D146=5)),"MODERATE",IF(AND(C146="OS",E146="Partially Consistent",OR(D146=2,D146=4)),"MODERATE","LOW"))))))</f>
        <v/>
      </c>
      <c r="H146" t="inlineStr"/>
      <c r="I146" t="inlineStr"/>
      <c r="J146" t="inlineStr"/>
      <c r="K146" t="inlineStr"/>
      <c r="L146" t="inlineStr"/>
      <c r="M146" t="inlineStr">
        <is>
          <t>https://www.lazada.com.ph/products/pdp-i1416996096-s29809518922.html</t>
        </is>
      </c>
      <c r="N146" t="n">
        <v>2</v>
      </c>
    </row>
    <row r="147">
      <c r="A147" t="inlineStr">
        <is>
          <t>be careful when choosing a variation; it' s a little bit confusing, especially under the storage capacity option. you might just order a memory card without the cctv camera.</t>
        </is>
      </c>
      <c r="B147" t="inlineStr">
        <is>
          <t>NEUTRAL</t>
        </is>
      </c>
      <c r="C147">
        <f>IF(B147="NEUTRAL","TS","OS")</f>
        <v/>
      </c>
      <c r="D147" t="n">
        <v>1</v>
      </c>
      <c r="E147">
        <f>IF(C147="TS",IF(D147=3,"Consistent",IF(OR(D147=2,D147=4),"Partially Consistent","Inconsistent")),IF(D147=3,"Inconsistent",IF(AND(D147=5,B147="POSITIVE"),"Consistent",IF(AND(D147=1,B147="NEGATIVE"),"Consistent",IF(AND(D147=4,B147="POSITIVE"),"Partially Consistent",IF(AND(D147=2,B147="NEGATIVE"),"Partially Consistent","Inconsistent"))))))</f>
        <v/>
      </c>
      <c r="F147">
        <f>IF(C147="TS","High","Low")</f>
        <v/>
      </c>
      <c r="G147">
        <f>IF(AND(B147="NEUTRAL",F147="Low"),"LOW",IF(AND(C147="TS",F147="High",D147=3),"HIGH",IF(AND(C147="TS",F147="High",OR(D147=2,D147=4)),"MODERATE",IF(AND(C147="TS",F147="High",OR(D147=1,D147=5)),"LOW",IF(AND(C147="OS",E147="Consistent",OR(D147=1,D147=5)),"MODERATE",IF(AND(C147="OS",E147="Partially Consistent",OR(D147=2,D147=4)),"MODERATE","LOW"))))))</f>
        <v/>
      </c>
      <c r="H147" t="inlineStr"/>
      <c r="I147" t="inlineStr"/>
      <c r="J147" t="inlineStr"/>
      <c r="K147" t="inlineStr"/>
      <c r="L147" t="inlineStr"/>
      <c r="M147" t="inlineStr">
        <is>
          <t>https://www.lazada.com.ph/products/pdp-i1416996096-s29809518922.html</t>
        </is>
      </c>
      <c r="N147" t="n">
        <v>2</v>
      </c>
    </row>
    <row r="148">
      <c r="A148" t="inlineStr">
        <is>
          <t>wrong product delivered</t>
        </is>
      </c>
      <c r="B148" t="inlineStr">
        <is>
          <t>NEGATIVE</t>
        </is>
      </c>
      <c r="C148">
        <f>IF(B148="NEUTRAL","TS","OS")</f>
        <v/>
      </c>
      <c r="D148" t="n">
        <v>1</v>
      </c>
      <c r="E148">
        <f>IF(C148="TS",IF(D148=3,"Consistent",IF(OR(D148=2,D148=4),"Partially Consistent","Inconsistent")),IF(D148=3,"Inconsistent",IF(AND(D148=5,B148="POSITIVE"),"Consistent",IF(AND(D148=1,B148="NEGATIVE"),"Consistent",IF(AND(D148=4,B148="POSITIVE"),"Partially Consistent",IF(AND(D148=2,B148="NEGATIVE"),"Partially Consistent","Inconsistent"))))))</f>
        <v/>
      </c>
      <c r="F148">
        <f>IF(C148="TS","High","Low")</f>
        <v/>
      </c>
      <c r="G148">
        <f>IF(AND(B148="NEUTRAL",F148="Low"),"LOW",IF(AND(C148="TS",F148="High",D148=3),"HIGH",IF(AND(C148="TS",F148="High",OR(D148=2,D148=4)),"MODERATE",IF(AND(C148="TS",F148="High",OR(D148=1,D148=5)),"LOW",IF(AND(C148="OS",E148="Consistent",OR(D148=1,D148=5)),"MODERATE",IF(AND(C148="OS",E148="Partially Consistent",OR(D148=2,D148=4)),"MODERATE","LOW"))))))</f>
        <v/>
      </c>
      <c r="H148" t="inlineStr"/>
      <c r="I148" t="inlineStr"/>
      <c r="J148" t="inlineStr"/>
      <c r="K148" t="inlineStr"/>
      <c r="L148" t="inlineStr"/>
      <c r="M148" t="inlineStr">
        <is>
          <t>https://www.lazada.com.ph/products/pdp-i1416996096-s29809518922.html</t>
        </is>
      </c>
      <c r="N148" t="n">
        <v>2</v>
      </c>
    </row>
    <row r="149">
      <c r="A149" t="inlineStr">
        <is>
          <t>havent opened and tested yet. waiting for someone to install/drill on the wall. hopefully working well as my previous order in this store.</t>
        </is>
      </c>
      <c r="B149" t="inlineStr">
        <is>
          <t>POSITIVE</t>
        </is>
      </c>
      <c r="C149">
        <f>IF(B149="NEUTRAL","TS","OS")</f>
        <v/>
      </c>
      <c r="D149" t="n">
        <v>1</v>
      </c>
      <c r="E149">
        <f>IF(C149="TS",IF(D149=3,"Consistent",IF(OR(D149=2,D149=4),"Partially Consistent","Inconsistent")),IF(D149=3,"Inconsistent",IF(AND(D149=5,B149="POSITIVE"),"Consistent",IF(AND(D149=1,B149="NEGATIVE"),"Consistent",IF(AND(D149=4,B149="POSITIVE"),"Partially Consistent",IF(AND(D149=2,B149="NEGATIVE"),"Partially Consistent","Inconsistent"))))))</f>
        <v/>
      </c>
      <c r="F149">
        <f>IF(C149="TS","High","Low")</f>
        <v/>
      </c>
      <c r="G149">
        <f>IF(AND(B149="NEUTRAL",F149="Low"),"LOW",IF(AND(C149="TS",F149="High",D149=3),"HIGH",IF(AND(C149="TS",F149="High",OR(D149=2,D149=4)),"MODERATE",IF(AND(C149="TS",F149="High",OR(D149=1,D149=5)),"LOW",IF(AND(C149="OS",E149="Consistent",OR(D149=1,D149=5)),"MODERATE",IF(AND(C149="OS",E149="Partially Consistent",OR(D149=2,D149=4)),"MODERATE","LOW"))))))</f>
        <v/>
      </c>
      <c r="H149" t="inlineStr"/>
      <c r="I149" t="inlineStr"/>
      <c r="J149" t="inlineStr"/>
      <c r="K149" t="inlineStr"/>
      <c r="L149" t="inlineStr"/>
      <c r="M149" t="inlineStr">
        <is>
          <t>https://www.lazada.com.ph/products/pdp-i1416996096-s29809518922.html</t>
        </is>
      </c>
      <c r="N149" t="n">
        <v>2</v>
      </c>
    </row>
    <row r="150">
      <c r="A150" t="inlineStr">
        <is>
          <t>item is defective, but was able to send the item back though they havent gotten back to me for almost 2weeks already</t>
        </is>
      </c>
      <c r="B150" t="inlineStr">
        <is>
          <t>NEGATIVE</t>
        </is>
      </c>
      <c r="C150">
        <f>IF(B150="NEUTRAL","TS","OS")</f>
        <v/>
      </c>
      <c r="D150" t="n">
        <v>1</v>
      </c>
      <c r="E150">
        <f>IF(C150="TS",IF(D150=3,"Consistent",IF(OR(D150=2,D150=4),"Partially Consistent","Inconsistent")),IF(D150=3,"Inconsistent",IF(AND(D150=5,B150="POSITIVE"),"Consistent",IF(AND(D150=1,B150="NEGATIVE"),"Consistent",IF(AND(D150=4,B150="POSITIVE"),"Partially Consistent",IF(AND(D150=2,B150="NEGATIVE"),"Partially Consistent","Inconsistent"))))))</f>
        <v/>
      </c>
      <c r="F150">
        <f>IF(C150="TS","High","Low")</f>
        <v/>
      </c>
      <c r="G150">
        <f>IF(AND(B150="NEUTRAL",F150="Low"),"LOW",IF(AND(C150="TS",F150="High",D150=3),"HIGH",IF(AND(C150="TS",F150="High",OR(D150=2,D150=4)),"MODERATE",IF(AND(C150="TS",F150="High",OR(D150=1,D150=5)),"LOW",IF(AND(C150="OS",E150="Consistent",OR(D150=1,D150=5)),"MODERATE",IF(AND(C150="OS",E150="Partially Consistent",OR(D150=2,D150=4)),"MODERATE","LOW"))))))</f>
        <v/>
      </c>
      <c r="H150" t="inlineStr"/>
      <c r="I150" t="inlineStr"/>
      <c r="J150" t="inlineStr"/>
      <c r="K150" t="inlineStr"/>
      <c r="L150" t="inlineStr"/>
      <c r="M150" t="inlineStr">
        <is>
          <t>https://www.lazada.com.ph/products/pdp-i1416996096-s29809518922.html</t>
        </is>
      </c>
      <c r="N150" t="n">
        <v>2</v>
      </c>
    </row>
    <row r="151">
      <c r="A151" t="inlineStr">
        <is>
          <t>i received the item. but there is no free sd card as it stated on the advertisement it has. will not buy again. so disapointing.</t>
        </is>
      </c>
      <c r="B151" t="inlineStr">
        <is>
          <t>NEUTRAL</t>
        </is>
      </c>
      <c r="C151">
        <f>IF(B151="NEUTRAL","TS","OS")</f>
        <v/>
      </c>
      <c r="D151" t="n">
        <v>1</v>
      </c>
      <c r="E151">
        <f>IF(C151="TS",IF(D151=3,"Consistent",IF(OR(D151=2,D151=4),"Partially Consistent","Inconsistent")),IF(D151=3,"Inconsistent",IF(AND(D151=5,B151="POSITIVE"),"Consistent",IF(AND(D151=1,B151="NEGATIVE"),"Consistent",IF(AND(D151=4,B151="POSITIVE"),"Partially Consistent",IF(AND(D151=2,B151="NEGATIVE"),"Partially Consistent","Inconsistent"))))))</f>
        <v/>
      </c>
      <c r="F151">
        <f>IF(C151="TS","High","Low")</f>
        <v/>
      </c>
      <c r="G151">
        <f>IF(AND(B151="NEUTRAL",F151="Low"),"LOW",IF(AND(C151="TS",F151="High",D151=3),"HIGH",IF(AND(C151="TS",F151="High",OR(D151=2,D151=4)),"MODERATE",IF(AND(C151="TS",F151="High",OR(D151=1,D151=5)),"LOW",IF(AND(C151="OS",E151="Consistent",OR(D151=1,D151=5)),"MODERATE",IF(AND(C151="OS",E151="Partially Consistent",OR(D151=2,D151=4)),"MODERATE","LOW"))))))</f>
        <v/>
      </c>
      <c r="H151" t="inlineStr"/>
      <c r="I151" t="inlineStr"/>
      <c r="J151" t="inlineStr"/>
      <c r="K151" t="inlineStr"/>
      <c r="L151" t="inlineStr"/>
      <c r="M151" t="inlineStr">
        <is>
          <t>https://www.lazada.com.ph/products/pdp-i1416996096-s29809518922.html</t>
        </is>
      </c>
      <c r="N151" t="n">
        <v>2</v>
      </c>
    </row>
    <row r="152">
      <c r="A152" t="inlineStr">
        <is>
          <t>missing item. when you purchasing an item from a shop you expect to get your moneys worth. still didnt send me the missing item after 3 weeks and. lot of communication. will not order from this shop again</t>
        </is>
      </c>
      <c r="B152" t="inlineStr">
        <is>
          <t>NEGATIVE</t>
        </is>
      </c>
      <c r="C152">
        <f>IF(B152="NEUTRAL","TS","OS")</f>
        <v/>
      </c>
      <c r="D152" t="n">
        <v>1</v>
      </c>
      <c r="E152">
        <f>IF(C152="TS",IF(D152=3,"Consistent",IF(OR(D152=2,D152=4),"Partially Consistent","Inconsistent")),IF(D152=3,"Inconsistent",IF(AND(D152=5,B152="POSITIVE"),"Consistent",IF(AND(D152=1,B152="NEGATIVE"),"Consistent",IF(AND(D152=4,B152="POSITIVE"),"Partially Consistent",IF(AND(D152=2,B152="NEGATIVE"),"Partially Consistent","Inconsistent"))))))</f>
        <v/>
      </c>
      <c r="F152">
        <f>IF(C152="TS","High","Low")</f>
        <v/>
      </c>
      <c r="G152">
        <f>IF(AND(B152="NEUTRAL",F152="Low"),"LOW",IF(AND(C152="TS",F152="High",D152=3),"HIGH",IF(AND(C152="TS",F152="High",OR(D152=2,D152=4)),"MODERATE",IF(AND(C152="TS",F152="High",OR(D152=1,D152=5)),"LOW",IF(AND(C152="OS",E152="Consistent",OR(D152=1,D152=5)),"MODERATE",IF(AND(C152="OS",E152="Partially Consistent",OR(D152=2,D152=4)),"MODERATE","LOW"))))))</f>
        <v/>
      </c>
      <c r="H152" t="inlineStr"/>
      <c r="I152" t="inlineStr"/>
      <c r="J152" t="inlineStr"/>
      <c r="K152" t="inlineStr"/>
      <c r="L152" t="inlineStr"/>
      <c r="M152" t="inlineStr">
        <is>
          <t>https://www.lazada.com.ph/products/pdp-i1416996096-s29809518922.html</t>
        </is>
      </c>
      <c r="N152" t="n">
        <v>2</v>
      </c>
    </row>
    <row r="153">
      <c r="A153" t="inlineStr">
        <is>
          <t>not working.</t>
        </is>
      </c>
      <c r="B153" t="inlineStr">
        <is>
          <t>NEGATIVE</t>
        </is>
      </c>
      <c r="C153">
        <f>IF(B153="NEUTRAL","TS","OS")</f>
        <v/>
      </c>
      <c r="D153" t="n">
        <v>1</v>
      </c>
      <c r="E153">
        <f>IF(C153="TS",IF(D153=3,"Consistent",IF(OR(D153=2,D153=4),"Partially Consistent","Inconsistent")),IF(D153=3,"Inconsistent",IF(AND(D153=5,B153="POSITIVE"),"Consistent",IF(AND(D153=1,B153="NEGATIVE"),"Consistent",IF(AND(D153=4,B153="POSITIVE"),"Partially Consistent",IF(AND(D153=2,B153="NEGATIVE"),"Partially Consistent","Inconsistent"))))))</f>
        <v/>
      </c>
      <c r="F153">
        <f>IF(C153="TS","High","Low")</f>
        <v/>
      </c>
      <c r="G153">
        <f>IF(AND(B153="NEUTRAL",F153="Low"),"LOW",IF(AND(C153="TS",F153="High",D153=3),"HIGH",IF(AND(C153="TS",F153="High",OR(D153=2,D153=4)),"MODERATE",IF(AND(C153="TS",F153="High",OR(D153=1,D153=5)),"LOW",IF(AND(C153="OS",E153="Consistent",OR(D153=1,D153=5)),"MODERATE",IF(AND(C153="OS",E153="Partially Consistent",OR(D153=2,D153=4)),"MODERATE","LOW"))))))</f>
        <v/>
      </c>
      <c r="H153" t="inlineStr"/>
      <c r="I153" t="inlineStr"/>
      <c r="J153" t="inlineStr"/>
      <c r="K153" t="inlineStr"/>
      <c r="L153" t="inlineStr"/>
      <c r="M153" t="inlineStr">
        <is>
          <t>https://www.lazada.com.ph/products/pdp-i1416996096-s29809518922.html</t>
        </is>
      </c>
      <c r="N153" t="n">
        <v>2</v>
      </c>
    </row>
    <row r="154">
      <c r="A154" t="inlineStr">
        <is>
          <t>this is my 6th tapo cctv unit and i was surprise to find out that the item delivered was tc65 which is a poorer version i was expecting that its a c310 model dont be deceive by there advertisement and promo. and better check all the details before making a purchase</t>
        </is>
      </c>
      <c r="B154" t="inlineStr">
        <is>
          <t>NEGATIVE</t>
        </is>
      </c>
      <c r="C154">
        <f>IF(B154="NEUTRAL","TS","OS")</f>
        <v/>
      </c>
      <c r="D154" t="n">
        <v>1</v>
      </c>
      <c r="E154">
        <f>IF(C154="TS",IF(D154=3,"Consistent",IF(OR(D154=2,D154=4),"Partially Consistent","Inconsistent")),IF(D154=3,"Inconsistent",IF(AND(D154=5,B154="POSITIVE"),"Consistent",IF(AND(D154=1,B154="NEGATIVE"),"Consistent",IF(AND(D154=4,B154="POSITIVE"),"Partially Consistent",IF(AND(D154=2,B154="NEGATIVE"),"Partially Consistent","Inconsistent"))))))</f>
        <v/>
      </c>
      <c r="F154">
        <f>IF(C154="TS","High","Low")</f>
        <v/>
      </c>
      <c r="G154">
        <f>IF(AND(B154="NEUTRAL",F154="Low"),"LOW",IF(AND(C154="TS",F154="High",D154=3),"HIGH",IF(AND(C154="TS",F154="High",OR(D154=2,D154=4)),"MODERATE",IF(AND(C154="TS",F154="High",OR(D154=1,D154=5)),"LOW",IF(AND(C154="OS",E154="Consistent",OR(D154=1,D154=5)),"MODERATE",IF(AND(C154="OS",E154="Partially Consistent",OR(D154=2,D154=4)),"MODERATE","LOW"))))))</f>
        <v/>
      </c>
      <c r="H154" t="inlineStr"/>
      <c r="I154" t="inlineStr"/>
      <c r="J154" t="inlineStr"/>
      <c r="K154" t="inlineStr"/>
      <c r="L154" t="inlineStr"/>
      <c r="M154" t="inlineStr">
        <is>
          <t>https://www.lazada.com.ph/products/pdp-i1416996096-s29809518922.html</t>
        </is>
      </c>
      <c r="N154" t="n">
        <v>2</v>
      </c>
    </row>
    <row r="155">
      <c r="A155" t="inlineStr">
        <is>
          <t>slow app. camera doent have a memory card</t>
        </is>
      </c>
      <c r="B155" t="inlineStr">
        <is>
          <t>NEGATIVE</t>
        </is>
      </c>
      <c r="C155">
        <f>IF(B155="NEUTRAL","TS","OS")</f>
        <v/>
      </c>
      <c r="D155" t="n">
        <v>1</v>
      </c>
      <c r="E155">
        <f>IF(C155="TS",IF(D155=3,"Consistent",IF(OR(D155=2,D155=4),"Partially Consistent","Inconsistent")),IF(D155=3,"Inconsistent",IF(AND(D155=5,B155="POSITIVE"),"Consistent",IF(AND(D155=1,B155="NEGATIVE"),"Consistent",IF(AND(D155=4,B155="POSITIVE"),"Partially Consistent",IF(AND(D155=2,B155="NEGATIVE"),"Partially Consistent","Inconsistent"))))))</f>
        <v/>
      </c>
      <c r="F155">
        <f>IF(C155="TS","High","Low")</f>
        <v/>
      </c>
      <c r="G155">
        <f>IF(AND(B155="NEUTRAL",F155="Low"),"LOW",IF(AND(C155="TS",F155="High",D155=3),"HIGH",IF(AND(C155="TS",F155="High",OR(D155=2,D155=4)),"MODERATE",IF(AND(C155="TS",F155="High",OR(D155=1,D155=5)),"LOW",IF(AND(C155="OS",E155="Consistent",OR(D155=1,D155=5)),"MODERATE",IF(AND(C155="OS",E155="Partially Consistent",OR(D155=2,D155=4)),"MODERATE","LOW"))))))</f>
        <v/>
      </c>
      <c r="H155" t="inlineStr"/>
      <c r="I155" t="inlineStr"/>
      <c r="J155" t="inlineStr"/>
      <c r="K155" t="inlineStr"/>
      <c r="L155" t="inlineStr"/>
      <c r="M155" t="inlineStr">
        <is>
          <t>https://www.lazada.com.ph/products/pdp-i1416996096-s29809518922.html</t>
        </is>
      </c>
      <c r="N155" t="n">
        <v>2</v>
      </c>
    </row>
    <row r="156">
      <c r="A156" t="inlineStr">
        <is>
          <t>i ordered cctv plus 128gb sandisk memory card. only the camera was delivered and a 64gb lexar. dont order cctv with memory card, when i back read comments here. they always missed to deliver the memory card. super disappointed. you deseve negative star instead.</t>
        </is>
      </c>
      <c r="B156" t="inlineStr">
        <is>
          <t>NEGATIVE</t>
        </is>
      </c>
      <c r="C156">
        <f>IF(B156="NEUTRAL","TS","OS")</f>
        <v/>
      </c>
      <c r="D156" t="n">
        <v>1</v>
      </c>
      <c r="E156">
        <f>IF(C156="TS",IF(D156=3,"Consistent",IF(OR(D156=2,D156=4),"Partially Consistent","Inconsistent")),IF(D156=3,"Inconsistent",IF(AND(D156=5,B156="POSITIVE"),"Consistent",IF(AND(D156=1,B156="NEGATIVE"),"Consistent",IF(AND(D156=4,B156="POSITIVE"),"Partially Consistent",IF(AND(D156=2,B156="NEGATIVE"),"Partially Consistent","Inconsistent"))))))</f>
        <v/>
      </c>
      <c r="F156">
        <f>IF(C156="TS","High","Low")</f>
        <v/>
      </c>
      <c r="G156">
        <f>IF(AND(B156="NEUTRAL",F156="Low"),"LOW",IF(AND(C156="TS",F156="High",D156=3),"HIGH",IF(AND(C156="TS",F156="High",OR(D156=2,D156=4)),"MODERATE",IF(AND(C156="TS",F156="High",OR(D156=1,D156=5)),"LOW",IF(AND(C156="OS",E156="Consistent",OR(D156=1,D156=5)),"MODERATE",IF(AND(C156="OS",E156="Partially Consistent",OR(D156=2,D156=4)),"MODERATE","LOW"))))))</f>
        <v/>
      </c>
      <c r="H156" t="inlineStr"/>
      <c r="I156" t="inlineStr"/>
      <c r="J156" t="inlineStr"/>
      <c r="K156" t="inlineStr"/>
      <c r="L156" t="inlineStr"/>
      <c r="M156" t="inlineStr">
        <is>
          <t>https://www.lazada.com.ph/products/pdp-i1416996096-s29809518922.html</t>
        </is>
      </c>
      <c r="N156" t="n">
        <v>2</v>
      </c>
    </row>
    <row r="157">
      <c r="A157" t="inlineStr">
        <is>
          <t>received the item on time but encountered a problem with removing one of the the screws on the sd slot. i reported the issue and sent the item to thinknicians and the item has been with them for almost a month now (since jan 19) . i had to follow up 5 times to get updates otherwise i wouldn' t know what' s happening to my unit. bayad na po yung item. di ko alam kung bibigyan ba ako ng replacement talaga o magfofollow up nalang ako forever. sayang naman yung dalawang libo ko.</t>
        </is>
      </c>
      <c r="B157" t="inlineStr">
        <is>
          <t>NEGATIVE</t>
        </is>
      </c>
      <c r="C157">
        <f>IF(B157="NEUTRAL","TS","OS")</f>
        <v/>
      </c>
      <c r="D157" t="n">
        <v>1</v>
      </c>
      <c r="E157">
        <f>IF(C157="TS",IF(D157=3,"Consistent",IF(OR(D157=2,D157=4),"Partially Consistent","Inconsistent")),IF(D157=3,"Inconsistent",IF(AND(D157=5,B157="POSITIVE"),"Consistent",IF(AND(D157=1,B157="NEGATIVE"),"Consistent",IF(AND(D157=4,B157="POSITIVE"),"Partially Consistent",IF(AND(D157=2,B157="NEGATIVE"),"Partially Consistent","Inconsistent"))))))</f>
        <v/>
      </c>
      <c r="F157">
        <f>IF(C157="TS","High","Low")</f>
        <v/>
      </c>
      <c r="G157">
        <f>IF(AND(B157="NEUTRAL",F157="Low"),"LOW",IF(AND(C157="TS",F157="High",D157=3),"HIGH",IF(AND(C157="TS",F157="High",OR(D157=2,D157=4)),"MODERATE",IF(AND(C157="TS",F157="High",OR(D157=1,D157=5)),"LOW",IF(AND(C157="OS",E157="Consistent",OR(D157=1,D157=5)),"MODERATE",IF(AND(C157="OS",E157="Partially Consistent",OR(D157=2,D157=4)),"MODERATE","LOW"))))))</f>
        <v/>
      </c>
      <c r="H157" t="inlineStr"/>
      <c r="I157" t="inlineStr"/>
      <c r="J157" t="inlineStr"/>
      <c r="K157" t="inlineStr"/>
      <c r="L157" t="inlineStr"/>
      <c r="M157" t="inlineStr">
        <is>
          <t>https://www.lazada.com.ph/products/pdp-i1416996096-s29809518922.html</t>
        </is>
      </c>
      <c r="N157" t="n">
        <v>2</v>
      </c>
    </row>
    <row r="158">
      <c r="A158" t="inlineStr">
        <is>
          <t>after 5days ayaw na gumana</t>
        </is>
      </c>
      <c r="B158" t="inlineStr">
        <is>
          <t>NEGATIVE</t>
        </is>
      </c>
      <c r="C158">
        <f>IF(B158="NEUTRAL","TS","OS")</f>
        <v/>
      </c>
      <c r="D158" t="n">
        <v>1</v>
      </c>
      <c r="E158">
        <f>IF(C158="TS",IF(D158=3,"Consistent",IF(OR(D158=2,D158=4),"Partially Consistent","Inconsistent")),IF(D158=3,"Inconsistent",IF(AND(D158=5,B158="POSITIVE"),"Consistent",IF(AND(D158=1,B158="NEGATIVE"),"Consistent",IF(AND(D158=4,B158="POSITIVE"),"Partially Consistent",IF(AND(D158=2,B158="NEGATIVE"),"Partially Consistent","Inconsistent"))))))</f>
        <v/>
      </c>
      <c r="F158">
        <f>IF(C158="TS","High","Low")</f>
        <v/>
      </c>
      <c r="G158">
        <f>IF(AND(B158="NEUTRAL",F158="Low"),"LOW",IF(AND(C158="TS",F158="High",D158=3),"HIGH",IF(AND(C158="TS",F158="High",OR(D158=2,D158=4)),"MODERATE",IF(AND(C158="TS",F158="High",OR(D158=1,D158=5)),"LOW",IF(AND(C158="OS",E158="Consistent",OR(D158=1,D158=5)),"MODERATE",IF(AND(C158="OS",E158="Partially Consistent",OR(D158=2,D158=4)),"MODERATE","LOW"))))))</f>
        <v/>
      </c>
      <c r="H158" t="inlineStr"/>
      <c r="I158" t="inlineStr"/>
      <c r="J158" t="inlineStr"/>
      <c r="K158" t="inlineStr"/>
      <c r="L158" t="inlineStr"/>
      <c r="M158" t="inlineStr">
        <is>
          <t>https://www.lazada.com.ph/products/pdp-i1416996096-s29809518922.html</t>
        </is>
      </c>
      <c r="N158" t="n">
        <v>2</v>
      </c>
    </row>
    <row r="159">
      <c r="A159" t="inlineStr">
        <is>
          <t>very disappointed! akala ko basta lazmall store maayos katransact. . bumili ako ng may kasama nang 128gb sd card, pero pagdating ng package walang kasama! ! mga mandurugas! !</t>
        </is>
      </c>
      <c r="B159" t="inlineStr">
        <is>
          <t>NEGATIVE</t>
        </is>
      </c>
      <c r="C159">
        <f>IF(B159="NEUTRAL","TS","OS")</f>
        <v/>
      </c>
      <c r="D159" t="n">
        <v>1</v>
      </c>
      <c r="E159">
        <f>IF(C159="TS",IF(D159=3,"Consistent",IF(OR(D159=2,D159=4),"Partially Consistent","Inconsistent")),IF(D159=3,"Inconsistent",IF(AND(D159=5,B159="POSITIVE"),"Consistent",IF(AND(D159=1,B159="NEGATIVE"),"Consistent",IF(AND(D159=4,B159="POSITIVE"),"Partially Consistent",IF(AND(D159=2,B159="NEGATIVE"),"Partially Consistent","Inconsistent"))))))</f>
        <v/>
      </c>
      <c r="F159">
        <f>IF(C159="TS","High","Low")</f>
        <v/>
      </c>
      <c r="G159">
        <f>IF(AND(B159="NEUTRAL",F159="Low"),"LOW",IF(AND(C159="TS",F159="High",D159=3),"HIGH",IF(AND(C159="TS",F159="High",OR(D159=2,D159=4)),"MODERATE",IF(AND(C159="TS",F159="High",OR(D159=1,D159=5)),"LOW",IF(AND(C159="OS",E159="Consistent",OR(D159=1,D159=5)),"MODERATE",IF(AND(C159="OS",E159="Partially Consistent",OR(D159=2,D159=4)),"MODERATE","LOW"))))))</f>
        <v/>
      </c>
      <c r="H159" t="inlineStr"/>
      <c r="I159" t="inlineStr"/>
      <c r="J159" t="inlineStr"/>
      <c r="K159" t="inlineStr"/>
      <c r="L159" t="inlineStr"/>
      <c r="M159" t="inlineStr">
        <is>
          <t>https://www.lazada.com.ph/products/pdp-i1416996096-s29809518922.html</t>
        </is>
      </c>
      <c r="N159" t="n">
        <v>2</v>
      </c>
    </row>
    <row r="160">
      <c r="A160" t="inlineStr">
        <is>
          <t>did not match description. . no sd card included</t>
        </is>
      </c>
      <c r="B160" t="inlineStr">
        <is>
          <t>NEGATIVE</t>
        </is>
      </c>
      <c r="C160">
        <f>IF(B160="NEUTRAL","TS","OS")</f>
        <v/>
      </c>
      <c r="D160" t="n">
        <v>1</v>
      </c>
      <c r="E160">
        <f>IF(C160="TS",IF(D160=3,"Consistent",IF(OR(D160=2,D160=4),"Partially Consistent","Inconsistent")),IF(D160=3,"Inconsistent",IF(AND(D160=5,B160="POSITIVE"),"Consistent",IF(AND(D160=1,B160="NEGATIVE"),"Consistent",IF(AND(D160=4,B160="POSITIVE"),"Partially Consistent",IF(AND(D160=2,B160="NEGATIVE"),"Partially Consistent","Inconsistent"))))))</f>
        <v/>
      </c>
      <c r="F160">
        <f>IF(C160="TS","High","Low")</f>
        <v/>
      </c>
      <c r="G160">
        <f>IF(AND(B160="NEUTRAL",F160="Low"),"LOW",IF(AND(C160="TS",F160="High",D160=3),"HIGH",IF(AND(C160="TS",F160="High",OR(D160=2,D160=4)),"MODERATE",IF(AND(C160="TS",F160="High",OR(D160=1,D160=5)),"LOW",IF(AND(C160="OS",E160="Consistent",OR(D160=1,D160=5)),"MODERATE",IF(AND(C160="OS",E160="Partially Consistent",OR(D160=2,D160=4)),"MODERATE","LOW"))))))</f>
        <v/>
      </c>
      <c r="H160" t="inlineStr"/>
      <c r="I160" t="inlineStr"/>
      <c r="J160" t="inlineStr"/>
      <c r="K160" t="inlineStr"/>
      <c r="L160" t="inlineStr"/>
      <c r="M160" t="inlineStr">
        <is>
          <t>https://www.lazada.com.ph/products/pdp-i1416996096-s29809518922.html</t>
        </is>
      </c>
      <c r="N160" t="n">
        <v>2</v>
      </c>
    </row>
    <row r="161">
      <c r="A161" t="inlineStr">
        <is>
          <t>be careful when choosing a variation; it' s a little bit confusing, especially under the storage capacity option. you might just order a memory card without the cctv camera.</t>
        </is>
      </c>
      <c r="B161" t="inlineStr">
        <is>
          <t>NEUTRAL</t>
        </is>
      </c>
      <c r="C161">
        <f>IF(B161="NEUTRAL","TS","OS")</f>
        <v/>
      </c>
      <c r="D161" t="n">
        <v>1</v>
      </c>
      <c r="E161">
        <f>IF(C161="TS",IF(D161=3,"Consistent",IF(OR(D161=2,D161=4),"Partially Consistent","Inconsistent")),IF(D161=3,"Inconsistent",IF(AND(D161=5,B161="POSITIVE"),"Consistent",IF(AND(D161=1,B161="NEGATIVE"),"Consistent",IF(AND(D161=4,B161="POSITIVE"),"Partially Consistent",IF(AND(D161=2,B161="NEGATIVE"),"Partially Consistent","Inconsistent"))))))</f>
        <v/>
      </c>
      <c r="F161">
        <f>IF(C161="TS","High","Low")</f>
        <v/>
      </c>
      <c r="G161">
        <f>IF(AND(B161="NEUTRAL",F161="Low"),"LOW",IF(AND(C161="TS",F161="High",D161=3),"HIGH",IF(AND(C161="TS",F161="High",OR(D161=2,D161=4)),"MODERATE",IF(AND(C161="TS",F161="High",OR(D161=1,D161=5)),"LOW",IF(AND(C161="OS",E161="Consistent",OR(D161=1,D161=5)),"MODERATE",IF(AND(C161="OS",E161="Partially Consistent",OR(D161=2,D161=4)),"MODERATE","LOW"))))))</f>
        <v/>
      </c>
      <c r="H161" t="inlineStr"/>
      <c r="I161" t="inlineStr"/>
      <c r="J161" t="inlineStr"/>
      <c r="K161" t="inlineStr"/>
      <c r="L161" t="inlineStr"/>
      <c r="M161" t="inlineStr">
        <is>
          <t>https://www.lazada.com.ph/products/pdp-i1416996096-s29809518922.html</t>
        </is>
      </c>
      <c r="N161" t="n">
        <v>2</v>
      </c>
    </row>
    <row r="162">
      <c r="A162" t="inlineStr">
        <is>
          <t>wrong product delivered</t>
        </is>
      </c>
      <c r="B162" t="inlineStr">
        <is>
          <t>NEGATIVE</t>
        </is>
      </c>
      <c r="C162">
        <f>IF(B162="NEUTRAL","TS","OS")</f>
        <v/>
      </c>
      <c r="D162" t="n">
        <v>1</v>
      </c>
      <c r="E162">
        <f>IF(C162="TS",IF(D162=3,"Consistent",IF(OR(D162=2,D162=4),"Partially Consistent","Inconsistent")),IF(D162=3,"Inconsistent",IF(AND(D162=5,B162="POSITIVE"),"Consistent",IF(AND(D162=1,B162="NEGATIVE"),"Consistent",IF(AND(D162=4,B162="POSITIVE"),"Partially Consistent",IF(AND(D162=2,B162="NEGATIVE"),"Partially Consistent","Inconsistent"))))))</f>
        <v/>
      </c>
      <c r="F162">
        <f>IF(C162="TS","High","Low")</f>
        <v/>
      </c>
      <c r="G162">
        <f>IF(AND(B162="NEUTRAL",F162="Low"),"LOW",IF(AND(C162="TS",F162="High",D162=3),"HIGH",IF(AND(C162="TS",F162="High",OR(D162=2,D162=4)),"MODERATE",IF(AND(C162="TS",F162="High",OR(D162=1,D162=5)),"LOW",IF(AND(C162="OS",E162="Consistent",OR(D162=1,D162=5)),"MODERATE",IF(AND(C162="OS",E162="Partially Consistent",OR(D162=2,D162=4)),"MODERATE","LOW"))))))</f>
        <v/>
      </c>
      <c r="H162" t="inlineStr"/>
      <c r="I162" t="inlineStr"/>
      <c r="J162" t="inlineStr"/>
      <c r="K162" t="inlineStr"/>
      <c r="L162" t="inlineStr"/>
      <c r="M162" t="inlineStr">
        <is>
          <t>https://www.lazada.com.ph/products/pdp-i1416996096-s29809518922.html</t>
        </is>
      </c>
      <c r="N162" t="n">
        <v>2</v>
      </c>
    </row>
    <row r="163">
      <c r="A163" t="inlineStr">
        <is>
          <t>havent opened and tested yet. waiting for someone to install/drill on the wall. hopefully working well as my previous order in this store.</t>
        </is>
      </c>
      <c r="B163" t="inlineStr">
        <is>
          <t>POSITIVE</t>
        </is>
      </c>
      <c r="C163">
        <f>IF(B163="NEUTRAL","TS","OS")</f>
        <v/>
      </c>
      <c r="D163" t="n">
        <v>1</v>
      </c>
      <c r="E163">
        <f>IF(C163="TS",IF(D163=3,"Consistent",IF(OR(D163=2,D163=4),"Partially Consistent","Inconsistent")),IF(D163=3,"Inconsistent",IF(AND(D163=5,B163="POSITIVE"),"Consistent",IF(AND(D163=1,B163="NEGATIVE"),"Consistent",IF(AND(D163=4,B163="POSITIVE"),"Partially Consistent",IF(AND(D163=2,B163="NEGATIVE"),"Partially Consistent","Inconsistent"))))))</f>
        <v/>
      </c>
      <c r="F163">
        <f>IF(C163="TS","High","Low")</f>
        <v/>
      </c>
      <c r="G163">
        <f>IF(AND(B163="NEUTRAL",F163="Low"),"LOW",IF(AND(C163="TS",F163="High",D163=3),"HIGH",IF(AND(C163="TS",F163="High",OR(D163=2,D163=4)),"MODERATE",IF(AND(C163="TS",F163="High",OR(D163=1,D163=5)),"LOW",IF(AND(C163="OS",E163="Consistent",OR(D163=1,D163=5)),"MODERATE",IF(AND(C163="OS",E163="Partially Consistent",OR(D163=2,D163=4)),"MODERATE","LOW"))))))</f>
        <v/>
      </c>
      <c r="H163" t="inlineStr"/>
      <c r="I163" t="inlineStr"/>
      <c r="J163" t="inlineStr"/>
      <c r="K163" t="inlineStr"/>
      <c r="L163" t="inlineStr"/>
      <c r="M163" t="inlineStr">
        <is>
          <t>https://www.lazada.com.ph/products/pdp-i1416996096-s29809518922.html</t>
        </is>
      </c>
      <c r="N163" t="n">
        <v>2</v>
      </c>
    </row>
    <row r="164">
      <c r="A164" t="inlineStr">
        <is>
          <t>item is defective, but was able to send the item back though they havent gotten back to me for almost 2weeks already</t>
        </is>
      </c>
      <c r="B164" t="inlineStr">
        <is>
          <t>NEGATIVE</t>
        </is>
      </c>
      <c r="C164">
        <f>IF(B164="NEUTRAL","TS","OS")</f>
        <v/>
      </c>
      <c r="D164" t="n">
        <v>1</v>
      </c>
      <c r="E164">
        <f>IF(C164="TS",IF(D164=3,"Consistent",IF(OR(D164=2,D164=4),"Partially Consistent","Inconsistent")),IF(D164=3,"Inconsistent",IF(AND(D164=5,B164="POSITIVE"),"Consistent",IF(AND(D164=1,B164="NEGATIVE"),"Consistent",IF(AND(D164=4,B164="POSITIVE"),"Partially Consistent",IF(AND(D164=2,B164="NEGATIVE"),"Partially Consistent","Inconsistent"))))))</f>
        <v/>
      </c>
      <c r="F164">
        <f>IF(C164="TS","High","Low")</f>
        <v/>
      </c>
      <c r="G164">
        <f>IF(AND(B164="NEUTRAL",F164="Low"),"LOW",IF(AND(C164="TS",F164="High",D164=3),"HIGH",IF(AND(C164="TS",F164="High",OR(D164=2,D164=4)),"MODERATE",IF(AND(C164="TS",F164="High",OR(D164=1,D164=5)),"LOW",IF(AND(C164="OS",E164="Consistent",OR(D164=1,D164=5)),"MODERATE",IF(AND(C164="OS",E164="Partially Consistent",OR(D164=2,D164=4)),"MODERATE","LOW"))))))</f>
        <v/>
      </c>
      <c r="H164" t="inlineStr"/>
      <c r="I164" t="inlineStr"/>
      <c r="J164" t="inlineStr"/>
      <c r="K164" t="inlineStr"/>
      <c r="L164" t="inlineStr"/>
      <c r="M164" t="inlineStr">
        <is>
          <t>https://www.lazada.com.ph/products/pdp-i1416996096-s29809518922.html</t>
        </is>
      </c>
      <c r="N164" t="n">
        <v>2</v>
      </c>
    </row>
    <row r="165">
      <c r="A165" t="inlineStr">
        <is>
          <t>i received the item. but there is no free sd card as it stated on the advertisement it has. will not buy again. so disapointing.</t>
        </is>
      </c>
      <c r="B165" t="inlineStr">
        <is>
          <t>NEUTRAL</t>
        </is>
      </c>
      <c r="C165">
        <f>IF(B165="NEUTRAL","TS","OS")</f>
        <v/>
      </c>
      <c r="D165" t="n">
        <v>1</v>
      </c>
      <c r="E165">
        <f>IF(C165="TS",IF(D165=3,"Consistent",IF(OR(D165=2,D165=4),"Partially Consistent","Inconsistent")),IF(D165=3,"Inconsistent",IF(AND(D165=5,B165="POSITIVE"),"Consistent",IF(AND(D165=1,B165="NEGATIVE"),"Consistent",IF(AND(D165=4,B165="POSITIVE"),"Partially Consistent",IF(AND(D165=2,B165="NEGATIVE"),"Partially Consistent","Inconsistent"))))))</f>
        <v/>
      </c>
      <c r="F165">
        <f>IF(C165="TS","High","Low")</f>
        <v/>
      </c>
      <c r="G165">
        <f>IF(AND(B165="NEUTRAL",F165="Low"),"LOW",IF(AND(C165="TS",F165="High",D165=3),"HIGH",IF(AND(C165="TS",F165="High",OR(D165=2,D165=4)),"MODERATE",IF(AND(C165="TS",F165="High",OR(D165=1,D165=5)),"LOW",IF(AND(C165="OS",E165="Consistent",OR(D165=1,D165=5)),"MODERATE",IF(AND(C165="OS",E165="Partially Consistent",OR(D165=2,D165=4)),"MODERATE","LOW"))))))</f>
        <v/>
      </c>
      <c r="H165" t="inlineStr"/>
      <c r="I165" t="inlineStr"/>
      <c r="J165" t="inlineStr"/>
      <c r="K165" t="inlineStr"/>
      <c r="L165" t="inlineStr"/>
      <c r="M165" t="inlineStr">
        <is>
          <t>https://www.lazada.com.ph/products/pdp-i1416996096-s29809518922.html</t>
        </is>
      </c>
      <c r="N165" t="n">
        <v>2</v>
      </c>
    </row>
    <row r="166">
      <c r="A166" t="inlineStr">
        <is>
          <t>missing item. when you purchasing an item from a shop you expect to get your moneys worth. still didnt send me the missing item after 3 weeks and. lot of communication. will not order from this shop again</t>
        </is>
      </c>
      <c r="B166" t="inlineStr">
        <is>
          <t>NEGATIVE</t>
        </is>
      </c>
      <c r="C166">
        <f>IF(B166="NEUTRAL","TS","OS")</f>
        <v/>
      </c>
      <c r="D166" t="n">
        <v>1</v>
      </c>
      <c r="E166">
        <f>IF(C166="TS",IF(D166=3,"Consistent",IF(OR(D166=2,D166=4),"Partially Consistent","Inconsistent")),IF(D166=3,"Inconsistent",IF(AND(D166=5,B166="POSITIVE"),"Consistent",IF(AND(D166=1,B166="NEGATIVE"),"Consistent",IF(AND(D166=4,B166="POSITIVE"),"Partially Consistent",IF(AND(D166=2,B166="NEGATIVE"),"Partially Consistent","Inconsistent"))))))</f>
        <v/>
      </c>
      <c r="F166">
        <f>IF(C166="TS","High","Low")</f>
        <v/>
      </c>
      <c r="G166">
        <f>IF(AND(B166="NEUTRAL",F166="Low"),"LOW",IF(AND(C166="TS",F166="High",D166=3),"HIGH",IF(AND(C166="TS",F166="High",OR(D166=2,D166=4)),"MODERATE",IF(AND(C166="TS",F166="High",OR(D166=1,D166=5)),"LOW",IF(AND(C166="OS",E166="Consistent",OR(D166=1,D166=5)),"MODERATE",IF(AND(C166="OS",E166="Partially Consistent",OR(D166=2,D166=4)),"MODERATE","LOW"))))))</f>
        <v/>
      </c>
      <c r="H166" t="inlineStr"/>
      <c r="I166" t="inlineStr"/>
      <c r="J166" t="inlineStr"/>
      <c r="K166" t="inlineStr"/>
      <c r="L166" t="inlineStr"/>
      <c r="M166" t="inlineStr">
        <is>
          <t>https://www.lazada.com.ph/products/pdp-i1416996096-s29809518922.html</t>
        </is>
      </c>
      <c r="N166" t="n">
        <v>2</v>
      </c>
    </row>
    <row r="167">
      <c r="A167" t="inlineStr">
        <is>
          <t>sent the wrong item</t>
        </is>
      </c>
      <c r="B167" t="inlineStr">
        <is>
          <t>NEGATIVE</t>
        </is>
      </c>
      <c r="C167">
        <f>IF(B167="NEUTRAL","TS","OS")</f>
        <v/>
      </c>
      <c r="D167" t="n">
        <v>1</v>
      </c>
      <c r="E167">
        <f>IF(C167="TS",IF(D167=3,"Consistent",IF(OR(D167=2,D167=4),"Partially Consistent","Inconsistent")),IF(D167=3,"Inconsistent",IF(AND(D167=5,B167="POSITIVE"),"Consistent",IF(AND(D167=1,B167="NEGATIVE"),"Consistent",IF(AND(D167=4,B167="POSITIVE"),"Partially Consistent",IF(AND(D167=2,B167="NEGATIVE"),"Partially Consistent","Inconsistent"))))))</f>
        <v/>
      </c>
      <c r="F167">
        <f>IF(C167="TS","High","Low")</f>
        <v/>
      </c>
      <c r="G167">
        <f>IF(AND(B167="NEUTRAL",F167="Low"),"LOW",IF(AND(C167="TS",F167="High",D167=3),"HIGH",IF(AND(C167="TS",F167="High",OR(D167=2,D167=4)),"MODERATE",IF(AND(C167="TS",F167="High",OR(D167=1,D167=5)),"LOW",IF(AND(C167="OS",E167="Consistent",OR(D167=1,D167=5)),"MODERATE",IF(AND(C167="OS",E167="Partially Consistent",OR(D167=2,D167=4)),"MODERATE","LOW"))))))</f>
        <v/>
      </c>
      <c r="H167" t="inlineStr"/>
      <c r="I167" t="inlineStr"/>
      <c r="J167" t="inlineStr"/>
      <c r="K167" t="inlineStr"/>
      <c r="L167" t="inlineStr"/>
      <c r="M167" t="inlineStr">
        <is>
          <t>https://www.lazada.com.ph/products/pdp-i1416996096-s29809518922.html</t>
        </is>
      </c>
      <c r="N167" t="n">
        <v>2</v>
      </c>
    </row>
    <row r="168">
      <c r="A168" t="inlineStr">
        <is>
          <t>functionality:</t>
        </is>
      </c>
      <c r="B168" t="inlineStr">
        <is>
          <t>NEUTRAL</t>
        </is>
      </c>
      <c r="C168">
        <f>IF(B168="NEUTRAL","TS","OS")</f>
        <v/>
      </c>
      <c r="D168" t="n">
        <v>1</v>
      </c>
      <c r="E168">
        <f>IF(C168="TS",IF(D168=3,"Consistent",IF(OR(D168=2,D168=4),"Partially Consistent","Inconsistent")),IF(D168=3,"Inconsistent",IF(AND(D168=5,B168="POSITIVE"),"Consistent",IF(AND(D168=1,B168="NEGATIVE"),"Consistent",IF(AND(D168=4,B168="POSITIVE"),"Partially Consistent",IF(AND(D168=2,B168="NEGATIVE"),"Partially Consistent","Inconsistent"))))))</f>
        <v/>
      </c>
      <c r="F168">
        <f>IF(C168="TS","High","Low")</f>
        <v/>
      </c>
      <c r="G168">
        <f>IF(AND(B168="NEUTRAL",F168="Low"),"LOW",IF(AND(C168="TS",F168="High",D168=3),"HIGH",IF(AND(C168="TS",F168="High",OR(D168=2,D168=4)),"MODERATE",IF(AND(C168="TS",F168="High",OR(D168=1,D168=5)),"LOW",IF(AND(C168="OS",E168="Consistent",OR(D168=1,D168=5)),"MODERATE",IF(AND(C168="OS",E168="Partially Consistent",OR(D168=2,D168=4)),"MODERATE","LOW"))))))</f>
        <v/>
      </c>
      <c r="H168" t="inlineStr"/>
      <c r="I168" t="inlineStr"/>
      <c r="J168" t="inlineStr"/>
      <c r="K168" t="inlineStr"/>
      <c r="L168" t="inlineStr"/>
      <c r="M168" t="inlineStr">
        <is>
          <t>https://www.lazada.com.ph/products/pdp-i1416996096-s29809518922.html</t>
        </is>
      </c>
      <c r="N168" t="n">
        <v>2</v>
      </c>
    </row>
    <row r="169">
      <c r="A169" t="inlineStr">
        <is>
          <t>kulang yung order. wala yung 128 sandisk sd card sana pala nag camera only na lang ko. first time order ganito pa experience.</t>
        </is>
      </c>
      <c r="B169" t="inlineStr">
        <is>
          <t>NEGATIVE</t>
        </is>
      </c>
      <c r="C169">
        <f>IF(B169="NEUTRAL","TS","OS")</f>
        <v/>
      </c>
      <c r="D169" t="n">
        <v>1</v>
      </c>
      <c r="E169">
        <f>IF(C169="TS",IF(D169=3,"Consistent",IF(OR(D169=2,D169=4),"Partially Consistent","Inconsistent")),IF(D169=3,"Inconsistent",IF(AND(D169=5,B169="POSITIVE"),"Consistent",IF(AND(D169=1,B169="NEGATIVE"),"Consistent",IF(AND(D169=4,B169="POSITIVE"),"Partially Consistent",IF(AND(D169=2,B169="NEGATIVE"),"Partially Consistent","Inconsistent"))))))</f>
        <v/>
      </c>
      <c r="F169">
        <f>IF(C169="TS","High","Low")</f>
        <v/>
      </c>
      <c r="G169">
        <f>IF(AND(B169="NEUTRAL",F169="Low"),"LOW",IF(AND(C169="TS",F169="High",D169=3),"HIGH",IF(AND(C169="TS",F169="High",OR(D169=2,D169=4)),"MODERATE",IF(AND(C169="TS",F169="High",OR(D169=1,D169=5)),"LOW",IF(AND(C169="OS",E169="Consistent",OR(D169=1,D169=5)),"MODERATE",IF(AND(C169="OS",E169="Partially Consistent",OR(D169=2,D169=4)),"MODERATE","LOW"))))))</f>
        <v/>
      </c>
      <c r="H169" t="inlineStr"/>
      <c r="I169" t="inlineStr"/>
      <c r="J169" t="inlineStr"/>
      <c r="K169" t="inlineStr"/>
      <c r="L169" t="inlineStr"/>
      <c r="M169" t="inlineStr">
        <is>
          <t>https://www.lazada.com.ph/products/pdp-i1416996096-s29809518922.html</t>
        </is>
      </c>
      <c r="N169" t="n">
        <v>2</v>
      </c>
    </row>
    <row r="170">
      <c r="A170" t="inlineStr">
        <is>
          <t>the talk function is the only reason i bought this camera, and it is failing most of the time. connection is good, and bandwidth is way too much for audio only. functionality: low</t>
        </is>
      </c>
      <c r="B170" t="inlineStr">
        <is>
          <t>NEUTRAL</t>
        </is>
      </c>
      <c r="C170">
        <f>IF(B170="NEUTRAL","TS","OS")</f>
        <v/>
      </c>
      <c r="D170" t="n">
        <v>1</v>
      </c>
      <c r="E170">
        <f>IF(C170="TS",IF(D170=3,"Consistent",IF(OR(D170=2,D170=4),"Partially Consistent","Inconsistent")),IF(D170=3,"Inconsistent",IF(AND(D170=5,B170="POSITIVE"),"Consistent",IF(AND(D170=1,B170="NEGATIVE"),"Consistent",IF(AND(D170=4,B170="POSITIVE"),"Partially Consistent",IF(AND(D170=2,B170="NEGATIVE"),"Partially Consistent","Inconsistent"))))))</f>
        <v/>
      </c>
      <c r="F170">
        <f>IF(C170="TS","High","Low")</f>
        <v/>
      </c>
      <c r="G170">
        <f>IF(AND(B170="NEUTRAL",F170="Low"),"LOW",IF(AND(C170="TS",F170="High",D170=3),"HIGH",IF(AND(C170="TS",F170="High",OR(D170=2,D170=4)),"MODERATE",IF(AND(C170="TS",F170="High",OR(D170=1,D170=5)),"LOW",IF(AND(C170="OS",E170="Consistent",OR(D170=1,D170=5)),"MODERATE",IF(AND(C170="OS",E170="Partially Consistent",OR(D170=2,D170=4)),"MODERATE","LOW"))))))</f>
        <v/>
      </c>
      <c r="H170" t="inlineStr"/>
      <c r="I170" t="inlineStr"/>
      <c r="J170" t="inlineStr"/>
      <c r="K170" t="inlineStr"/>
      <c r="L170" t="inlineStr"/>
      <c r="M170" t="inlineStr">
        <is>
          <t>https://www.lazada.com.ph/products/pdp-i1416996096-s29809518922.html</t>
        </is>
      </c>
      <c r="N170" t="n">
        <v>2</v>
      </c>
    </row>
    <row r="171">
      <c r="A171" t="inlineStr">
        <is>
          <t>bakit iba ang model na dumating? ngayon ko lang nabuksan. nakakaloka. c200 ang dumating, tc65 ang order ko</t>
        </is>
      </c>
      <c r="B171" t="inlineStr">
        <is>
          <t>NEGATIVE</t>
        </is>
      </c>
      <c r="C171">
        <f>IF(B171="NEUTRAL","TS","OS")</f>
        <v/>
      </c>
      <c r="D171" t="n">
        <v>1</v>
      </c>
      <c r="E171">
        <f>IF(C171="TS",IF(D171=3,"Consistent",IF(OR(D171=2,D171=4),"Partially Consistent","Inconsistent")),IF(D171=3,"Inconsistent",IF(AND(D171=5,B171="POSITIVE"),"Consistent",IF(AND(D171=1,B171="NEGATIVE"),"Consistent",IF(AND(D171=4,B171="POSITIVE"),"Partially Consistent",IF(AND(D171=2,B171="NEGATIVE"),"Partially Consistent","Inconsistent"))))))</f>
        <v/>
      </c>
      <c r="F171">
        <f>IF(C171="TS","High","Low")</f>
        <v/>
      </c>
      <c r="G171">
        <f>IF(AND(B171="NEUTRAL",F171="Low"),"LOW",IF(AND(C171="TS",F171="High",D171=3),"HIGH",IF(AND(C171="TS",F171="High",OR(D171=2,D171=4)),"MODERATE",IF(AND(C171="TS",F171="High",OR(D171=1,D171=5)),"LOW",IF(AND(C171="OS",E171="Consistent",OR(D171=1,D171=5)),"MODERATE",IF(AND(C171="OS",E171="Partially Consistent",OR(D171=2,D171=4)),"MODERATE","LOW"))))))</f>
        <v/>
      </c>
      <c r="H171" t="inlineStr"/>
      <c r="I171" t="inlineStr"/>
      <c r="J171" t="inlineStr"/>
      <c r="K171" t="inlineStr"/>
      <c r="L171" t="inlineStr"/>
      <c r="M171" t="inlineStr">
        <is>
          <t>https://www.lazada.com.ph/products/pdp-i1416996096-s29809518922.html</t>
        </is>
      </c>
      <c r="N171" t="n">
        <v>2</v>
      </c>
    </row>
    <row r="172">
      <c r="A172" t="inlineStr">
        <is>
          <t>customer service is trash. bought two cctvs with a promo of free micro sd but tada no micro sds included. sent them an unpacking video for the second cam since my brother told me theres no micro sd included when he set up the first one. they wont accept my video lol. heres my reply. i dont remember exactly how it was wrapped. what other proofs do i need to send? keep out when the delivery rider comes in, video every single item every time? ! i replied here that i ordered these cams and even made a video as proof that i didnt receive the micro sd even if im busy. my brother who recommended me this store ordered here before, same promo but he received the micro sd as freebie separately but still inside the bubble wrap. the second box for the other cam was meant for my brother and he was the one who told me if theres a micro sd since he already installed it at their house. you know what its just a few hundred pesos and i dont really care about it honestly. the way you handle this proves you dont really care about customer service. para kayong nagpapakilala sa halagang what 900php? what a shame tp link.</t>
        </is>
      </c>
      <c r="B172" t="inlineStr">
        <is>
          <t>NEUTRAL</t>
        </is>
      </c>
      <c r="C172">
        <f>IF(B172="NEUTRAL","TS","OS")</f>
        <v/>
      </c>
      <c r="D172" t="n">
        <v>1</v>
      </c>
      <c r="E172">
        <f>IF(C172="TS",IF(D172=3,"Consistent",IF(OR(D172=2,D172=4),"Partially Consistent","Inconsistent")),IF(D172=3,"Inconsistent",IF(AND(D172=5,B172="POSITIVE"),"Consistent",IF(AND(D172=1,B172="NEGATIVE"),"Consistent",IF(AND(D172=4,B172="POSITIVE"),"Partially Consistent",IF(AND(D172=2,B172="NEGATIVE"),"Partially Consistent","Inconsistent"))))))</f>
        <v/>
      </c>
      <c r="F172">
        <f>IF(C172="TS","High","Low")</f>
        <v/>
      </c>
      <c r="G172">
        <f>IF(AND(B172="NEUTRAL",F172="Low"),"LOW",IF(AND(C172="TS",F172="High",D172=3),"HIGH",IF(AND(C172="TS",F172="High",OR(D172=2,D172=4)),"MODERATE",IF(AND(C172="TS",F172="High",OR(D172=1,D172=5)),"LOW",IF(AND(C172="OS",E172="Consistent",OR(D172=1,D172=5)),"MODERATE",IF(AND(C172="OS",E172="Partially Consistent",OR(D172=2,D172=4)),"MODERATE","LOW"))))))</f>
        <v/>
      </c>
      <c r="H172" t="inlineStr"/>
      <c r="I172" t="inlineStr"/>
      <c r="J172" t="inlineStr"/>
      <c r="K172" t="inlineStr"/>
      <c r="L172" t="inlineStr"/>
      <c r="M172" t="inlineStr">
        <is>
          <t>https://www.lazada.com.ph/products/pdp-i1416996096-s29809518922.html</t>
        </is>
      </c>
      <c r="N172" t="n">
        <v>2</v>
      </c>
    </row>
    <row r="173">
      <c r="A173" t="inlineStr">
        <is>
          <t>sobrang hirap naman buksan ng reset at paglagyanan ng sd card sa likod. pahirapan masyado. kahit anong try namin di talaga. okay na sana gamitin kaso ayaw mabuksan sa likod. matagal na di nagamit kasi ayaw mabukas na with sd card sana. hahayzzz.</t>
        </is>
      </c>
      <c r="B173" t="inlineStr">
        <is>
          <t>NEUTRAL</t>
        </is>
      </c>
      <c r="C173">
        <f>IF(B173="NEUTRAL","TS","OS")</f>
        <v/>
      </c>
      <c r="D173" t="n">
        <v>3</v>
      </c>
      <c r="E173">
        <f>IF(C173="TS",IF(D173=3,"Consistent",IF(OR(D173=2,D173=4),"Partially Consistent","Inconsistent")),IF(D173=3,"Inconsistent",IF(AND(D173=5,B173="POSITIVE"),"Consistent",IF(AND(D173=1,B173="NEGATIVE"),"Consistent",IF(AND(D173=4,B173="POSITIVE"),"Partially Consistent",IF(AND(D173=2,B173="NEGATIVE"),"Partially Consistent","Inconsistent"))))))</f>
        <v/>
      </c>
      <c r="F173">
        <f>IF(C173="TS","High","Low")</f>
        <v/>
      </c>
      <c r="G173">
        <f>IF(AND(B173="NEUTRAL",F173="Low"),"LOW",IF(AND(C173="TS",F173="High",D173=3),"HIGH",IF(AND(C173="TS",F173="High",OR(D173=2,D173=4)),"MODERATE",IF(AND(C173="TS",F173="High",OR(D173=1,D173=5)),"LOW",IF(AND(C173="OS",E173="Consistent",OR(D173=1,D173=5)),"MODERATE",IF(AND(C173="OS",E173="Partially Consistent",OR(D173=2,D173=4)),"MODERATE","LOW"))))))</f>
        <v/>
      </c>
      <c r="H173" t="inlineStr"/>
      <c r="I173" t="inlineStr"/>
      <c r="J173" t="inlineStr"/>
      <c r="K173" t="inlineStr"/>
      <c r="L173" t="inlineStr"/>
      <c r="M173" t="inlineStr">
        <is>
          <t>https://www.lazada.com.ph/products/pdp-i1416996096-s29809518922.html</t>
        </is>
      </c>
      <c r="N173" t="n">
        <v>2</v>
      </c>
    </row>
    <row r="174">
      <c r="A174" t="inlineStr">
        <is>
          <t>sa ad nakalagay pwede up to 512 gb, pero ang pinadala pang 128gb lang, ilang araw ko na iniintay ang reply ng seller pero hindi na nagrereply kahit nag oonline lagi. dahil tp link naman kaya di ko na ini-return. kakadismaya lang hindi man lang samagot kung ano ba talaga ang tama para makabili na ako ng sd.</t>
        </is>
      </c>
      <c r="B174" t="inlineStr">
        <is>
          <t>NEGATIVE</t>
        </is>
      </c>
      <c r="C174">
        <f>IF(B174="NEUTRAL","TS","OS")</f>
        <v/>
      </c>
      <c r="D174" t="n">
        <v>3</v>
      </c>
      <c r="E174">
        <f>IF(C174="TS",IF(D174=3,"Consistent",IF(OR(D174=2,D174=4),"Partially Consistent","Inconsistent")),IF(D174=3,"Inconsistent",IF(AND(D174=5,B174="POSITIVE"),"Consistent",IF(AND(D174=1,B174="NEGATIVE"),"Consistent",IF(AND(D174=4,B174="POSITIVE"),"Partially Consistent",IF(AND(D174=2,B174="NEGATIVE"),"Partially Consistent","Inconsistent"))))))</f>
        <v/>
      </c>
      <c r="F174">
        <f>IF(C174="TS","High","Low")</f>
        <v/>
      </c>
      <c r="G174">
        <f>IF(AND(B174="NEUTRAL",F174="Low"),"LOW",IF(AND(C174="TS",F174="High",D174=3),"HIGH",IF(AND(C174="TS",F174="High",OR(D174=2,D174=4)),"MODERATE",IF(AND(C174="TS",F174="High",OR(D174=1,D174=5)),"LOW",IF(AND(C174="OS",E174="Consistent",OR(D174=1,D174=5)),"MODERATE",IF(AND(C174="OS",E174="Partially Consistent",OR(D174=2,D174=4)),"MODERATE","LOW"))))))</f>
        <v/>
      </c>
      <c r="H174" t="inlineStr"/>
      <c r="I174" t="inlineStr"/>
      <c r="J174" t="inlineStr"/>
      <c r="K174" t="inlineStr"/>
      <c r="L174" t="inlineStr"/>
      <c r="M174" t="inlineStr">
        <is>
          <t>https://www.lazada.com.ph/products/pdp-i1416996096-s29809518922.html</t>
        </is>
      </c>
      <c r="N174" t="n">
        <v>2</v>
      </c>
    </row>
    <row r="175">
      <c r="A175" t="inlineStr">
        <is>
          <t>i dont know but i expected a camera with a 32gb memory. in reality, i got the card only. to all buyers, make sure to choose camera only if you want the cctv cam. . then separate order for the memory card. ill try the memory once i ordered the camera or cctv.</t>
        </is>
      </c>
      <c r="B175" t="inlineStr">
        <is>
          <t>NEUTRAL</t>
        </is>
      </c>
      <c r="C175">
        <f>IF(B175="NEUTRAL","TS","OS")</f>
        <v/>
      </c>
      <c r="D175" t="n">
        <v>3</v>
      </c>
      <c r="E175">
        <f>IF(C175="TS",IF(D175=3,"Consistent",IF(OR(D175=2,D175=4),"Partially Consistent","Inconsistent")),IF(D175=3,"Inconsistent",IF(AND(D175=5,B175="POSITIVE"),"Consistent",IF(AND(D175=1,B175="NEGATIVE"),"Consistent",IF(AND(D175=4,B175="POSITIVE"),"Partially Consistent",IF(AND(D175=2,B175="NEGATIVE"),"Partially Consistent","Inconsistent"))))))</f>
        <v/>
      </c>
      <c r="F175">
        <f>IF(C175="TS","High","Low")</f>
        <v/>
      </c>
      <c r="G175">
        <f>IF(AND(B175="NEUTRAL",F175="Low"),"LOW",IF(AND(C175="TS",F175="High",D175=3),"HIGH",IF(AND(C175="TS",F175="High",OR(D175=2,D175=4)),"MODERATE",IF(AND(C175="TS",F175="High",OR(D175=1,D175=5)),"LOW",IF(AND(C175="OS",E175="Consistent",OR(D175=1,D175=5)),"MODERATE",IF(AND(C175="OS",E175="Partially Consistent",OR(D175=2,D175=4)),"MODERATE","LOW"))))))</f>
        <v/>
      </c>
      <c r="H175" t="inlineStr"/>
      <c r="I175" t="inlineStr"/>
      <c r="J175" t="inlineStr"/>
      <c r="K175" t="inlineStr"/>
      <c r="L175" t="inlineStr"/>
      <c r="M175" t="inlineStr">
        <is>
          <t>https://www.lazada.com.ph/products/pdp-i1416996096-s29809518922.html</t>
        </is>
      </c>
      <c r="N175" t="n">
        <v>2</v>
      </c>
    </row>
    <row r="176">
      <c r="A176" t="inlineStr">
        <is>
          <t>it was so difficult to open the sd card slot screw, you dont give free screw driver?</t>
        </is>
      </c>
      <c r="B176" t="inlineStr">
        <is>
          <t>NEGATIVE</t>
        </is>
      </c>
      <c r="C176">
        <f>IF(B176="NEUTRAL","TS","OS")</f>
        <v/>
      </c>
      <c r="D176" t="n">
        <v>3</v>
      </c>
      <c r="E176">
        <f>IF(C176="TS",IF(D176=3,"Consistent",IF(OR(D176=2,D176=4),"Partially Consistent","Inconsistent")),IF(D176=3,"Inconsistent",IF(AND(D176=5,B176="POSITIVE"),"Consistent",IF(AND(D176=1,B176="NEGATIVE"),"Consistent",IF(AND(D176=4,B176="POSITIVE"),"Partially Consistent",IF(AND(D176=2,B176="NEGATIVE"),"Partially Consistent","Inconsistent"))))))</f>
        <v/>
      </c>
      <c r="F176">
        <f>IF(C176="TS","High","Low")</f>
        <v/>
      </c>
      <c r="G176">
        <f>IF(AND(B176="NEUTRAL",F176="Low"),"LOW",IF(AND(C176="TS",F176="High",D176=3),"HIGH",IF(AND(C176="TS",F176="High",OR(D176=2,D176=4)),"MODERATE",IF(AND(C176="TS",F176="High",OR(D176=1,D176=5)),"LOW",IF(AND(C176="OS",E176="Consistent",OR(D176=1,D176=5)),"MODERATE",IF(AND(C176="OS",E176="Partially Consistent",OR(D176=2,D176=4)),"MODERATE","LOW"))))))</f>
        <v/>
      </c>
      <c r="H176" t="inlineStr"/>
      <c r="I176" t="inlineStr"/>
      <c r="J176" t="inlineStr"/>
      <c r="K176" t="inlineStr"/>
      <c r="L176" t="inlineStr"/>
      <c r="M176" t="inlineStr">
        <is>
          <t>https://www.lazada.com.ph/products/pdp-i1416996096-s29809518922.html</t>
        </is>
      </c>
      <c r="N176" t="n">
        <v>2</v>
      </c>
    </row>
    <row r="177">
      <c r="A177" t="inlineStr">
        <is>
          <t>i equested for a refund dahil defective yung unit, hndi nagpopower / on. pinareturn ko yung item at pinick up naman ng lazada dito sa bahay. i hope maibalik yung binayad ko sa card ko. umorder ako ng bagong unit and nareceived ko today, ok naman sya, nagana na yung unit. thank you.</t>
        </is>
      </c>
      <c r="B177" t="inlineStr">
        <is>
          <t>NEUTRAL</t>
        </is>
      </c>
      <c r="C177">
        <f>IF(B177="NEUTRAL","TS","OS")</f>
        <v/>
      </c>
      <c r="D177" t="n">
        <v>3</v>
      </c>
      <c r="E177">
        <f>IF(C177="TS",IF(D177=3,"Consistent",IF(OR(D177=2,D177=4),"Partially Consistent","Inconsistent")),IF(D177=3,"Inconsistent",IF(AND(D177=5,B177="POSITIVE"),"Consistent",IF(AND(D177=1,B177="NEGATIVE"),"Consistent",IF(AND(D177=4,B177="POSITIVE"),"Partially Consistent",IF(AND(D177=2,B177="NEGATIVE"),"Partially Consistent","Inconsistent"))))))</f>
        <v/>
      </c>
      <c r="F177">
        <f>IF(C177="TS","High","Low")</f>
        <v/>
      </c>
      <c r="G177">
        <f>IF(AND(B177="NEUTRAL",F177="Low"),"LOW",IF(AND(C177="TS",F177="High",D177=3),"HIGH",IF(AND(C177="TS",F177="High",OR(D177=2,D177=4)),"MODERATE",IF(AND(C177="TS",F177="High",OR(D177=1,D177=5)),"LOW",IF(AND(C177="OS",E177="Consistent",OR(D177=1,D177=5)),"MODERATE",IF(AND(C177="OS",E177="Partially Consistent",OR(D177=2,D177=4)),"MODERATE","LOW"))))))</f>
        <v/>
      </c>
      <c r="H177" t="inlineStr"/>
      <c r="I177" t="inlineStr"/>
      <c r="J177" t="inlineStr"/>
      <c r="K177" t="inlineStr"/>
      <c r="L177" t="inlineStr"/>
      <c r="M177" t="inlineStr">
        <is>
          <t>https://www.lazada.com.ph/products/pdp-i1416996096-s29809518922.html</t>
        </is>
      </c>
      <c r="N177" t="n">
        <v>2</v>
      </c>
    </row>
    <row r="178">
      <c r="A178" t="inlineStr">
        <is>
          <t>not very clear for the advertisement</t>
        </is>
      </c>
      <c r="B178" t="inlineStr">
        <is>
          <t>NEGATIVE</t>
        </is>
      </c>
      <c r="C178">
        <f>IF(B178="NEUTRAL","TS","OS")</f>
        <v/>
      </c>
      <c r="D178" t="n">
        <v>3</v>
      </c>
      <c r="E178">
        <f>IF(C178="TS",IF(D178=3,"Consistent",IF(OR(D178=2,D178=4),"Partially Consistent","Inconsistent")),IF(D178=3,"Inconsistent",IF(AND(D178=5,B178="POSITIVE"),"Consistent",IF(AND(D178=1,B178="NEGATIVE"),"Consistent",IF(AND(D178=4,B178="POSITIVE"),"Partially Consistent",IF(AND(D178=2,B178="NEGATIVE"),"Partially Consistent","Inconsistent"))))))</f>
        <v/>
      </c>
      <c r="F178">
        <f>IF(C178="TS","High","Low")</f>
        <v/>
      </c>
      <c r="G178">
        <f>IF(AND(B178="NEUTRAL",F178="Low"),"LOW",IF(AND(C178="TS",F178="High",D178=3),"HIGH",IF(AND(C178="TS",F178="High",OR(D178=2,D178=4)),"MODERATE",IF(AND(C178="TS",F178="High",OR(D178=1,D178=5)),"LOW",IF(AND(C178="OS",E178="Consistent",OR(D178=1,D178=5)),"MODERATE",IF(AND(C178="OS",E178="Partially Consistent",OR(D178=2,D178=4)),"MODERATE","LOW"))))))</f>
        <v/>
      </c>
      <c r="H178" t="inlineStr"/>
      <c r="I178" t="inlineStr"/>
      <c r="J178" t="inlineStr"/>
      <c r="K178" t="inlineStr"/>
      <c r="L178" t="inlineStr"/>
      <c r="M178" t="inlineStr">
        <is>
          <t>https://www.lazada.com.ph/products/pdp-i1416996096-s29809518922.html</t>
        </is>
      </c>
      <c r="N178" t="n">
        <v>2</v>
      </c>
    </row>
    <row r="179">
      <c r="A179" t="inlineStr">
        <is>
          <t>great video quality! , versatile for indoor and outdoor use, user-friendly interface, no app control</t>
        </is>
      </c>
      <c r="B179" t="inlineStr">
        <is>
          <t>POSITIVE</t>
        </is>
      </c>
      <c r="C179">
        <f>IF(B179="NEUTRAL","TS","OS")</f>
        <v/>
      </c>
      <c r="D179" t="n">
        <v>3</v>
      </c>
      <c r="E179">
        <f>IF(C179="TS",IF(D179=3,"Consistent",IF(OR(D179=2,D179=4),"Partially Consistent","Inconsistent")),IF(D179=3,"Inconsistent",IF(AND(D179=5,B179="POSITIVE"),"Consistent",IF(AND(D179=1,B179="NEGATIVE"),"Consistent",IF(AND(D179=4,B179="POSITIVE"),"Partially Consistent",IF(AND(D179=2,B179="NEGATIVE"),"Partially Consistent","Inconsistent"))))))</f>
        <v/>
      </c>
      <c r="F179">
        <f>IF(C179="TS","High","Low")</f>
        <v/>
      </c>
      <c r="G179">
        <f>IF(AND(B179="NEUTRAL",F179="Low"),"LOW",IF(AND(C179="TS",F179="High",D179=3),"HIGH",IF(AND(C179="TS",F179="High",OR(D179=2,D179=4)),"MODERATE",IF(AND(C179="TS",F179="High",OR(D179=1,D179=5)),"LOW",IF(AND(C179="OS",E179="Consistent",OR(D179=1,D179=5)),"MODERATE",IF(AND(C179="OS",E179="Partially Consistent",OR(D179=2,D179=4)),"MODERATE","LOW"))))))</f>
        <v/>
      </c>
      <c r="H179" t="inlineStr"/>
      <c r="I179" t="inlineStr"/>
      <c r="J179" t="inlineStr"/>
      <c r="K179" t="inlineStr"/>
      <c r="L179" t="inlineStr"/>
      <c r="M179" t="inlineStr">
        <is>
          <t>https://www.lazada.com.ph/products/pdp-i1416996096-s29809518922.html</t>
        </is>
      </c>
      <c r="N179" t="n">
        <v>2</v>
      </c>
    </row>
    <row r="180">
      <c r="A180" t="inlineStr">
        <is>
          <t>very nice</t>
        </is>
      </c>
      <c r="B180" t="inlineStr">
        <is>
          <t>POSITIVE</t>
        </is>
      </c>
      <c r="C180">
        <f>IF(B180="NEUTRAL","TS","OS")</f>
        <v/>
      </c>
      <c r="D180" t="n">
        <v>3</v>
      </c>
      <c r="E180">
        <f>IF(C180="TS",IF(D180=3,"Consistent",IF(OR(D180=2,D180=4),"Partially Consistent","Inconsistent")),IF(D180=3,"Inconsistent",IF(AND(D180=5,B180="POSITIVE"),"Consistent",IF(AND(D180=1,B180="NEGATIVE"),"Consistent",IF(AND(D180=4,B180="POSITIVE"),"Partially Consistent",IF(AND(D180=2,B180="NEGATIVE"),"Partially Consistent","Inconsistent"))))))</f>
        <v/>
      </c>
      <c r="F180">
        <f>IF(C180="TS","High","Low")</f>
        <v/>
      </c>
      <c r="G180">
        <f>IF(AND(B180="NEUTRAL",F180="Low"),"LOW",IF(AND(C180="TS",F180="High",D180=3),"HIGH",IF(AND(C180="TS",F180="High",OR(D180=2,D180=4)),"MODERATE",IF(AND(C180="TS",F180="High",OR(D180=1,D180=5)),"LOW",IF(AND(C180="OS",E180="Consistent",OR(D180=1,D180=5)),"MODERATE",IF(AND(C180="OS",E180="Partially Consistent",OR(D180=2,D180=4)),"MODERATE","LOW"))))))</f>
        <v/>
      </c>
      <c r="H180" t="inlineStr"/>
      <c r="I180" t="inlineStr"/>
      <c r="J180" t="inlineStr"/>
      <c r="K180" t="inlineStr"/>
      <c r="L180" t="inlineStr"/>
      <c r="M180" t="inlineStr">
        <is>
          <t>https://www.lazada.com.ph/products/pdp-i1416996096-s29809518922.html</t>
        </is>
      </c>
      <c r="N180" t="n">
        <v>2</v>
      </c>
    </row>
    <row r="181">
      <c r="A181" t="inlineStr">
        <is>
          <t>sobrang hirap buksan ng turnilyo. natagalan bago gamitin dahil hndi maipasok ang memory card. ngayon naman ang hirap i reset kasi kailangan nga ulit tanggalin turnilyo. i know its for safety, pero ngayon lang ako naka-kita ng ganitong turnilyo na sobrang hirap tanggalin.</t>
        </is>
      </c>
      <c r="B181" t="inlineStr">
        <is>
          <t>NEGATIVE</t>
        </is>
      </c>
      <c r="C181">
        <f>IF(B181="NEUTRAL","TS","OS")</f>
        <v/>
      </c>
      <c r="D181" t="n">
        <v>3</v>
      </c>
      <c r="E181">
        <f>IF(C181="TS",IF(D181=3,"Consistent",IF(OR(D181=2,D181=4),"Partially Consistent","Inconsistent")),IF(D181=3,"Inconsistent",IF(AND(D181=5,B181="POSITIVE"),"Consistent",IF(AND(D181=1,B181="NEGATIVE"),"Consistent",IF(AND(D181=4,B181="POSITIVE"),"Partially Consistent",IF(AND(D181=2,B181="NEGATIVE"),"Partially Consistent","Inconsistent"))))))</f>
        <v/>
      </c>
      <c r="F181">
        <f>IF(C181="TS","High","Low")</f>
        <v/>
      </c>
      <c r="G181">
        <f>IF(AND(B181="NEUTRAL",F181="Low"),"LOW",IF(AND(C181="TS",F181="High",D181=3),"HIGH",IF(AND(C181="TS",F181="High",OR(D181=2,D181=4)),"MODERATE",IF(AND(C181="TS",F181="High",OR(D181=1,D181=5)),"LOW",IF(AND(C181="OS",E181="Consistent",OR(D181=1,D181=5)),"MODERATE",IF(AND(C181="OS",E181="Partially Consistent",OR(D181=2,D181=4)),"MODERATE","LOW"))))))</f>
        <v/>
      </c>
      <c r="H181" t="inlineStr"/>
      <c r="I181" t="inlineStr"/>
      <c r="J181" t="inlineStr"/>
      <c r="K181" t="inlineStr"/>
      <c r="L181" t="inlineStr"/>
      <c r="M181" t="inlineStr">
        <is>
          <t>https://www.lazada.com.ph/products/pdp-i1416996096-s29809518922.html</t>
        </is>
      </c>
      <c r="N181" t="n">
        <v>2</v>
      </c>
    </row>
    <row r="182">
      <c r="A182" t="inlineStr">
        <is>
          <t>warning, microsd card compatibility is hit and miss. i bought 5 sandisk cards 128gb that were legit but tapo did not take them. lexar 32gb that were the freebies were the only ones compatible. otherwise the cameras were okay, id rate them 7 for quality, 8 ease of setup.</t>
        </is>
      </c>
      <c r="B182" t="inlineStr">
        <is>
          <t>NEUTRAL</t>
        </is>
      </c>
      <c r="C182">
        <f>IF(B182="NEUTRAL","TS","OS")</f>
        <v/>
      </c>
      <c r="D182" t="n">
        <v>3</v>
      </c>
      <c r="E182">
        <f>IF(C182="TS",IF(D182=3,"Consistent",IF(OR(D182=2,D182=4),"Partially Consistent","Inconsistent")),IF(D182=3,"Inconsistent",IF(AND(D182=5,B182="POSITIVE"),"Consistent",IF(AND(D182=1,B182="NEGATIVE"),"Consistent",IF(AND(D182=4,B182="POSITIVE"),"Partially Consistent",IF(AND(D182=2,B182="NEGATIVE"),"Partially Consistent","Inconsistent"))))))</f>
        <v/>
      </c>
      <c r="F182">
        <f>IF(C182="TS","High","Low")</f>
        <v/>
      </c>
      <c r="G182">
        <f>IF(AND(B182="NEUTRAL",F182="Low"),"LOW",IF(AND(C182="TS",F182="High",D182=3),"HIGH",IF(AND(C182="TS",F182="High",OR(D182=2,D182=4)),"MODERATE",IF(AND(C182="TS",F182="High",OR(D182=1,D182=5)),"LOW",IF(AND(C182="OS",E182="Consistent",OR(D182=1,D182=5)),"MODERATE",IF(AND(C182="OS",E182="Partially Consistent",OR(D182=2,D182=4)),"MODERATE","LOW"))))))</f>
        <v/>
      </c>
      <c r="H182" t="inlineStr"/>
      <c r="I182" t="inlineStr"/>
      <c r="J182" t="inlineStr"/>
      <c r="K182" t="inlineStr"/>
      <c r="L182" t="inlineStr"/>
      <c r="M182" t="inlineStr">
        <is>
          <t>https://www.lazada.com.ph/products/pdp-i1416996096-s29809518922.html</t>
        </is>
      </c>
      <c r="N182" t="n">
        <v>2</v>
      </c>
    </row>
    <row r="183">
      <c r="A183" t="inlineStr">
        <is>
          <t>hard to install.</t>
        </is>
      </c>
      <c r="B183" t="inlineStr">
        <is>
          <t>NEGATIVE</t>
        </is>
      </c>
      <c r="C183">
        <f>IF(B183="NEUTRAL","TS","OS")</f>
        <v/>
      </c>
      <c r="D183" t="n">
        <v>3</v>
      </c>
      <c r="E183">
        <f>IF(C183="TS",IF(D183=3,"Consistent",IF(OR(D183=2,D183=4),"Partially Consistent","Inconsistent")),IF(D183=3,"Inconsistent",IF(AND(D183=5,B183="POSITIVE"),"Consistent",IF(AND(D183=1,B183="NEGATIVE"),"Consistent",IF(AND(D183=4,B183="POSITIVE"),"Partially Consistent",IF(AND(D183=2,B183="NEGATIVE"),"Partially Consistent","Inconsistent"))))))</f>
        <v/>
      </c>
      <c r="F183">
        <f>IF(C183="TS","High","Low")</f>
        <v/>
      </c>
      <c r="G183">
        <f>IF(AND(B183="NEUTRAL",F183="Low"),"LOW",IF(AND(C183="TS",F183="High",D183=3),"HIGH",IF(AND(C183="TS",F183="High",OR(D183=2,D183=4)),"MODERATE",IF(AND(C183="TS",F183="High",OR(D183=1,D183=5)),"LOW",IF(AND(C183="OS",E183="Consistent",OR(D183=1,D183=5)),"MODERATE",IF(AND(C183="OS",E183="Partially Consistent",OR(D183=2,D183=4)),"MODERATE","LOW"))))))</f>
        <v/>
      </c>
      <c r="H183" t="inlineStr"/>
      <c r="I183" t="inlineStr"/>
      <c r="J183" t="inlineStr"/>
      <c r="K183" t="inlineStr"/>
      <c r="L183" t="inlineStr"/>
      <c r="M183" t="inlineStr">
        <is>
          <t>https://www.lazada.com.ph/products/pdp-i1416996096-s29809518922.html</t>
        </is>
      </c>
      <c r="N183" t="n">
        <v>2</v>
      </c>
    </row>
    <row r="184">
      <c r="A184" t="inlineStr">
        <is>
          <t>received wrong item. got c200 instead of c310. seller refunded me after lazada picked up item for return /refund. process for return /refund was easy and fast.</t>
        </is>
      </c>
      <c r="B184" t="inlineStr">
        <is>
          <t>NEGATIVE</t>
        </is>
      </c>
      <c r="C184">
        <f>IF(B184="NEUTRAL","TS","OS")</f>
        <v/>
      </c>
      <c r="D184" t="n">
        <v>3</v>
      </c>
      <c r="E184">
        <f>IF(C184="TS",IF(D184=3,"Consistent",IF(OR(D184=2,D184=4),"Partially Consistent","Inconsistent")),IF(D184=3,"Inconsistent",IF(AND(D184=5,B184="POSITIVE"),"Consistent",IF(AND(D184=1,B184="NEGATIVE"),"Consistent",IF(AND(D184=4,B184="POSITIVE"),"Partially Consistent",IF(AND(D184=2,B184="NEGATIVE"),"Partially Consistent","Inconsistent"))))))</f>
        <v/>
      </c>
      <c r="F184">
        <f>IF(C184="TS","High","Low")</f>
        <v/>
      </c>
      <c r="G184">
        <f>IF(AND(B184="NEUTRAL",F184="Low"),"LOW",IF(AND(C184="TS",F184="High",D184=3),"HIGH",IF(AND(C184="TS",F184="High",OR(D184=2,D184=4)),"MODERATE",IF(AND(C184="TS",F184="High",OR(D184=1,D184=5)),"LOW",IF(AND(C184="OS",E184="Consistent",OR(D184=1,D184=5)),"MODERATE",IF(AND(C184="OS",E184="Partially Consistent",OR(D184=2,D184=4)),"MODERATE","LOW"))))))</f>
        <v/>
      </c>
      <c r="H184" t="inlineStr"/>
      <c r="I184" t="inlineStr"/>
      <c r="J184" t="inlineStr"/>
      <c r="K184" t="inlineStr"/>
      <c r="L184" t="inlineStr"/>
      <c r="M184" t="inlineStr">
        <is>
          <t>https://www.lazada.com.ph/products/pdp-i1416996096-s29809518922.html</t>
        </is>
      </c>
      <c r="N184" t="n">
        <v>2</v>
      </c>
    </row>
    <row r="185">
      <c r="A185" t="inlineStr">
        <is>
          <t>ok po yung cctv pero wala yung memory card. pakihabol po sana ty</t>
        </is>
      </c>
      <c r="B185" t="inlineStr">
        <is>
          <t>NEUTRAL</t>
        </is>
      </c>
      <c r="C185">
        <f>IF(B185="NEUTRAL","TS","OS")</f>
        <v/>
      </c>
      <c r="D185" t="n">
        <v>3</v>
      </c>
      <c r="E185">
        <f>IF(C185="TS",IF(D185=3,"Consistent",IF(OR(D185=2,D185=4),"Partially Consistent","Inconsistent")),IF(D185=3,"Inconsistent",IF(AND(D185=5,B185="POSITIVE"),"Consistent",IF(AND(D185=1,B185="NEGATIVE"),"Consistent",IF(AND(D185=4,B185="POSITIVE"),"Partially Consistent",IF(AND(D185=2,B185="NEGATIVE"),"Partially Consistent","Inconsistent"))))))</f>
        <v/>
      </c>
      <c r="F185">
        <f>IF(C185="TS","High","Low")</f>
        <v/>
      </c>
      <c r="G185">
        <f>IF(AND(B185="NEUTRAL",F185="Low"),"LOW",IF(AND(C185="TS",F185="High",D185=3),"HIGH",IF(AND(C185="TS",F185="High",OR(D185=2,D185=4)),"MODERATE",IF(AND(C185="TS",F185="High",OR(D185=1,D185=5)),"LOW",IF(AND(C185="OS",E185="Consistent",OR(D185=1,D185=5)),"MODERATE",IF(AND(C185="OS",E185="Partially Consistent",OR(D185=2,D185=4)),"MODERATE","LOW"))))))</f>
        <v/>
      </c>
      <c r="H185" t="inlineStr"/>
      <c r="I185" t="inlineStr"/>
      <c r="J185" t="inlineStr"/>
      <c r="K185" t="inlineStr"/>
      <c r="L185" t="inlineStr"/>
      <c r="M185" t="inlineStr">
        <is>
          <t>https://www.lazada.com.ph/products/pdp-i1416996096-s29809518922.html</t>
        </is>
      </c>
      <c r="N18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2025-05-24T05:07:12Z</dcterms:created>
  <dcterms:modified xsi:type="dcterms:W3CDTF">2025-05-24T05:07:12Z</dcterms:modified>
</cp:coreProperties>
</file>