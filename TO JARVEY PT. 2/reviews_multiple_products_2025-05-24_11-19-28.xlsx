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All_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<sst xmlns="http://schemas.openxmlformats.org/spreadsheetml/2006/main" count="1438" uniqueCount="177">
  <si>
    <t>Review</t>
  </si>
  <si>
    <t>Sentiment</t>
  </si>
  <si>
    <t>Sidedness</t>
  </si>
  <si>
    <t>Star Rating</t>
  </si>
  <si>
    <t>Consistency</t>
  </si>
  <si>
    <t>Info Diversity</t>
  </si>
  <si>
    <t>PERCEIVED HELPFULNESS</t>
  </si>
  <si>
    <t>PD_F</t>
  </si>
  <si>
    <t>PD_F_TMP</t>
  </si>
  <si>
    <t>MAN_UI</t>
  </si>
  <si>
    <t>SPM</t>
  </si>
  <si>
    <t>CREDIBILITY</t>
  </si>
  <si>
    <t>Product_URL</t>
  </si>
  <si>
    <t>Product_Number</t>
  </si>
  <si>
    <t>good good good good good good good good good good good good good good good good good good good good good good good good good good good good</t>
  </si>
  <si>
    <t>POSITIVE</t>
  </si>
  <si>
    <t/>
  </si>
  <si>
    <t>https://www.lazada.com.ph/products/whiskas-dry-cat-food-in-tuna-flavor-480g-i261781509-s361616845.html</t>
  </si>
  <si>
    <t>; f; oflrmvovmfoelrmockrmrkc, rmeld, m kflrkeoe, fkfofmkvoffmfkfkfkvkgkfkkfkgkvkeleoe order complete. cat loves it</t>
  </si>
  <si>
    <t>my cat loves the tuna flavor! , iibsbnakana oanszhzisbsjiska oapakbs skahabzbzhajakanzbzja. akan shzusksna jaixb skans s</t>
  </si>
  <si>
    <t>NEUTRAL</t>
  </si>
  <si>
    <t>my cat loves the tuna flavor and will order again. this is my third time purchasing on this store btw.</t>
  </si>
  <si>
    <t>good good good good good good good good good good good good good good good good good good good</t>
  </si>
  <si>
    <t>my cat loves the tuna flavor! , pinaghahalo ko sa ibang brand catfood. . ok naman sya gusto ni luna ko.</t>
  </si>
  <si>
    <t>nagustuhan ng pusa nasarapan siya kaya order ulet</t>
  </si>
  <si>
    <t>my cat loves the tuna flavor! , my cat loves the tuna flavor! , my cat loves the tuna flavor! ,</t>
  </si>
  <si>
    <t>my cat loves the tuna najkananksnznakakama z kanaz hsiwkanszbzjaiak a sxjiz jajsnss snjs</t>
  </si>
  <si>
    <t>fast delivery. items were packed and received in good condition. thank you po. thank you din kay kuya nagdeliver</t>
  </si>
  <si>
    <t>my cat loves the tuna flavor! , complete nutritions thst my cat needs. the free 1 pack of wet food is awesome</t>
  </si>
  <si>
    <t>good for my pets (mag iina na sila)</t>
  </si>
  <si>
    <t>my cat havent tried yet this flavor but she loves the tuna flavor. cant wait to try the other flavors.</t>
  </si>
  <si>
    <t>my cat loves the tuna flavor! ,</t>
  </si>
  <si>
    <t>he loves it, tuna flavor is his favorite.</t>
  </si>
  <si>
    <t>aiiihhhhjisssssbhhhhhhbnkkkiiiujjssiiiuyshhhjjjsujhxxnnjjzjjskkiiisssssuuuuuu</t>
  </si>
  <si>
    <t>NEGATIVE</t>
  </si>
  <si>
    <t>my cat loves the tuna flavor! , my cats loves these my cats loves these my cats loves these my cats loves these</t>
  </si>
  <si>
    <t>thank you. . nice packaging with bubble wrap talaga. . always ako nag order dito. . cheaper price. .</t>
  </si>
  <si>
    <t>my cat loves the tuna flavor! , my cat loves this food! , keeps my cat' s eyes healthy. , high-quality cat food. ,</t>
  </si>
  <si>
    <t>okay nmn, maganda yung pagkadeliver nya, pero masyado matagal ideliver, sana mas maagap pa nila dineliver</t>
  </si>
  <si>
    <t>nice packing</t>
  </si>
  <si>
    <t>delivery took longer than expected from a lazmall store</t>
  </si>
  <si>
    <t>it wasnt the size i was expecting it to be</t>
  </si>
  <si>
    <t>nag tae mga cats ko after ko sila bigyan neto kaya tinigil ko na.</t>
  </si>
  <si>
    <t>late ng dumating. . . pero ok nman packaging. . . tnx</t>
  </si>
  <si>
    <t>well packed, no damage. the item was delivered on time. thank you seller. til our next transaction.</t>
  </si>
  <si>
    <t>https://www.lazada.com.ph/products/pdp-i261706429-s361422503.html</t>
  </si>
  <si>
    <t>love love love the product and will surely buy it again and again and again. . . do give more freebies and discounts.</t>
  </si>
  <si>
    <t>the perfect size for my dog' s needs, my dog loves the beef flavor! , great value for money, delicious and nutritious, keeps my dog healthy and happy, high-quality ingredients for my furry friend, well packed, no damage. thanks seller</t>
  </si>
  <si>
    <t>my dog loves the beef flavor! , great value for money, price: very affordable</t>
  </si>
  <si>
    <t>my dog loves the beef flavor! , great value for money, high-quality ingredients for my furry friend, delicious and nutritious, the perfect size for my dog' s needs, keeps my dog healthy and happy, well packed, no damage. thank you seller. we' ll purchase again soon</t>
  </si>
  <si>
    <t>keeps my dog healthy and happy, high-quality ingredients for my furry friend, high-quality ingredients for my furry friend, high-quality ingredients for my furry friend, high-quality ingredients for my furry friend,</t>
  </si>
  <si>
    <t>keeps my dog healthy and happy, high-quality ingredients for my furry friend, my dog loves the beef flavor! , great value for money,</t>
  </si>
  <si>
    <t>the perfect size for my dog' s needs, my dog loves the beef flavor! , delicious and nutritious, high-quality ingredients for my furry friend, great value for money,</t>
  </si>
  <si>
    <t>keeps my dog healthy and happy, great value for money, my dog loves the beef flavor! , rv etg trb fev</t>
  </si>
  <si>
    <t>my dog loves the beef flavor! , keeps my dog healthy and happy, the perfect size for my dog' s needs, high-quality ingredients for my furry friend, delicious and nutritious, great value for money,</t>
  </si>
  <si>
    <t>price: has a big discount frim the store and with freebies the product is not an old stock, its manufacturing date is only january 2025. beef and vegetable flavor</t>
  </si>
  <si>
    <t>keeps my dog healthy and happy, high-quality ingredients for my furry friend, high-quality ingredients for my furry friend,</t>
  </si>
  <si>
    <t>great value for money my dog loves it nice flavor will surelynpurchase again worth the price</t>
  </si>
  <si>
    <t>high-quality ingredients for my furry friend, delicious and nutritious, the perfect size for my dog' s needs, keeps my dog healthy and happy,</t>
  </si>
  <si>
    <t>great value for money, the perfect size for my dog' s needs, high-quality ingredients for my furry friend, keeps my dog healthy and happy,</t>
  </si>
  <si>
    <t>delicious and nutritious, the perfect size for my dog' s needs, the perfect size for my dog' s needs,</t>
  </si>
  <si>
    <t>the perfect size for my dog' s needs, keeps my dog healthy and happy, high-quality ingredients for my furry friend, high-quality ingredients for my furry friend, my dog loves the beef flavor! ,</t>
  </si>
  <si>
    <t>nutritional value: okay flavor: okay price: okay. . . . . . . . . . . . . . . . . . . . . . . . . . . . . . . . . . . . . . . . . . . . . . .</t>
  </si>
  <si>
    <t>trusted brand na po namin ang pedigree pagdating sa high quality doog food na paborito ng mga aso namin!</t>
  </si>
  <si>
    <t>price: cheap nutritional value: good flavor: good thanks again seller thanks again seller thanks again seller</t>
  </si>
  <si>
    <t>price: worth it. nutritional value: good. flavor: just" regular"</t>
  </si>
  <si>
    <t>our dogs like this flavor, so that' s good. it' s also convenient that 20kg bags are available.</t>
  </si>
  <si>
    <t>freebies should be free and not cost 40 pesos</t>
  </si>
  <si>
    <t>took to long to deliver. no status updates on delivery. not answering messages.</t>
  </si>
  <si>
    <t>delivery took longer than usual</t>
  </si>
  <si>
    <t>arrived ok, misleading though, before 9. 9 it says, price would go down from 2, 250 to 1, 980 but came that day it did not.</t>
  </si>
  <si>
    <t>ang tagal ng delivery! kailangan mo pa i follow up bago sila kumilos! bingo na kayo sakin pedigree seller! i will not order anymore sa inyo!</t>
  </si>
  <si>
    <t>requested to cancel the order because i ordered it twice on diff acc. seller confirmed the change of transaction, but declined it afterwards. didnt receive the freebie bcos it was auto cancelled.</t>
  </si>
  <si>
    <t>freebies were indicated when ordered, but not available when delivered. informed seller but they are not responding. not trustworthy</t>
  </si>
  <si>
    <t>did. not receive my order was a le to get a refund though. seller never bothered to replace.</t>
  </si>
  <si>
    <t>the picture shown again is not the package delivered. the habit of putting wrong picture saying it was delivered is completely unprofessional. this is the actual delivery day uploaded thru our cctv. i am still missing another item on this order.</t>
  </si>
  <si>
    <t>ordered dog treats and free chooks to go voucher wasnt included only free treats. i trusted pedigree so much so i did not secure a video while opening the both parcel. late shipping and incomplete item but the is good side is pedigree is pedigree the dogs love it</t>
  </si>
  <si>
    <t>did not receive the 300 gift certificate. i will update once nareceive ko na.</t>
  </si>
  <si>
    <t>freebies indicated in the order were not included in the shipment.</t>
  </si>
  <si>
    <t>why would you ship to your customer an expensive 20kg pedigree with a rat damaged product? ? ? ? ? ? been rating your products five stars but this case should be none or negative. why? why? why would you ruin pedigree' s name? i know you have to save the cost but at the expense of sacrificing your customer and very bad rating. very bad image as well. now see the pictures. got the unboxing under cctv as well.</t>
  </si>
  <si>
    <t>indicated that we will receive freebies but they did not include and promise to wait for the second package for the freebies but then after few days they cancel. we' ve been a loyal buyer of pedigree since our furbabies are still a puppy until they are now seniors. but the service is getting worst as time goes by. bad customer service.</t>
  </si>
  <si>
    <t>ok naman yung product, yung seller lang ang problema. sobrang bagal shipping. kailangan ko pa i' cancel at umorder ng paulit-ulit.</t>
  </si>
  <si>
    <t>local delivery issues, messaged more than 24 hours" ou for delivery" finally left at gate. seems to be new delivery service, at present not so good</t>
  </si>
  <si>
    <t>7. 7 ko inorder dumating ng july 18. sobrang natagalan dahil ang courier ay flash express. sana next time seller paki check muna kung maganda ang service na prinoprovide ng courier kasi ang flash express sobrang dami na reklamo dito sa bulacan. lahat ng customer service ng lazada at flash nacontact ko na madeliver lang tong parcel nato. so kung bibili man kayo make sure na hindi flash express ang courier. you can check their pages in fb makita niyo dami reklamo.</t>
  </si>
  <si>
    <t>first time to received this item from this seller. ok naman medyo delayed delivery time. plus yung freebies may indicated na price. . . binayaran ko na din. para cgurado</t>
  </si>
  <si>
    <t>this is what we regularly feed our dogs. they seem to like it.</t>
  </si>
  <si>
    <t>delivery took long</t>
  </si>
  <si>
    <t>the dog food itself is good but it took nearly a month to arrive. almost ran out before it got to us</t>
  </si>
  <si>
    <t>no artificial flavors or preservatives, perfect portion size for my cat, keeps my cat' s coat shiny and healthy, the 12-pack is great value for money. , packed well and shipped out immediately by the seller. good deal. good price.</t>
  </si>
  <si>
    <t>https://www.lazada.com.ph/products/pdp-i264205377-s369490416.html</t>
  </si>
  <si>
    <t>provides complete and balanced nutrition, no artificial flavors or preservatives, my cat love it. great value for money and awesome buy.</t>
  </si>
  <si>
    <t>convenient pouch packaging, high-quality ingredients, no artificial flavors or preservatives, great value for money, my cat loves this food! ,</t>
  </si>
  <si>
    <t>convenient pouch packaging, my cat loves this food! , great value for money, keeps my cat' s coat shiny and healthy, no artificial flavors or preservatives, provides complete and balanced nutrition, high-quality ingredients,</t>
  </si>
  <si>
    <t>perfect portion size for my cat, provides complete and balanced nutrition, perfect portion size for my cat, provides complete and balanced nutrition, perfect portion size for my cat, provides complete and balanced nutrition,</t>
  </si>
  <si>
    <t>packaging: 10/10 nutritional value: 10/10 flavor variety: 10/10 always buying from this seller and they always get it right. lagi complete and item count is accurate.</t>
  </si>
  <si>
    <t>packaging: nice flavor variety: tuna and ocean fish thank you so much seller got my orders complete and in good condition happy and satisfied customer here my cat loves this food! , great value for money, convenient pouch packaging, no artificial flavors or preservatives, provides complete and balanced nutrition, perfect portion size for my cat,</t>
  </si>
  <si>
    <t>high-quality ingredients, keeps my cat' s coat shiny and healthy, no artificial flavors or preservatives,</t>
  </si>
  <si>
    <t>great value for money, high-quality ingredients, perfect portion size for my cat, no artificial flavors or preservatives, convenient pouch packaging, keeps my cat' s coat shiny and healthy,</t>
  </si>
  <si>
    <t>packaging: user-friendly, easy to open, flavor variety: many flavors available, tasty options, nutritional value: healthy ingredients, balanced diet, high protein content, rich in vitamins, essential nutrients,</t>
  </si>
  <si>
    <t>tuwang tuwa c miming, sulit sa sarap. ty seller and lazada</t>
  </si>
  <si>
    <t>my cat loves this food! , keeps my cat' s coat shiny and healthy, perfect portion size for my cat,</t>
  </si>
  <si>
    <t>great value for money, my cat loves this food! , high-quality ingredients, keeps my cat' s coat shiny and healthy,</t>
  </si>
  <si>
    <t>favorite nang mga alaga ko, buti nalang kahabol ako sa sale, malaking discount</t>
  </si>
  <si>
    <t>item is well packed and arrived in good condition. provides complete and balanced nutrition, wikl definitely repurchase again.</t>
  </si>
  <si>
    <t>great value for money, provides complete and balanced nutrition, my cat loves this food! ,</t>
  </si>
  <si>
    <t>satisfied with the quality of the product. the seller was very accommodating. the item was securely packaged and shipped immediately. i will definitely order again and highly recommend this seller to others</t>
  </si>
  <si>
    <t>it is well packaged and my cat loves it. thank you so much packaging: well packaged</t>
  </si>
  <si>
    <t>no artificial flavors or preservatives, keeps my cat' s coat shiny and healthy, high-quality ingredients, great value for money,</t>
  </si>
  <si>
    <t>perfect portion size for my cat, high-quality ingredients, convenient pouch packaging, my cat loves this food! ,</t>
  </si>
  <si>
    <t>great value for money, my cat loves this food! , convenient pouch packaging, high-quality ingredients,</t>
  </si>
  <si>
    <t>keeps my cat' s coat shiny and healthy, provides complete and balanced nutrition, my cat loves this food! ,</t>
  </si>
  <si>
    <t>my cat loves this food! , perfect portion size for my cat, great value for money, convenient pouch packaging,</t>
  </si>
  <si>
    <t>keeps my cat' s coat shiny and healthy, my cat loves this food! , no artificial flavors or preservatives, great value for money,</t>
  </si>
  <si>
    <t>packaging: good nutritional value: good flavor variety: good</t>
  </si>
  <si>
    <t>just still want to say thank you. just frusrated of waiting where i need to file a leave until today. my cats are happy now and somehow relieve my emotions.</t>
  </si>
  <si>
    <t>my cat loves this food! however, the freebies promised to be included are not there when delivered. such a disappointment.</t>
  </si>
  <si>
    <t>received this but the freebie/s, again, was/were not included, sadly.</t>
  </si>
  <si>
    <t>my cat loves this food! ,</t>
  </si>
  <si>
    <t>regular customer here</t>
  </si>
  <si>
    <t>seller slow to pack but still good quality product no complaints packaged well and safe and sound</t>
  </si>
  <si>
    <t>hasn' t try yet. maayo naman po mga products. at kudos din sa delivery man na hindi agad mag red tag kong hindi ma sagot at ma pick up yong order namin. kong may 20 sa delivery man then i will give it to him. salamat po delivery man. item four seller four delivery man twenty thank you po and god bless. . .</t>
  </si>
  <si>
    <t>regular customer here. . . sayang lang at walang freebies this time kahit pa worth 2k+</t>
  </si>
  <si>
    <t>im a regular customer</t>
  </si>
  <si>
    <t>complete my order akala ko maaga madedeliver dahil pagka deliver ko ang sabi seller already packed na dec. 30 ako nag order narecived ko na january 5 mas magastos dahil need ko pa bumili ng another food nila imbest nakamura ako</t>
  </si>
  <si>
    <t>quality: value for money: packaging:</t>
  </si>
  <si>
    <t>freebie is missing. .</t>
  </si>
  <si>
    <t>my cats love to eat them. as owner of these love cats, i am enjoying giving their food. they all love it ty for a good quality food.</t>
  </si>
  <si>
    <t>slow delivery</t>
  </si>
  <si>
    <t>took a long time to ship</t>
  </si>
  <si>
    <t>the delivery man who tag my order as failed to deliver yesterday (may 25, 2023) flash express ph with cellphone # 09308333752 is so arrogant in talking to me &amp; to my husband. so disappointing!</t>
  </si>
  <si>
    <t>it is suppossed to be 14 + 14 per box. but only got the regular 12 + 12.</t>
  </si>
  <si>
    <t>miss advertisement what i got is for kittens (junior) what i paid is for adult cat base on the pic and description.</t>
  </si>
  <si>
    <t>quality: bad. one pack inside the box has a small tear in it - the contents spilled and the smell is bad - i think it got spoiled. value for money: packaging: worst that igot so far. my previous purchase was good, box looked like new. but this time its like old stock. but expiry of items is still 2025. id like to refund this but how can i return a package thats smelly? i hope next time ill get a replacement for that one pack that i had to throw away</t>
  </si>
  <si>
    <t>it took almost 2 weeks to be delivered</t>
  </si>
  <si>
    <t>perfect portion size for my cat, convenient pouch packaging only problem is they sent whiskas junior instead of adults. : (to hassle to return</t>
  </si>
  <si>
    <t>disappointed. this is my 7th order, the store made a mistake, said they will double check and diidn' t get back to me until i followed up. was told there was nothing they can do even if it was their fault and directed me towards lazada policies. i' ve decided to take my business elsewhere.</t>
  </si>
  <si>
    <t>meron promised na treats nung nag check out ako, pero wala dumating: (</t>
  </si>
  <si>
    <t>delightful</t>
  </si>
  <si>
    <t>i ordered x2 of this 24 pcs but i only got i box that contained 24 pcs. : (still no feedback from their team on what to do since i mistakenly clicked the order received option.</t>
  </si>
  <si>
    <t>bad experience, super bad deliver</t>
  </si>
  <si>
    <t>sadly, i did not receive the playbox. this has been my second order from this store. my first order was a success (playbox included) but this second one was a huge disappointment.</t>
  </si>
  <si>
    <t>wala po ung free</t>
  </si>
  <si>
    <t>kulang items</t>
  </si>
  <si>
    <t>i ordered cat litter sand and whiskas wet foods but did not received the wet foods! only the litter sand and the freebies came. i cannot contact the seller in this store. no replies</t>
  </si>
  <si>
    <t>wala nmn akong natanggap na whiskas paanong nareject ang refund request ko. . dapat pinicturan nyo ang lahat ng items na binabalot nyo. sayang namn yung bayad ko. . refund nyo na lng.</t>
  </si>
  <si>
    <t>matagal maship and mali pa ang pinadala.</t>
  </si>
  <si>
    <t>sobrang late ng delivery</t>
  </si>
  <si>
    <t>one package broken allowing product to infect entire box</t>
  </si>
  <si>
    <t>these items are not delivered! zero! these items was not delivered. i ordered 3x of bundle of 12 each of flavour as indicated in my orders and cart! paki deliver ang kulang seller</t>
  </si>
  <si>
    <t>delivery personnel lang ang marunong maghandle ng customer. yung admin ng courier is very rude. no consent before calling at tinataunt parin ako kahit resolve na yung issue. for her, all deliveries are successful and hindi daw imcompetent yun, nagfocus lang sya sa line ng business nya, d man consider ibang factor kung panu nag incompetent sila. parang sinabi lang na walang paki sa seller at order sa platform.</t>
  </si>
  <si>
    <t>products are good but the seller has not remitted twice the php 300 lazada giftcheque as a give away</t>
  </si>
  <si>
    <t>soooooooooobrang tagal ng delivery at darating ka na lang sa point na bumili na lang sa iba kahit mahal.</t>
  </si>
  <si>
    <t>products deivered are expired march 2022</t>
  </si>
  <si>
    <t>stupid seller i received the products so late it took 11 days! ridiculous!</t>
  </si>
  <si>
    <t>incorrect item</t>
  </si>
  <si>
    <t>24 pouches is missing in my order. it has been more than two weeks and this seller is still not sending the missing items despite of several follow up. super poor customer service.</t>
  </si>
  <si>
    <t>napaka tamad nilagay lang sa gilig ung ibang cat food. durog durog na. please put it in a box first before sending to us instead of shoving and trying to fit everything in this big box.</t>
  </si>
  <si>
    <t>mamamatay muna alaga mo bago dumating sayo ung order mo.</t>
  </si>
  <si>
    <t>hindi na buo buo yung wet food and d ko alam bat hindi inuubos ng pusa ko ehoch is rare</t>
  </si>
  <si>
    <t>fast delivery naman at complete yung catfood, ilang beses na din ako nag order dito pero ngayon lang hindi napadala ang freebie na iams mother and kitten 100g cat food. . kaya pa naman isang box binili ko para may freebie. . hayz. . dati nilalagay sa loob ng box yung freebie ngayon wala.</t>
  </si>
  <si>
    <t>convenient pouch packaging, my cat loves this food! , high-quality ingredients, perfect portion size for my cat,</t>
  </si>
  <si>
    <t>i should receive freebies when checking out but received none</t>
  </si>
  <si>
    <t>disappointed on my 3rd order. kulang ng isang pouch. i counted multiple times kulang tlaga ng isa. mas okay sana if intact pansa original boxes nila. kalat kalat kasi sa loob ng isang malaking box mg pouches.</t>
  </si>
  <si>
    <t>packaging: provides complete and balanced nutrition,</t>
  </si>
  <si>
    <t>product itself is great. but their customer service is rude. i messaged because i couldnt find one of the free items which they placed in a makeshift envelope that looked like trash. i eventually found it. their customer service team sent me this. i wasnt egen complaining. it was just a question with no ill feelings whatsoever. whoever is handling their customer support should learn a thing kr two about customer support.</t>
  </si>
  <si>
    <t>all is okay except one which is totally open and (idk) rotten. other sachets have bugs on them because of it, yikes.</t>
  </si>
  <si>
    <t>only got 23/24</t>
  </si>
  <si>
    <t>wala yung free</t>
  </si>
  <si>
    <t>there' s a cut on one of the items. i opted not to return because my cats need them. can you please double check your iyltems next time? ? ? ? ?</t>
  </si>
  <si>
    <t>received my order2 pero walang yung free items kay 3 stars lang. ordered 2 boxes dahil sa free. may isang pouch din na may butas. not sure if sa handling na siya nabutas. thanks pa rin seller.</t>
  </si>
  <si>
    <t>mali po ang naidlver. jr po ang order ko. 1+ ang dumating.</t>
  </si>
  <si>
    <t>purchased this on 12/12. i ordered 2 boxes, but unfortunately, only 1 box (+freebies) ang dumating. in short, orders not complete. already sent an email sa lazada, chat sa seller (pero mukhang ai ang responses) . been purchasing in this flagship store, unfortunately, this happened. : (</t>
  </si>
  <si>
    <t>gusto ng mga cats ko ito, kaso, kulang kulang mag deliver.</t>
  </si>
  <si>
    <t>quality: it took sometime for the courier to deliver</t>
  </si>
  <si>
    <t>one box contained only 10pcs tuna</t>
  </si>
  <si>
    <t>unfair! huhuh dami ko binili walng freebies na bowl nun inadd to cart ko my price hays kainis. i always buy to your store sana iconsiderate nyo un madaming bumili na customer</t>
  </si>
  <si>
    <t>the parcel was delivered late and beyond the eatimated delivery date. i tried so hard to contact the customer support thru cleo to expedite the delivery to no avail. i wasnt at the delivery address when this was also delivered. i tried to cancel but apparently once shipped, the order cant be canceled. i tried to explain as well that i will be on fieldwork and will be out for almost a month and my cats are gonna be sent to a petsitter and they have no food there but lazada was heartless to not consider it and went ahead to deliver the parcel 3 days late. i cant even refuse the item because i wasnt there when this was delivered. i have no use for this by the time this was delivered. the whiole process trying to contact customer support gave me anxiety, hyperacidity and hairfall because budget was tight and i was forced to buy similar items on physical 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</si>
</sst>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9"/>
  <sheetViews>
    <sheetView tabSelected="1" topLeftCell="A166" workbookViewId="0">
      <pane xSplit="1" topLeftCell="B1" activePane="topRight" state="frozen"/>
      <selection/>
      <selection pane="topRight" activeCell="A8" sqref="A8"/>
    </sheetView>
  </sheetViews>
  <sheetFormatPr defaultColWidth="9" defaultRowHeight="15"/>
  <cols>
    <col min="1" max="1" width="144.857142857143" style="1" customWidth="1"/>
    <col min="2" max="2" width="11" customWidth="1"/>
    <col min="3" max="3" width="10.5714285714286" customWidth="1"/>
    <col min="4" max="4" width="11.1428571428571" customWidth="1"/>
    <col min="5" max="5" width="19.8571428571429" customWidth="1"/>
    <col min="6" max="6" width="13.8571428571429" customWidth="1"/>
    <col min="7" max="7" width="25.2857142857143" customWidth="1"/>
    <col min="8" max="8" width="6" customWidth="1"/>
    <col min="9" max="9" width="11.1428571428571" customWidth="1"/>
    <col min="10" max="10" width="9.14285714285714" customWidth="1"/>
    <col min="11" max="11" width="5.57142857142857" customWidth="1"/>
    <col min="12" max="12" width="12.2857142857143" customWidth="1"/>
    <col min="13" max="13" width="108.857142857143" customWidth="1"/>
    <col min="14" max="14" width="17.5714285714286" customWidth="1"/>
  </cols>
  <sheetData>
    <row r="1" spans="1:14">
      <c r="A1" s="2" t="s">
        <v>0</v>
      </c>
      <c r="B1" s="3" t="s">
        <v>1</v>
      </c>
      <c r="C1" s="3" t="s">
        <v>2</v>
      </c>
      <c r="D1" s="3" t="s">
        <v>3</v>
      </c>
      <c r="E1" s="3" t="s">
        <v>4</v>
      </c>
      <c r="F1" s="3" t="s">
        <v>5</v>
      </c>
      <c r="G1" s="3" t="s">
        <v>6</v>
      </c>
      <c r="H1" s="3" t="s">
        <v>7</v>
      </c>
      <c r="I1" s="3" t="s">
        <v>8</v>
      </c>
      <c r="J1" s="3" t="s">
        <v>9</v>
      </c>
      <c r="K1" s="3" t="s">
        <v>10</v>
      </c>
      <c r="L1" s="3" t="s">
        <v>11</v>
      </c>
      <c r="M1" s="3" t="s">
        <v>12</v>
      </c>
      <c r="N1" s="3" t="s">
        <v>13</v>
      </c>
    </row>
    <row r="2" spans="1:14">
      <c r="A2" s="1" t="s">
        <v>14</v>
      </c>
      <c r="B2" t="s">
        <v>15</v>
      </c>
      <c r="C2" t="str">
        <f t="shared" ref="C2:C65" si="0">IF(B2="NEUTRAL","TS","OS")</f>
        <v>OS</v>
      </c>
      <c r="D2">
        <v>5</v>
      </c>
      <c r="E2" t="str">
        <f t="shared" ref="E2:E65" si="1">IF(C2="TS",IF(D2=3,"Consistent",IF(OR(D2=2,D2=4),"Partially Consistent","Inconsistent")),IF(D2=3,"Inconsistent",IF(AND(D2=5,B2="POSITIVE"),"Consistent",IF(AND(D2=1,B2="NEGATIVE"),"Consistent",IF(AND(D2=4,B2="POSITIVE"),"Partially Consistent",IF(AND(D2=2,B2="NEGATIVE"),"Partially Consistent","Inconsistent"))))))</f>
        <v>Consistent</v>
      </c>
      <c r="F2" t="str">
        <f t="shared" ref="F2:F65" si="2">IF(C2="TS","High","Low")</f>
        <v>Low</v>
      </c>
      <c r="G2" t="str">
        <f t="shared" ref="G2:G65" si="3">IF(AND(B2="NEUTRAL",F2="Low"),"LOW",IF(AND(C2="TS",F2="High",D2=3),"HIGH",IF(AND(C2="TS",F2="High",OR(D2=2,D2=4)),"MODERATE",IF(AND(C2="TS",F2="High",OR(D2=1,D2=5)),"LOW",IF(AND(C2="OS",E2="Consistent",OR(D2=1,D2=5)),"MODERATE",IF(AND(C2="OS",E2="Partially Consistent",OR(D2=2,D2=4)),"MODERATE","LOW"))))))</f>
        <v>MODERATE</v>
      </c>
      <c r="H2" t="s">
        <v>16</v>
      </c>
      <c r="I2" t="s">
        <v>16</v>
      </c>
      <c r="J2" t="s">
        <v>16</v>
      </c>
      <c r="K2" t="s">
        <v>16</v>
      </c>
      <c r="L2" t="s">
        <v>16</v>
      </c>
      <c r="M2" t="s">
        <v>17</v>
      </c>
      <c r="N2">
        <v>1</v>
      </c>
    </row>
    <row r="3" spans="1:14">
      <c r="A3" s="1" t="s">
        <v>18</v>
      </c>
      <c r="B3" t="s">
        <v>15</v>
      </c>
      <c r="C3" t="str">
        <f t="shared" si="0"/>
        <v>OS</v>
      </c>
      <c r="D3">
        <v>5</v>
      </c>
      <c r="E3" t="str">
        <f t="shared" si="1"/>
        <v>Consistent</v>
      </c>
      <c r="F3" t="str">
        <f t="shared" si="2"/>
        <v>Low</v>
      </c>
      <c r="G3" t="str">
        <f t="shared" si="3"/>
        <v>MODERATE</v>
      </c>
      <c r="H3" t="s">
        <v>16</v>
      </c>
      <c r="I3" t="s">
        <v>16</v>
      </c>
      <c r="J3" t="s">
        <v>16</v>
      </c>
      <c r="K3" t="s">
        <v>16</v>
      </c>
      <c r="L3" t="s">
        <v>16</v>
      </c>
      <c r="M3" t="s">
        <v>17</v>
      </c>
      <c r="N3">
        <v>1</v>
      </c>
    </row>
    <row r="4" spans="1:14">
      <c r="A4" s="1" t="s">
        <v>19</v>
      </c>
      <c r="B4" t="s">
        <v>20</v>
      </c>
      <c r="C4" t="str">
        <f t="shared" si="0"/>
        <v>TS</v>
      </c>
      <c r="D4">
        <v>5</v>
      </c>
      <c r="E4" t="str">
        <f t="shared" si="1"/>
        <v>Inconsistent</v>
      </c>
      <c r="F4" t="str">
        <f t="shared" si="2"/>
        <v>High</v>
      </c>
      <c r="G4" t="str">
        <f t="shared" si="3"/>
        <v>LOW</v>
      </c>
      <c r="H4" t="s">
        <v>16</v>
      </c>
      <c r="I4" t="s">
        <v>16</v>
      </c>
      <c r="J4" t="s">
        <v>16</v>
      </c>
      <c r="K4" t="s">
        <v>16</v>
      </c>
      <c r="L4" t="s">
        <v>16</v>
      </c>
      <c r="M4" t="s">
        <v>17</v>
      </c>
      <c r="N4">
        <v>1</v>
      </c>
    </row>
    <row r="5" spans="1:14">
      <c r="A5" s="1" t="s">
        <v>21</v>
      </c>
      <c r="B5" t="s">
        <v>15</v>
      </c>
      <c r="C5" t="str">
        <f t="shared" si="0"/>
        <v>OS</v>
      </c>
      <c r="D5">
        <v>5</v>
      </c>
      <c r="E5" t="str">
        <f t="shared" si="1"/>
        <v>Consistent</v>
      </c>
      <c r="F5" t="str">
        <f t="shared" si="2"/>
        <v>Low</v>
      </c>
      <c r="G5" t="str">
        <f t="shared" si="3"/>
        <v>MODERATE</v>
      </c>
      <c r="H5" t="s">
        <v>16</v>
      </c>
      <c r="I5" t="s">
        <v>16</v>
      </c>
      <c r="J5" t="s">
        <v>16</v>
      </c>
      <c r="K5" t="s">
        <v>16</v>
      </c>
      <c r="L5" t="s">
        <v>16</v>
      </c>
      <c r="M5" t="s">
        <v>17</v>
      </c>
      <c r="N5">
        <v>1</v>
      </c>
    </row>
    <row r="6" spans="1:14">
      <c r="A6" s="1" t="s">
        <v>22</v>
      </c>
      <c r="B6" t="s">
        <v>15</v>
      </c>
      <c r="C6" t="str">
        <f t="shared" si="0"/>
        <v>OS</v>
      </c>
      <c r="D6">
        <v>5</v>
      </c>
      <c r="E6" t="str">
        <f t="shared" si="1"/>
        <v>Consistent</v>
      </c>
      <c r="F6" t="str">
        <f t="shared" si="2"/>
        <v>Low</v>
      </c>
      <c r="G6" t="str">
        <f t="shared" si="3"/>
        <v>MODERATE</v>
      </c>
      <c r="H6" t="s">
        <v>16</v>
      </c>
      <c r="I6" t="s">
        <v>16</v>
      </c>
      <c r="J6" t="s">
        <v>16</v>
      </c>
      <c r="K6" t="s">
        <v>16</v>
      </c>
      <c r="L6" t="s">
        <v>16</v>
      </c>
      <c r="M6" t="s">
        <v>17</v>
      </c>
      <c r="N6">
        <v>1</v>
      </c>
    </row>
    <row r="7" spans="1:14">
      <c r="A7" s="1" t="s">
        <v>23</v>
      </c>
      <c r="B7" t="s">
        <v>20</v>
      </c>
      <c r="C7" t="str">
        <f t="shared" si="0"/>
        <v>TS</v>
      </c>
      <c r="D7">
        <v>5</v>
      </c>
      <c r="E7" t="str">
        <f t="shared" si="1"/>
        <v>Inconsistent</v>
      </c>
      <c r="F7" t="str">
        <f t="shared" si="2"/>
        <v>High</v>
      </c>
      <c r="G7" t="str">
        <f t="shared" si="3"/>
        <v>LOW</v>
      </c>
      <c r="H7" t="s">
        <v>16</v>
      </c>
      <c r="I7" t="s">
        <v>16</v>
      </c>
      <c r="J7" t="s">
        <v>16</v>
      </c>
      <c r="K7" t="s">
        <v>16</v>
      </c>
      <c r="L7" t="s">
        <v>16</v>
      </c>
      <c r="M7" t="s">
        <v>17</v>
      </c>
      <c r="N7">
        <v>1</v>
      </c>
    </row>
    <row r="8" spans="1:14">
      <c r="A8" s="1" t="s">
        <v>24</v>
      </c>
      <c r="B8" t="s">
        <v>15</v>
      </c>
      <c r="C8" t="str">
        <f t="shared" si="0"/>
        <v>OS</v>
      </c>
      <c r="D8">
        <v>5</v>
      </c>
      <c r="E8" t="str">
        <f t="shared" si="1"/>
        <v>Consistent</v>
      </c>
      <c r="F8" t="str">
        <f t="shared" si="2"/>
        <v>Low</v>
      </c>
      <c r="G8" t="str">
        <f t="shared" si="3"/>
        <v>MODERATE</v>
      </c>
      <c r="H8" t="s">
        <v>16</v>
      </c>
      <c r="I8" t="s">
        <v>16</v>
      </c>
      <c r="J8" t="s">
        <v>16</v>
      </c>
      <c r="K8" t="s">
        <v>16</v>
      </c>
      <c r="L8" t="s">
        <v>16</v>
      </c>
      <c r="M8" t="s">
        <v>17</v>
      </c>
      <c r="N8">
        <v>1</v>
      </c>
    </row>
    <row r="9" spans="1:14">
      <c r="A9" s="1" t="s">
        <v>25</v>
      </c>
      <c r="B9" t="s">
        <v>20</v>
      </c>
      <c r="C9" t="str">
        <f t="shared" si="0"/>
        <v>TS</v>
      </c>
      <c r="D9">
        <v>5</v>
      </c>
      <c r="E9" t="str">
        <f t="shared" si="1"/>
        <v>Inconsistent</v>
      </c>
      <c r="F9" t="str">
        <f t="shared" si="2"/>
        <v>High</v>
      </c>
      <c r="G9" t="str">
        <f t="shared" si="3"/>
        <v>LOW</v>
      </c>
      <c r="H9" t="s">
        <v>16</v>
      </c>
      <c r="I9" t="s">
        <v>16</v>
      </c>
      <c r="J9" t="s">
        <v>16</v>
      </c>
      <c r="K9" t="s">
        <v>16</v>
      </c>
      <c r="L9" t="s">
        <v>16</v>
      </c>
      <c r="M9" t="s">
        <v>17</v>
      </c>
      <c r="N9">
        <v>1</v>
      </c>
    </row>
    <row r="10" spans="1:14">
      <c r="A10" s="1" t="s">
        <v>26</v>
      </c>
      <c r="B10" t="s">
        <v>20</v>
      </c>
      <c r="C10" t="str">
        <f t="shared" si="0"/>
        <v>TS</v>
      </c>
      <c r="D10">
        <v>5</v>
      </c>
      <c r="E10" t="str">
        <f t="shared" si="1"/>
        <v>Inconsistent</v>
      </c>
      <c r="F10" t="str">
        <f t="shared" si="2"/>
        <v>High</v>
      </c>
      <c r="G10" t="str">
        <f t="shared" si="3"/>
        <v>LOW</v>
      </c>
      <c r="H10" t="s">
        <v>16</v>
      </c>
      <c r="I10" t="s">
        <v>16</v>
      </c>
      <c r="J10" t="s">
        <v>16</v>
      </c>
      <c r="K10" t="s">
        <v>16</v>
      </c>
      <c r="L10" t="s">
        <v>16</v>
      </c>
      <c r="M10" t="s">
        <v>17</v>
      </c>
      <c r="N10">
        <v>1</v>
      </c>
    </row>
    <row r="11" spans="1:14">
      <c r="A11" s="1" t="s">
        <v>27</v>
      </c>
      <c r="B11" t="s">
        <v>15</v>
      </c>
      <c r="C11" t="str">
        <f t="shared" si="0"/>
        <v>OS</v>
      </c>
      <c r="D11">
        <v>5</v>
      </c>
      <c r="E11" t="str">
        <f t="shared" si="1"/>
        <v>Consistent</v>
      </c>
      <c r="F11" t="str">
        <f t="shared" si="2"/>
        <v>Low</v>
      </c>
      <c r="G11" t="str">
        <f t="shared" si="3"/>
        <v>MODERATE</v>
      </c>
      <c r="H11" t="s">
        <v>16</v>
      </c>
      <c r="I11" t="s">
        <v>16</v>
      </c>
      <c r="J11" t="s">
        <v>16</v>
      </c>
      <c r="K11" t="s">
        <v>16</v>
      </c>
      <c r="L11" t="s">
        <v>16</v>
      </c>
      <c r="M11" t="s">
        <v>17</v>
      </c>
      <c r="N11">
        <v>1</v>
      </c>
    </row>
    <row r="12" spans="1:14">
      <c r="A12" s="1" t="s">
        <v>28</v>
      </c>
      <c r="B12" t="s">
        <v>20</v>
      </c>
      <c r="C12" t="str">
        <f t="shared" si="0"/>
        <v>TS</v>
      </c>
      <c r="D12">
        <v>5</v>
      </c>
      <c r="E12" t="str">
        <f t="shared" si="1"/>
        <v>Inconsistent</v>
      </c>
      <c r="F12" t="str">
        <f t="shared" si="2"/>
        <v>High</v>
      </c>
      <c r="G12" t="str">
        <f t="shared" si="3"/>
        <v>LOW</v>
      </c>
      <c r="H12" t="s">
        <v>16</v>
      </c>
      <c r="I12" t="s">
        <v>16</v>
      </c>
      <c r="J12" t="s">
        <v>16</v>
      </c>
      <c r="K12" t="s">
        <v>16</v>
      </c>
      <c r="L12" t="s">
        <v>16</v>
      </c>
      <c r="M12" t="s">
        <v>17</v>
      </c>
      <c r="N12">
        <v>1</v>
      </c>
    </row>
    <row r="13" spans="1:14">
      <c r="A13" s="1" t="s">
        <v>29</v>
      </c>
      <c r="B13" t="s">
        <v>15</v>
      </c>
      <c r="C13" t="str">
        <f t="shared" si="0"/>
        <v>OS</v>
      </c>
      <c r="D13">
        <v>5</v>
      </c>
      <c r="E13" t="str">
        <f t="shared" si="1"/>
        <v>Consistent</v>
      </c>
      <c r="F13" t="str">
        <f t="shared" si="2"/>
        <v>Low</v>
      </c>
      <c r="G13" t="str">
        <f t="shared" si="3"/>
        <v>MODERATE</v>
      </c>
      <c r="H13" t="s">
        <v>16</v>
      </c>
      <c r="I13" t="s">
        <v>16</v>
      </c>
      <c r="J13" t="s">
        <v>16</v>
      </c>
      <c r="K13" t="s">
        <v>16</v>
      </c>
      <c r="L13" t="s">
        <v>16</v>
      </c>
      <c r="M13" t="s">
        <v>17</v>
      </c>
      <c r="N13">
        <v>1</v>
      </c>
    </row>
    <row r="14" spans="1:14">
      <c r="A14" s="1" t="s">
        <v>30</v>
      </c>
      <c r="B14" t="s">
        <v>15</v>
      </c>
      <c r="C14" t="str">
        <f t="shared" si="0"/>
        <v>OS</v>
      </c>
      <c r="D14">
        <v>5</v>
      </c>
      <c r="E14" t="str">
        <f t="shared" si="1"/>
        <v>Consistent</v>
      </c>
      <c r="F14" t="str">
        <f t="shared" si="2"/>
        <v>Low</v>
      </c>
      <c r="G14" t="str">
        <f t="shared" si="3"/>
        <v>MODERATE</v>
      </c>
      <c r="H14" t="s">
        <v>16</v>
      </c>
      <c r="I14" t="s">
        <v>16</v>
      </c>
      <c r="J14" t="s">
        <v>16</v>
      </c>
      <c r="K14" t="s">
        <v>16</v>
      </c>
      <c r="L14" t="s">
        <v>16</v>
      </c>
      <c r="M14" t="s">
        <v>17</v>
      </c>
      <c r="N14">
        <v>1</v>
      </c>
    </row>
    <row r="15" spans="1:14">
      <c r="A15" s="1" t="s">
        <v>31</v>
      </c>
      <c r="B15" t="s">
        <v>20</v>
      </c>
      <c r="C15" t="str">
        <f t="shared" si="0"/>
        <v>TS</v>
      </c>
      <c r="D15">
        <v>5</v>
      </c>
      <c r="E15" t="str">
        <f t="shared" si="1"/>
        <v>Inconsistent</v>
      </c>
      <c r="F15" t="str">
        <f t="shared" si="2"/>
        <v>High</v>
      </c>
      <c r="G15" t="str">
        <f t="shared" si="3"/>
        <v>LOW</v>
      </c>
      <c r="H15" t="s">
        <v>16</v>
      </c>
      <c r="I15" t="s">
        <v>16</v>
      </c>
      <c r="J15" t="s">
        <v>16</v>
      </c>
      <c r="K15" t="s">
        <v>16</v>
      </c>
      <c r="L15" t="s">
        <v>16</v>
      </c>
      <c r="M15" t="s">
        <v>17</v>
      </c>
      <c r="N15">
        <v>1</v>
      </c>
    </row>
    <row r="16" spans="1:14">
      <c r="A16" s="1" t="s">
        <v>32</v>
      </c>
      <c r="B16" t="s">
        <v>20</v>
      </c>
      <c r="C16" t="str">
        <f t="shared" si="0"/>
        <v>TS</v>
      </c>
      <c r="D16">
        <v>5</v>
      </c>
      <c r="E16" t="str">
        <f t="shared" si="1"/>
        <v>Inconsistent</v>
      </c>
      <c r="F16" t="str">
        <f t="shared" si="2"/>
        <v>High</v>
      </c>
      <c r="G16" t="str">
        <f t="shared" si="3"/>
        <v>LOW</v>
      </c>
      <c r="H16" t="s">
        <v>16</v>
      </c>
      <c r="I16" t="s">
        <v>16</v>
      </c>
      <c r="J16" t="s">
        <v>16</v>
      </c>
      <c r="K16" t="s">
        <v>16</v>
      </c>
      <c r="L16" t="s">
        <v>16</v>
      </c>
      <c r="M16" t="s">
        <v>17</v>
      </c>
      <c r="N16">
        <v>1</v>
      </c>
    </row>
    <row r="17" spans="1:14">
      <c r="A17" s="1" t="s">
        <v>33</v>
      </c>
      <c r="B17" t="s">
        <v>34</v>
      </c>
      <c r="C17" t="str">
        <f t="shared" si="0"/>
        <v>OS</v>
      </c>
      <c r="D17">
        <v>5</v>
      </c>
      <c r="E17" t="str">
        <f t="shared" si="1"/>
        <v>Inconsistent</v>
      </c>
      <c r="F17" t="str">
        <f t="shared" si="2"/>
        <v>Low</v>
      </c>
      <c r="G17" t="str">
        <f t="shared" si="3"/>
        <v>LOW</v>
      </c>
      <c r="H17" t="s">
        <v>16</v>
      </c>
      <c r="I17" t="s">
        <v>16</v>
      </c>
      <c r="J17" t="s">
        <v>16</v>
      </c>
      <c r="K17" t="s">
        <v>16</v>
      </c>
      <c r="L17" t="s">
        <v>16</v>
      </c>
      <c r="M17" t="s">
        <v>17</v>
      </c>
      <c r="N17">
        <v>1</v>
      </c>
    </row>
    <row r="18" spans="1:14">
      <c r="A18" s="1" t="s">
        <v>35</v>
      </c>
      <c r="B18" t="s">
        <v>20</v>
      </c>
      <c r="C18" t="str">
        <f t="shared" si="0"/>
        <v>TS</v>
      </c>
      <c r="D18">
        <v>5</v>
      </c>
      <c r="E18" t="str">
        <f t="shared" si="1"/>
        <v>Inconsistent</v>
      </c>
      <c r="F18" t="str">
        <f t="shared" si="2"/>
        <v>High</v>
      </c>
      <c r="G18" t="str">
        <f t="shared" si="3"/>
        <v>LOW</v>
      </c>
      <c r="H18" t="s">
        <v>16</v>
      </c>
      <c r="I18" t="s">
        <v>16</v>
      </c>
      <c r="J18" t="s">
        <v>16</v>
      </c>
      <c r="K18" t="s">
        <v>16</v>
      </c>
      <c r="L18" t="s">
        <v>16</v>
      </c>
      <c r="M18" t="s">
        <v>17</v>
      </c>
      <c r="N18">
        <v>1</v>
      </c>
    </row>
    <row r="19" spans="1:14">
      <c r="A19" s="1" t="s">
        <v>35</v>
      </c>
      <c r="B19" t="s">
        <v>20</v>
      </c>
      <c r="C19" t="str">
        <f t="shared" si="0"/>
        <v>TS</v>
      </c>
      <c r="D19">
        <v>5</v>
      </c>
      <c r="E19" t="str">
        <f t="shared" si="1"/>
        <v>Inconsistent</v>
      </c>
      <c r="F19" t="str">
        <f t="shared" si="2"/>
        <v>High</v>
      </c>
      <c r="G19" t="str">
        <f t="shared" si="3"/>
        <v>LOW</v>
      </c>
      <c r="H19" t="s">
        <v>16</v>
      </c>
      <c r="I19" t="s">
        <v>16</v>
      </c>
      <c r="J19" t="s">
        <v>16</v>
      </c>
      <c r="K19" t="s">
        <v>16</v>
      </c>
      <c r="L19" t="s">
        <v>16</v>
      </c>
      <c r="M19" t="s">
        <v>17</v>
      </c>
      <c r="N19">
        <v>1</v>
      </c>
    </row>
    <row r="20" spans="1:14">
      <c r="A20" s="1" t="s">
        <v>36</v>
      </c>
      <c r="B20" t="s">
        <v>15</v>
      </c>
      <c r="C20" t="str">
        <f t="shared" si="0"/>
        <v>OS</v>
      </c>
      <c r="D20">
        <v>5</v>
      </c>
      <c r="E20" t="str">
        <f t="shared" si="1"/>
        <v>Consistent</v>
      </c>
      <c r="F20" t="str">
        <f t="shared" si="2"/>
        <v>Low</v>
      </c>
      <c r="G20" t="str">
        <f t="shared" si="3"/>
        <v>MODERATE</v>
      </c>
      <c r="H20" t="s">
        <v>16</v>
      </c>
      <c r="I20" t="s">
        <v>16</v>
      </c>
      <c r="J20" t="s">
        <v>16</v>
      </c>
      <c r="K20" t="s">
        <v>16</v>
      </c>
      <c r="L20" t="s">
        <v>16</v>
      </c>
      <c r="M20" t="s">
        <v>17</v>
      </c>
      <c r="N20">
        <v>1</v>
      </c>
    </row>
    <row r="21" spans="1:14">
      <c r="A21" s="1" t="s">
        <v>37</v>
      </c>
      <c r="B21" t="s">
        <v>20</v>
      </c>
      <c r="C21" t="str">
        <f t="shared" si="0"/>
        <v>TS</v>
      </c>
      <c r="D21">
        <v>5</v>
      </c>
      <c r="E21" t="str">
        <f t="shared" si="1"/>
        <v>Inconsistent</v>
      </c>
      <c r="F21" t="str">
        <f t="shared" si="2"/>
        <v>High</v>
      </c>
      <c r="G21" t="str">
        <f t="shared" si="3"/>
        <v>LOW</v>
      </c>
      <c r="H21" t="s">
        <v>16</v>
      </c>
      <c r="I21" t="s">
        <v>16</v>
      </c>
      <c r="J21" t="s">
        <v>16</v>
      </c>
      <c r="K21" t="s">
        <v>16</v>
      </c>
      <c r="L21" t="s">
        <v>16</v>
      </c>
      <c r="M21" t="s">
        <v>17</v>
      </c>
      <c r="N21">
        <v>1</v>
      </c>
    </row>
    <row r="22" spans="1:14">
      <c r="A22" s="1" t="s">
        <v>38</v>
      </c>
      <c r="B22" t="s">
        <v>20</v>
      </c>
      <c r="C22" t="str">
        <f t="shared" si="0"/>
        <v>TS</v>
      </c>
      <c r="D22">
        <v>4</v>
      </c>
      <c r="E22" t="str">
        <f t="shared" si="1"/>
        <v>Partially Consistent</v>
      </c>
      <c r="F22" t="str">
        <f t="shared" si="2"/>
        <v>High</v>
      </c>
      <c r="G22" t="str">
        <f t="shared" si="3"/>
        <v>MODERATE</v>
      </c>
      <c r="H22" t="s">
        <v>16</v>
      </c>
      <c r="I22" t="s">
        <v>16</v>
      </c>
      <c r="J22" t="s">
        <v>16</v>
      </c>
      <c r="K22" t="s">
        <v>16</v>
      </c>
      <c r="L22" t="s">
        <v>16</v>
      </c>
      <c r="M22" t="s">
        <v>17</v>
      </c>
      <c r="N22">
        <v>1</v>
      </c>
    </row>
    <row r="23" spans="1:14">
      <c r="A23" s="1" t="s">
        <v>39</v>
      </c>
      <c r="B23" t="s">
        <v>15</v>
      </c>
      <c r="C23" t="str">
        <f t="shared" si="0"/>
        <v>OS</v>
      </c>
      <c r="D23">
        <v>4</v>
      </c>
      <c r="E23" t="str">
        <f t="shared" si="1"/>
        <v>Partially Consistent</v>
      </c>
      <c r="F23" t="str">
        <f t="shared" si="2"/>
        <v>Low</v>
      </c>
      <c r="G23" t="str">
        <f t="shared" si="3"/>
        <v>MODERATE</v>
      </c>
      <c r="H23" t="s">
        <v>16</v>
      </c>
      <c r="I23" t="s">
        <v>16</v>
      </c>
      <c r="J23" t="s">
        <v>16</v>
      </c>
      <c r="K23" t="s">
        <v>16</v>
      </c>
      <c r="L23" t="s">
        <v>16</v>
      </c>
      <c r="M23" t="s">
        <v>17</v>
      </c>
      <c r="N23">
        <v>1</v>
      </c>
    </row>
    <row r="24" spans="1:14">
      <c r="A24" s="1" t="s">
        <v>40</v>
      </c>
      <c r="B24" t="s">
        <v>34</v>
      </c>
      <c r="C24" t="str">
        <f t="shared" si="0"/>
        <v>OS</v>
      </c>
      <c r="D24">
        <v>4</v>
      </c>
      <c r="E24" t="str">
        <f t="shared" si="1"/>
        <v>Inconsistent</v>
      </c>
      <c r="F24" t="str">
        <f t="shared" si="2"/>
        <v>Low</v>
      </c>
      <c r="G24" t="str">
        <f t="shared" si="3"/>
        <v>LOW</v>
      </c>
      <c r="H24" t="s">
        <v>16</v>
      </c>
      <c r="I24" t="s">
        <v>16</v>
      </c>
      <c r="J24" t="s">
        <v>16</v>
      </c>
      <c r="K24" t="s">
        <v>16</v>
      </c>
      <c r="L24" t="s">
        <v>16</v>
      </c>
      <c r="M24" t="s">
        <v>17</v>
      </c>
      <c r="N24">
        <v>1</v>
      </c>
    </row>
    <row r="25" spans="1:14">
      <c r="A25" s="1" t="s">
        <v>41</v>
      </c>
      <c r="B25" t="s">
        <v>20</v>
      </c>
      <c r="C25" t="str">
        <f t="shared" si="0"/>
        <v>TS</v>
      </c>
      <c r="D25">
        <v>4</v>
      </c>
      <c r="E25" t="str">
        <f t="shared" si="1"/>
        <v>Partially Consistent</v>
      </c>
      <c r="F25" t="str">
        <f t="shared" si="2"/>
        <v>High</v>
      </c>
      <c r="G25" t="str">
        <f t="shared" si="3"/>
        <v>MODERATE</v>
      </c>
      <c r="H25" t="s">
        <v>16</v>
      </c>
      <c r="I25" t="s">
        <v>16</v>
      </c>
      <c r="J25" t="s">
        <v>16</v>
      </c>
      <c r="K25" t="s">
        <v>16</v>
      </c>
      <c r="L25" t="s">
        <v>16</v>
      </c>
      <c r="M25" t="s">
        <v>17</v>
      </c>
      <c r="N25">
        <v>1</v>
      </c>
    </row>
    <row r="26" spans="1:14">
      <c r="A26" s="1" t="s">
        <v>42</v>
      </c>
      <c r="B26" t="s">
        <v>34</v>
      </c>
      <c r="C26" t="str">
        <f t="shared" si="0"/>
        <v>OS</v>
      </c>
      <c r="D26">
        <v>2</v>
      </c>
      <c r="E26" t="str">
        <f t="shared" si="1"/>
        <v>Partially Consistent</v>
      </c>
      <c r="F26" t="str">
        <f t="shared" si="2"/>
        <v>Low</v>
      </c>
      <c r="G26" t="str">
        <f t="shared" si="3"/>
        <v>MODERATE</v>
      </c>
      <c r="H26" t="s">
        <v>16</v>
      </c>
      <c r="I26" t="s">
        <v>16</v>
      </c>
      <c r="J26" t="s">
        <v>16</v>
      </c>
      <c r="K26" t="s">
        <v>16</v>
      </c>
      <c r="L26" t="s">
        <v>16</v>
      </c>
      <c r="M26" t="s">
        <v>17</v>
      </c>
      <c r="N26">
        <v>1</v>
      </c>
    </row>
    <row r="27" spans="1:14">
      <c r="A27" s="1" t="s">
        <v>43</v>
      </c>
      <c r="B27" t="s">
        <v>20</v>
      </c>
      <c r="C27" t="str">
        <f t="shared" si="0"/>
        <v>TS</v>
      </c>
      <c r="D27">
        <v>3</v>
      </c>
      <c r="E27" t="str">
        <f t="shared" si="1"/>
        <v>Consistent</v>
      </c>
      <c r="F27" t="str">
        <f t="shared" si="2"/>
        <v>High</v>
      </c>
      <c r="G27" t="str">
        <f t="shared" si="3"/>
        <v>HIGH</v>
      </c>
      <c r="H27" t="s">
        <v>16</v>
      </c>
      <c r="I27" t="s">
        <v>16</v>
      </c>
      <c r="J27" t="s">
        <v>16</v>
      </c>
      <c r="K27" t="s">
        <v>16</v>
      </c>
      <c r="L27" t="s">
        <v>16</v>
      </c>
      <c r="M27" t="s">
        <v>17</v>
      </c>
      <c r="N27">
        <v>1</v>
      </c>
    </row>
    <row r="28" spans="1:14">
      <c r="A28" s="1" t="s">
        <v>44</v>
      </c>
      <c r="B28" t="s">
        <v>15</v>
      </c>
      <c r="C28" t="str">
        <f t="shared" si="0"/>
        <v>OS</v>
      </c>
      <c r="D28">
        <v>5</v>
      </c>
      <c r="E28" t="str">
        <f t="shared" si="1"/>
        <v>Consistent</v>
      </c>
      <c r="F28" t="str">
        <f t="shared" si="2"/>
        <v>Low</v>
      </c>
      <c r="G28" t="str">
        <f t="shared" si="3"/>
        <v>MODERATE</v>
      </c>
      <c r="H28" t="s">
        <v>16</v>
      </c>
      <c r="I28" t="s">
        <v>16</v>
      </c>
      <c r="J28" t="s">
        <v>16</v>
      </c>
      <c r="K28" t="s">
        <v>16</v>
      </c>
      <c r="L28" t="s">
        <v>16</v>
      </c>
      <c r="M28" t="s">
        <v>45</v>
      </c>
      <c r="N28">
        <v>2</v>
      </c>
    </row>
    <row r="29" spans="1:14">
      <c r="A29" s="1" t="s">
        <v>46</v>
      </c>
      <c r="B29" t="s">
        <v>15</v>
      </c>
      <c r="C29" t="str">
        <f t="shared" si="0"/>
        <v>OS</v>
      </c>
      <c r="D29">
        <v>5</v>
      </c>
      <c r="E29" t="str">
        <f t="shared" si="1"/>
        <v>Consistent</v>
      </c>
      <c r="F29" t="str">
        <f t="shared" si="2"/>
        <v>Low</v>
      </c>
      <c r="G29" t="str">
        <f t="shared" si="3"/>
        <v>MODERATE</v>
      </c>
      <c r="H29" t="s">
        <v>16</v>
      </c>
      <c r="I29" t="s">
        <v>16</v>
      </c>
      <c r="J29" t="s">
        <v>16</v>
      </c>
      <c r="K29" t="s">
        <v>16</v>
      </c>
      <c r="L29" t="s">
        <v>16</v>
      </c>
      <c r="M29" t="s">
        <v>45</v>
      </c>
      <c r="N29">
        <v>2</v>
      </c>
    </row>
    <row r="30" ht="30" spans="1:14">
      <c r="A30" s="1" t="s">
        <v>47</v>
      </c>
      <c r="B30" t="s">
        <v>15</v>
      </c>
      <c r="C30" t="str">
        <f t="shared" si="0"/>
        <v>OS</v>
      </c>
      <c r="D30">
        <v>5</v>
      </c>
      <c r="E30" t="str">
        <f t="shared" si="1"/>
        <v>Consistent</v>
      </c>
      <c r="F30" t="str">
        <f t="shared" si="2"/>
        <v>Low</v>
      </c>
      <c r="G30" t="str">
        <f t="shared" si="3"/>
        <v>MODERATE</v>
      </c>
      <c r="H30" t="s">
        <v>16</v>
      </c>
      <c r="I30" t="s">
        <v>16</v>
      </c>
      <c r="J30" t="s">
        <v>16</v>
      </c>
      <c r="K30" t="s">
        <v>16</v>
      </c>
      <c r="L30" t="s">
        <v>16</v>
      </c>
      <c r="M30" t="s">
        <v>45</v>
      </c>
      <c r="N30">
        <v>2</v>
      </c>
    </row>
    <row r="31" spans="1:14">
      <c r="A31" s="1" t="s">
        <v>48</v>
      </c>
      <c r="B31" t="s">
        <v>15</v>
      </c>
      <c r="C31" t="str">
        <f t="shared" si="0"/>
        <v>OS</v>
      </c>
      <c r="D31">
        <v>5</v>
      </c>
      <c r="E31" t="str">
        <f t="shared" si="1"/>
        <v>Consistent</v>
      </c>
      <c r="F31" t="str">
        <f t="shared" si="2"/>
        <v>Low</v>
      </c>
      <c r="G31" t="str">
        <f t="shared" si="3"/>
        <v>MODERATE</v>
      </c>
      <c r="H31" t="s">
        <v>16</v>
      </c>
      <c r="I31" t="s">
        <v>16</v>
      </c>
      <c r="J31" t="s">
        <v>16</v>
      </c>
      <c r="K31" t="s">
        <v>16</v>
      </c>
      <c r="L31" t="s">
        <v>16</v>
      </c>
      <c r="M31" t="s">
        <v>45</v>
      </c>
      <c r="N31">
        <v>2</v>
      </c>
    </row>
    <row r="32" ht="30" spans="1:14">
      <c r="A32" s="1" t="s">
        <v>49</v>
      </c>
      <c r="B32" t="s">
        <v>15</v>
      </c>
      <c r="C32" t="str">
        <f t="shared" si="0"/>
        <v>OS</v>
      </c>
      <c r="D32">
        <v>5</v>
      </c>
      <c r="E32" t="str">
        <f t="shared" si="1"/>
        <v>Consistent</v>
      </c>
      <c r="F32" t="str">
        <f t="shared" si="2"/>
        <v>Low</v>
      </c>
      <c r="G32" t="str">
        <f t="shared" si="3"/>
        <v>MODERATE</v>
      </c>
      <c r="H32" t="s">
        <v>16</v>
      </c>
      <c r="I32" t="s">
        <v>16</v>
      </c>
      <c r="J32" t="s">
        <v>16</v>
      </c>
      <c r="K32" t="s">
        <v>16</v>
      </c>
      <c r="L32" t="s">
        <v>16</v>
      </c>
      <c r="M32" t="s">
        <v>45</v>
      </c>
      <c r="N32">
        <v>2</v>
      </c>
    </row>
    <row r="33" ht="30" spans="1:14">
      <c r="A33" s="1" t="s">
        <v>50</v>
      </c>
      <c r="B33" t="s">
        <v>20</v>
      </c>
      <c r="C33" t="str">
        <f t="shared" si="0"/>
        <v>TS</v>
      </c>
      <c r="D33">
        <v>5</v>
      </c>
      <c r="E33" t="str">
        <f t="shared" si="1"/>
        <v>Inconsistent</v>
      </c>
      <c r="F33" t="str">
        <f t="shared" si="2"/>
        <v>High</v>
      </c>
      <c r="G33" t="str">
        <f t="shared" si="3"/>
        <v>LOW</v>
      </c>
      <c r="H33" t="s">
        <v>16</v>
      </c>
      <c r="I33" t="s">
        <v>16</v>
      </c>
      <c r="J33" t="s">
        <v>16</v>
      </c>
      <c r="K33" t="s">
        <v>16</v>
      </c>
      <c r="L33" t="s">
        <v>16</v>
      </c>
      <c r="M33" t="s">
        <v>45</v>
      </c>
      <c r="N33">
        <v>2</v>
      </c>
    </row>
    <row r="34" spans="1:14">
      <c r="A34" s="1" t="s">
        <v>51</v>
      </c>
      <c r="B34" t="s">
        <v>15</v>
      </c>
      <c r="C34" t="str">
        <f t="shared" si="0"/>
        <v>OS</v>
      </c>
      <c r="D34">
        <v>5</v>
      </c>
      <c r="E34" t="str">
        <f t="shared" si="1"/>
        <v>Consistent</v>
      </c>
      <c r="F34" t="str">
        <f t="shared" si="2"/>
        <v>Low</v>
      </c>
      <c r="G34" t="str">
        <f t="shared" si="3"/>
        <v>MODERATE</v>
      </c>
      <c r="H34" t="s">
        <v>16</v>
      </c>
      <c r="I34" t="s">
        <v>16</v>
      </c>
      <c r="J34" t="s">
        <v>16</v>
      </c>
      <c r="K34" t="s">
        <v>16</v>
      </c>
      <c r="L34" t="s">
        <v>16</v>
      </c>
      <c r="M34" t="s">
        <v>45</v>
      </c>
      <c r="N34">
        <v>2</v>
      </c>
    </row>
    <row r="35" spans="1:14">
      <c r="A35" s="1" t="s">
        <v>52</v>
      </c>
      <c r="B35" t="s">
        <v>15</v>
      </c>
      <c r="C35" t="str">
        <f t="shared" si="0"/>
        <v>OS</v>
      </c>
      <c r="D35">
        <v>5</v>
      </c>
      <c r="E35" t="str">
        <f t="shared" si="1"/>
        <v>Consistent</v>
      </c>
      <c r="F35" t="str">
        <f t="shared" si="2"/>
        <v>Low</v>
      </c>
      <c r="G35" t="str">
        <f t="shared" si="3"/>
        <v>MODERATE</v>
      </c>
      <c r="H35" t="s">
        <v>16</v>
      </c>
      <c r="I35" t="s">
        <v>16</v>
      </c>
      <c r="J35" t="s">
        <v>16</v>
      </c>
      <c r="K35" t="s">
        <v>16</v>
      </c>
      <c r="L35" t="s">
        <v>16</v>
      </c>
      <c r="M35" t="s">
        <v>45</v>
      </c>
      <c r="N35">
        <v>2</v>
      </c>
    </row>
    <row r="36" spans="1:14">
      <c r="A36" s="1" t="s">
        <v>53</v>
      </c>
      <c r="B36" t="s">
        <v>15</v>
      </c>
      <c r="C36" t="str">
        <f t="shared" si="0"/>
        <v>OS</v>
      </c>
      <c r="D36">
        <v>5</v>
      </c>
      <c r="E36" t="str">
        <f t="shared" si="1"/>
        <v>Consistent</v>
      </c>
      <c r="F36" t="str">
        <f t="shared" si="2"/>
        <v>Low</v>
      </c>
      <c r="G36" t="str">
        <f t="shared" si="3"/>
        <v>MODERATE</v>
      </c>
      <c r="H36" t="s">
        <v>16</v>
      </c>
      <c r="I36" t="s">
        <v>16</v>
      </c>
      <c r="J36" t="s">
        <v>16</v>
      </c>
      <c r="K36" t="s">
        <v>16</v>
      </c>
      <c r="L36" t="s">
        <v>16</v>
      </c>
      <c r="M36" t="s">
        <v>45</v>
      </c>
      <c r="N36">
        <v>2</v>
      </c>
    </row>
    <row r="37" ht="30" spans="1:14">
      <c r="A37" s="1" t="s">
        <v>54</v>
      </c>
      <c r="B37" t="s">
        <v>15</v>
      </c>
      <c r="C37" t="str">
        <f t="shared" si="0"/>
        <v>OS</v>
      </c>
      <c r="D37">
        <v>5</v>
      </c>
      <c r="E37" t="str">
        <f t="shared" si="1"/>
        <v>Consistent</v>
      </c>
      <c r="F37" t="str">
        <f t="shared" si="2"/>
        <v>Low</v>
      </c>
      <c r="G37" t="str">
        <f t="shared" si="3"/>
        <v>MODERATE</v>
      </c>
      <c r="H37" t="s">
        <v>16</v>
      </c>
      <c r="I37" t="s">
        <v>16</v>
      </c>
      <c r="J37" t="s">
        <v>16</v>
      </c>
      <c r="K37" t="s">
        <v>16</v>
      </c>
      <c r="L37" t="s">
        <v>16</v>
      </c>
      <c r="M37" t="s">
        <v>45</v>
      </c>
      <c r="N37">
        <v>2</v>
      </c>
    </row>
    <row r="38" spans="1:14">
      <c r="A38" s="1" t="s">
        <v>55</v>
      </c>
      <c r="B38" t="s">
        <v>20</v>
      </c>
      <c r="C38" t="str">
        <f t="shared" si="0"/>
        <v>TS</v>
      </c>
      <c r="D38">
        <v>5</v>
      </c>
      <c r="E38" t="str">
        <f t="shared" si="1"/>
        <v>Inconsistent</v>
      </c>
      <c r="F38" t="str">
        <f t="shared" si="2"/>
        <v>High</v>
      </c>
      <c r="G38" t="str">
        <f t="shared" si="3"/>
        <v>LOW</v>
      </c>
      <c r="H38" t="s">
        <v>16</v>
      </c>
      <c r="I38" t="s">
        <v>16</v>
      </c>
      <c r="J38" t="s">
        <v>16</v>
      </c>
      <c r="K38" t="s">
        <v>16</v>
      </c>
      <c r="L38" t="s">
        <v>16</v>
      </c>
      <c r="M38" t="s">
        <v>45</v>
      </c>
      <c r="N38">
        <v>2</v>
      </c>
    </row>
    <row r="39" spans="1:14">
      <c r="A39" s="1" t="s">
        <v>56</v>
      </c>
      <c r="B39" t="s">
        <v>20</v>
      </c>
      <c r="C39" t="str">
        <f t="shared" si="0"/>
        <v>TS</v>
      </c>
      <c r="D39">
        <v>5</v>
      </c>
      <c r="E39" t="str">
        <f t="shared" si="1"/>
        <v>Inconsistent</v>
      </c>
      <c r="F39" t="str">
        <f t="shared" si="2"/>
        <v>High</v>
      </c>
      <c r="G39" t="str">
        <f t="shared" si="3"/>
        <v>LOW</v>
      </c>
      <c r="H39" t="s">
        <v>16</v>
      </c>
      <c r="I39" t="s">
        <v>16</v>
      </c>
      <c r="J39" t="s">
        <v>16</v>
      </c>
      <c r="K39" t="s">
        <v>16</v>
      </c>
      <c r="L39" t="s">
        <v>16</v>
      </c>
      <c r="M39" t="s">
        <v>45</v>
      </c>
      <c r="N39">
        <v>2</v>
      </c>
    </row>
    <row r="40" spans="1:14">
      <c r="A40" s="1" t="s">
        <v>57</v>
      </c>
      <c r="B40" t="s">
        <v>15</v>
      </c>
      <c r="C40" t="str">
        <f t="shared" si="0"/>
        <v>OS</v>
      </c>
      <c r="D40">
        <v>5</v>
      </c>
      <c r="E40" t="str">
        <f t="shared" si="1"/>
        <v>Consistent</v>
      </c>
      <c r="F40" t="str">
        <f t="shared" si="2"/>
        <v>Low</v>
      </c>
      <c r="G40" t="str">
        <f t="shared" si="3"/>
        <v>MODERATE</v>
      </c>
      <c r="H40" t="s">
        <v>16</v>
      </c>
      <c r="I40" t="s">
        <v>16</v>
      </c>
      <c r="J40" t="s">
        <v>16</v>
      </c>
      <c r="K40" t="s">
        <v>16</v>
      </c>
      <c r="L40" t="s">
        <v>16</v>
      </c>
      <c r="M40" t="s">
        <v>45</v>
      </c>
      <c r="N40">
        <v>2</v>
      </c>
    </row>
    <row r="41" spans="1:14">
      <c r="A41" s="1" t="s">
        <v>58</v>
      </c>
      <c r="B41" t="s">
        <v>15</v>
      </c>
      <c r="C41" t="str">
        <f t="shared" si="0"/>
        <v>OS</v>
      </c>
      <c r="D41">
        <v>5</v>
      </c>
      <c r="E41" t="str">
        <f t="shared" si="1"/>
        <v>Consistent</v>
      </c>
      <c r="F41" t="str">
        <f t="shared" si="2"/>
        <v>Low</v>
      </c>
      <c r="G41" t="str">
        <f t="shared" si="3"/>
        <v>MODERATE</v>
      </c>
      <c r="H41" t="s">
        <v>16</v>
      </c>
      <c r="I41" t="s">
        <v>16</v>
      </c>
      <c r="J41" t="s">
        <v>16</v>
      </c>
      <c r="K41" t="s">
        <v>16</v>
      </c>
      <c r="L41" t="s">
        <v>16</v>
      </c>
      <c r="M41" t="s">
        <v>45</v>
      </c>
      <c r="N41">
        <v>2</v>
      </c>
    </row>
    <row r="42" spans="1:14">
      <c r="A42" s="1" t="s">
        <v>59</v>
      </c>
      <c r="B42" t="s">
        <v>15</v>
      </c>
      <c r="C42" t="str">
        <f t="shared" si="0"/>
        <v>OS</v>
      </c>
      <c r="D42">
        <v>5</v>
      </c>
      <c r="E42" t="str">
        <f t="shared" si="1"/>
        <v>Consistent</v>
      </c>
      <c r="F42" t="str">
        <f t="shared" si="2"/>
        <v>Low</v>
      </c>
      <c r="G42" t="str">
        <f t="shared" si="3"/>
        <v>MODERATE</v>
      </c>
      <c r="H42" t="s">
        <v>16</v>
      </c>
      <c r="I42" t="s">
        <v>16</v>
      </c>
      <c r="J42" t="s">
        <v>16</v>
      </c>
      <c r="K42" t="s">
        <v>16</v>
      </c>
      <c r="L42" t="s">
        <v>16</v>
      </c>
      <c r="M42" t="s">
        <v>45</v>
      </c>
      <c r="N42">
        <v>2</v>
      </c>
    </row>
    <row r="43" spans="1:14">
      <c r="A43" s="1" t="s">
        <v>60</v>
      </c>
      <c r="B43" t="s">
        <v>20</v>
      </c>
      <c r="C43" t="str">
        <f t="shared" si="0"/>
        <v>TS</v>
      </c>
      <c r="D43">
        <v>5</v>
      </c>
      <c r="E43" t="str">
        <f t="shared" si="1"/>
        <v>Inconsistent</v>
      </c>
      <c r="F43" t="str">
        <f t="shared" si="2"/>
        <v>High</v>
      </c>
      <c r="G43" t="str">
        <f t="shared" si="3"/>
        <v>LOW</v>
      </c>
      <c r="H43" t="s">
        <v>16</v>
      </c>
      <c r="I43" t="s">
        <v>16</v>
      </c>
      <c r="J43" t="s">
        <v>16</v>
      </c>
      <c r="K43" t="s">
        <v>16</v>
      </c>
      <c r="L43" t="s">
        <v>16</v>
      </c>
      <c r="M43" t="s">
        <v>45</v>
      </c>
      <c r="N43">
        <v>2</v>
      </c>
    </row>
    <row r="44" ht="30" spans="1:14">
      <c r="A44" s="1" t="s">
        <v>61</v>
      </c>
      <c r="B44" t="s">
        <v>20</v>
      </c>
      <c r="C44" t="str">
        <f t="shared" si="0"/>
        <v>TS</v>
      </c>
      <c r="D44">
        <v>5</v>
      </c>
      <c r="E44" t="str">
        <f t="shared" si="1"/>
        <v>Inconsistent</v>
      </c>
      <c r="F44" t="str">
        <f t="shared" si="2"/>
        <v>High</v>
      </c>
      <c r="G44" t="str">
        <f t="shared" si="3"/>
        <v>LOW</v>
      </c>
      <c r="H44" t="s">
        <v>16</v>
      </c>
      <c r="I44" t="s">
        <v>16</v>
      </c>
      <c r="J44" t="s">
        <v>16</v>
      </c>
      <c r="K44" t="s">
        <v>16</v>
      </c>
      <c r="L44" t="s">
        <v>16</v>
      </c>
      <c r="M44" t="s">
        <v>45</v>
      </c>
      <c r="N44">
        <v>2</v>
      </c>
    </row>
    <row r="45" spans="1:14">
      <c r="A45" s="1" t="s">
        <v>62</v>
      </c>
      <c r="B45" t="s">
        <v>20</v>
      </c>
      <c r="C45" t="str">
        <f t="shared" si="0"/>
        <v>TS</v>
      </c>
      <c r="D45">
        <v>5</v>
      </c>
      <c r="E45" t="str">
        <f t="shared" si="1"/>
        <v>Inconsistent</v>
      </c>
      <c r="F45" t="str">
        <f t="shared" si="2"/>
        <v>High</v>
      </c>
      <c r="G45" t="str">
        <f t="shared" si="3"/>
        <v>LOW</v>
      </c>
      <c r="H45" t="s">
        <v>16</v>
      </c>
      <c r="I45" t="s">
        <v>16</v>
      </c>
      <c r="J45" t="s">
        <v>16</v>
      </c>
      <c r="K45" t="s">
        <v>16</v>
      </c>
      <c r="L45" t="s">
        <v>16</v>
      </c>
      <c r="M45" t="s">
        <v>45</v>
      </c>
      <c r="N45">
        <v>2</v>
      </c>
    </row>
    <row r="46" spans="1:14">
      <c r="A46" s="1" t="s">
        <v>63</v>
      </c>
      <c r="B46" t="s">
        <v>34</v>
      </c>
      <c r="C46" t="str">
        <f t="shared" si="0"/>
        <v>OS</v>
      </c>
      <c r="D46">
        <v>5</v>
      </c>
      <c r="E46" t="str">
        <f t="shared" si="1"/>
        <v>Inconsistent</v>
      </c>
      <c r="F46" t="str">
        <f t="shared" si="2"/>
        <v>Low</v>
      </c>
      <c r="G46" t="str">
        <f t="shared" si="3"/>
        <v>LOW</v>
      </c>
      <c r="H46" t="s">
        <v>16</v>
      </c>
      <c r="I46" t="s">
        <v>16</v>
      </c>
      <c r="J46" t="s">
        <v>16</v>
      </c>
      <c r="K46" t="s">
        <v>16</v>
      </c>
      <c r="L46" t="s">
        <v>16</v>
      </c>
      <c r="M46" t="s">
        <v>45</v>
      </c>
      <c r="N46">
        <v>2</v>
      </c>
    </row>
    <row r="47" spans="1:14">
      <c r="A47" s="1" t="s">
        <v>64</v>
      </c>
      <c r="B47" t="s">
        <v>15</v>
      </c>
      <c r="C47" t="str">
        <f t="shared" si="0"/>
        <v>OS</v>
      </c>
      <c r="D47">
        <v>5</v>
      </c>
      <c r="E47" t="str">
        <f t="shared" si="1"/>
        <v>Consistent</v>
      </c>
      <c r="F47" t="str">
        <f t="shared" si="2"/>
        <v>Low</v>
      </c>
      <c r="G47" t="str">
        <f t="shared" si="3"/>
        <v>MODERATE</v>
      </c>
      <c r="H47" t="s">
        <v>16</v>
      </c>
      <c r="I47" t="s">
        <v>16</v>
      </c>
      <c r="J47" t="s">
        <v>16</v>
      </c>
      <c r="K47" t="s">
        <v>16</v>
      </c>
      <c r="L47" t="s">
        <v>16</v>
      </c>
      <c r="M47" t="s">
        <v>45</v>
      </c>
      <c r="N47">
        <v>2</v>
      </c>
    </row>
    <row r="48" spans="1:14">
      <c r="A48" s="1" t="s">
        <v>65</v>
      </c>
      <c r="B48" t="s">
        <v>15</v>
      </c>
      <c r="C48" t="str">
        <f t="shared" si="0"/>
        <v>OS</v>
      </c>
      <c r="D48">
        <v>4</v>
      </c>
      <c r="E48" t="str">
        <f t="shared" si="1"/>
        <v>Partially Consistent</v>
      </c>
      <c r="F48" t="str">
        <f t="shared" si="2"/>
        <v>Low</v>
      </c>
      <c r="G48" t="str">
        <f t="shared" si="3"/>
        <v>MODERATE</v>
      </c>
      <c r="H48" t="s">
        <v>16</v>
      </c>
      <c r="I48" t="s">
        <v>16</v>
      </c>
      <c r="J48" t="s">
        <v>16</v>
      </c>
      <c r="K48" t="s">
        <v>16</v>
      </c>
      <c r="L48" t="s">
        <v>16</v>
      </c>
      <c r="M48" t="s">
        <v>45</v>
      </c>
      <c r="N48">
        <v>2</v>
      </c>
    </row>
    <row r="49" spans="1:14">
      <c r="A49" s="1" t="s">
        <v>66</v>
      </c>
      <c r="B49" t="s">
        <v>15</v>
      </c>
      <c r="C49" t="str">
        <f t="shared" si="0"/>
        <v>OS</v>
      </c>
      <c r="D49">
        <v>4</v>
      </c>
      <c r="E49" t="str">
        <f t="shared" si="1"/>
        <v>Partially Consistent</v>
      </c>
      <c r="F49" t="str">
        <f t="shared" si="2"/>
        <v>Low</v>
      </c>
      <c r="G49" t="str">
        <f t="shared" si="3"/>
        <v>MODERATE</v>
      </c>
      <c r="H49" t="s">
        <v>16</v>
      </c>
      <c r="I49" t="s">
        <v>16</v>
      </c>
      <c r="J49" t="s">
        <v>16</v>
      </c>
      <c r="K49" t="s">
        <v>16</v>
      </c>
      <c r="L49" t="s">
        <v>16</v>
      </c>
      <c r="M49" t="s">
        <v>45</v>
      </c>
      <c r="N49">
        <v>2</v>
      </c>
    </row>
    <row r="50" spans="1:14">
      <c r="A50" s="1" t="s">
        <v>67</v>
      </c>
      <c r="B50" t="s">
        <v>34</v>
      </c>
      <c r="C50" t="str">
        <f t="shared" si="0"/>
        <v>OS</v>
      </c>
      <c r="D50">
        <v>4</v>
      </c>
      <c r="E50" t="str">
        <f t="shared" si="1"/>
        <v>Inconsistent</v>
      </c>
      <c r="F50" t="str">
        <f t="shared" si="2"/>
        <v>Low</v>
      </c>
      <c r="G50" t="str">
        <f t="shared" si="3"/>
        <v>LOW</v>
      </c>
      <c r="H50" t="s">
        <v>16</v>
      </c>
      <c r="I50" t="s">
        <v>16</v>
      </c>
      <c r="J50" t="s">
        <v>16</v>
      </c>
      <c r="K50" t="s">
        <v>16</v>
      </c>
      <c r="L50" t="s">
        <v>16</v>
      </c>
      <c r="M50" t="s">
        <v>45</v>
      </c>
      <c r="N50">
        <v>2</v>
      </c>
    </row>
    <row r="51" spans="1:14">
      <c r="A51" s="1" t="s">
        <v>68</v>
      </c>
      <c r="B51" t="s">
        <v>34</v>
      </c>
      <c r="C51" t="str">
        <f t="shared" si="0"/>
        <v>OS</v>
      </c>
      <c r="D51">
        <v>2</v>
      </c>
      <c r="E51" t="str">
        <f t="shared" si="1"/>
        <v>Partially Consistent</v>
      </c>
      <c r="F51" t="str">
        <f t="shared" si="2"/>
        <v>Low</v>
      </c>
      <c r="G51" t="str">
        <f t="shared" si="3"/>
        <v>MODERATE</v>
      </c>
      <c r="H51" t="s">
        <v>16</v>
      </c>
      <c r="I51" t="s">
        <v>16</v>
      </c>
      <c r="J51" t="s">
        <v>16</v>
      </c>
      <c r="K51" t="s">
        <v>16</v>
      </c>
      <c r="L51" t="s">
        <v>16</v>
      </c>
      <c r="M51" t="s">
        <v>45</v>
      </c>
      <c r="N51">
        <v>2</v>
      </c>
    </row>
    <row r="52" spans="1:14">
      <c r="A52" s="1" t="s">
        <v>69</v>
      </c>
      <c r="B52" t="s">
        <v>34</v>
      </c>
      <c r="C52" t="str">
        <f t="shared" si="0"/>
        <v>OS</v>
      </c>
      <c r="D52">
        <v>2</v>
      </c>
      <c r="E52" t="str">
        <f t="shared" si="1"/>
        <v>Partially Consistent</v>
      </c>
      <c r="F52" t="str">
        <f t="shared" si="2"/>
        <v>Low</v>
      </c>
      <c r="G52" t="str">
        <f t="shared" si="3"/>
        <v>MODERATE</v>
      </c>
      <c r="H52" t="s">
        <v>16</v>
      </c>
      <c r="I52" t="s">
        <v>16</v>
      </c>
      <c r="J52" t="s">
        <v>16</v>
      </c>
      <c r="K52" t="s">
        <v>16</v>
      </c>
      <c r="L52" t="s">
        <v>16</v>
      </c>
      <c r="M52" t="s">
        <v>45</v>
      </c>
      <c r="N52">
        <v>2</v>
      </c>
    </row>
    <row r="53" spans="1:14">
      <c r="A53" s="1" t="s">
        <v>70</v>
      </c>
      <c r="B53" t="s">
        <v>20</v>
      </c>
      <c r="C53" t="str">
        <f t="shared" si="0"/>
        <v>TS</v>
      </c>
      <c r="D53">
        <v>2</v>
      </c>
      <c r="E53" t="str">
        <f t="shared" si="1"/>
        <v>Partially Consistent</v>
      </c>
      <c r="F53" t="str">
        <f t="shared" si="2"/>
        <v>High</v>
      </c>
      <c r="G53" t="str">
        <f t="shared" si="3"/>
        <v>MODERATE</v>
      </c>
      <c r="H53" t="s">
        <v>16</v>
      </c>
      <c r="I53" t="s">
        <v>16</v>
      </c>
      <c r="J53" t="s">
        <v>16</v>
      </c>
      <c r="K53" t="s">
        <v>16</v>
      </c>
      <c r="L53" t="s">
        <v>16</v>
      </c>
      <c r="M53" t="s">
        <v>45</v>
      </c>
      <c r="N53">
        <v>2</v>
      </c>
    </row>
    <row r="54" spans="1:14">
      <c r="A54" s="1" t="s">
        <v>71</v>
      </c>
      <c r="B54" t="s">
        <v>34</v>
      </c>
      <c r="C54" t="str">
        <f t="shared" si="0"/>
        <v>OS</v>
      </c>
      <c r="D54">
        <v>1</v>
      </c>
      <c r="E54" t="str">
        <f t="shared" si="1"/>
        <v>Consistent</v>
      </c>
      <c r="F54" t="str">
        <f t="shared" si="2"/>
        <v>Low</v>
      </c>
      <c r="G54" t="str">
        <f t="shared" si="3"/>
        <v>MODERATE</v>
      </c>
      <c r="H54" t="s">
        <v>16</v>
      </c>
      <c r="I54" t="s">
        <v>16</v>
      </c>
      <c r="J54" t="s">
        <v>16</v>
      </c>
      <c r="K54" t="s">
        <v>16</v>
      </c>
      <c r="L54" t="s">
        <v>16</v>
      </c>
      <c r="M54" t="s">
        <v>45</v>
      </c>
      <c r="N54">
        <v>2</v>
      </c>
    </row>
    <row r="55" ht="30" spans="1:14">
      <c r="A55" s="1" t="s">
        <v>72</v>
      </c>
      <c r="B55" t="s">
        <v>34</v>
      </c>
      <c r="C55" t="str">
        <f t="shared" si="0"/>
        <v>OS</v>
      </c>
      <c r="D55">
        <v>1</v>
      </c>
      <c r="E55" t="str">
        <f t="shared" si="1"/>
        <v>Consistent</v>
      </c>
      <c r="F55" t="str">
        <f t="shared" si="2"/>
        <v>Low</v>
      </c>
      <c r="G55" t="str">
        <f t="shared" si="3"/>
        <v>MODERATE</v>
      </c>
      <c r="H55" t="s">
        <v>16</v>
      </c>
      <c r="I55" t="s">
        <v>16</v>
      </c>
      <c r="J55" t="s">
        <v>16</v>
      </c>
      <c r="K55" t="s">
        <v>16</v>
      </c>
      <c r="L55" t="s">
        <v>16</v>
      </c>
      <c r="M55" t="s">
        <v>45</v>
      </c>
      <c r="N55">
        <v>2</v>
      </c>
    </row>
    <row r="56" spans="1:14">
      <c r="A56" s="1" t="s">
        <v>73</v>
      </c>
      <c r="B56" t="s">
        <v>34</v>
      </c>
      <c r="C56" t="str">
        <f t="shared" si="0"/>
        <v>OS</v>
      </c>
      <c r="D56">
        <v>1</v>
      </c>
      <c r="E56" t="str">
        <f t="shared" si="1"/>
        <v>Consistent</v>
      </c>
      <c r="F56" t="str">
        <f t="shared" si="2"/>
        <v>Low</v>
      </c>
      <c r="G56" t="str">
        <f t="shared" si="3"/>
        <v>MODERATE</v>
      </c>
      <c r="H56" t="s">
        <v>16</v>
      </c>
      <c r="I56" t="s">
        <v>16</v>
      </c>
      <c r="J56" t="s">
        <v>16</v>
      </c>
      <c r="K56" t="s">
        <v>16</v>
      </c>
      <c r="L56" t="s">
        <v>16</v>
      </c>
      <c r="M56" t="s">
        <v>45</v>
      </c>
      <c r="N56">
        <v>2</v>
      </c>
    </row>
    <row r="57" spans="1:14">
      <c r="A57" s="1" t="s">
        <v>74</v>
      </c>
      <c r="B57" t="s">
        <v>34</v>
      </c>
      <c r="C57" t="str">
        <f t="shared" si="0"/>
        <v>OS</v>
      </c>
      <c r="D57">
        <v>1</v>
      </c>
      <c r="E57" t="str">
        <f t="shared" si="1"/>
        <v>Consistent</v>
      </c>
      <c r="F57" t="str">
        <f t="shared" si="2"/>
        <v>Low</v>
      </c>
      <c r="G57" t="str">
        <f t="shared" si="3"/>
        <v>MODERATE</v>
      </c>
      <c r="H57" t="s">
        <v>16</v>
      </c>
      <c r="I57" t="s">
        <v>16</v>
      </c>
      <c r="J57" t="s">
        <v>16</v>
      </c>
      <c r="K57" t="s">
        <v>16</v>
      </c>
      <c r="L57" t="s">
        <v>16</v>
      </c>
      <c r="M57" t="s">
        <v>45</v>
      </c>
      <c r="N57">
        <v>2</v>
      </c>
    </row>
    <row r="58" ht="30" spans="1:14">
      <c r="A58" s="1" t="s">
        <v>75</v>
      </c>
      <c r="B58" t="s">
        <v>34</v>
      </c>
      <c r="C58" t="str">
        <f t="shared" si="0"/>
        <v>OS</v>
      </c>
      <c r="D58">
        <v>1</v>
      </c>
      <c r="E58" t="str">
        <f t="shared" si="1"/>
        <v>Consistent</v>
      </c>
      <c r="F58" t="str">
        <f t="shared" si="2"/>
        <v>Low</v>
      </c>
      <c r="G58" t="str">
        <f t="shared" si="3"/>
        <v>MODERATE</v>
      </c>
      <c r="H58" t="s">
        <v>16</v>
      </c>
      <c r="I58" t="s">
        <v>16</v>
      </c>
      <c r="J58" t="s">
        <v>16</v>
      </c>
      <c r="K58" t="s">
        <v>16</v>
      </c>
      <c r="L58" t="s">
        <v>16</v>
      </c>
      <c r="M58" t="s">
        <v>45</v>
      </c>
      <c r="N58">
        <v>2</v>
      </c>
    </row>
    <row r="59" ht="30" spans="1:14">
      <c r="A59" s="1" t="s">
        <v>76</v>
      </c>
      <c r="B59" t="s">
        <v>20</v>
      </c>
      <c r="C59" t="str">
        <f t="shared" si="0"/>
        <v>TS</v>
      </c>
      <c r="D59">
        <v>1</v>
      </c>
      <c r="E59" t="str">
        <f t="shared" si="1"/>
        <v>Inconsistent</v>
      </c>
      <c r="F59" t="str">
        <f t="shared" si="2"/>
        <v>High</v>
      </c>
      <c r="G59" t="str">
        <f t="shared" si="3"/>
        <v>LOW</v>
      </c>
      <c r="H59" t="s">
        <v>16</v>
      </c>
      <c r="I59" t="s">
        <v>16</v>
      </c>
      <c r="J59" t="s">
        <v>16</v>
      </c>
      <c r="K59" t="s">
        <v>16</v>
      </c>
      <c r="L59" t="s">
        <v>16</v>
      </c>
      <c r="M59" t="s">
        <v>45</v>
      </c>
      <c r="N59">
        <v>2</v>
      </c>
    </row>
    <row r="60" spans="1:14">
      <c r="A60" s="1" t="s">
        <v>77</v>
      </c>
      <c r="B60" t="s">
        <v>34</v>
      </c>
      <c r="C60" t="str">
        <f t="shared" si="0"/>
        <v>OS</v>
      </c>
      <c r="D60">
        <v>1</v>
      </c>
      <c r="E60" t="str">
        <f t="shared" si="1"/>
        <v>Consistent</v>
      </c>
      <c r="F60" t="str">
        <f t="shared" si="2"/>
        <v>Low</v>
      </c>
      <c r="G60" t="str">
        <f t="shared" si="3"/>
        <v>MODERATE</v>
      </c>
      <c r="H60" t="s">
        <v>16</v>
      </c>
      <c r="I60" t="s">
        <v>16</v>
      </c>
      <c r="J60" t="s">
        <v>16</v>
      </c>
      <c r="K60" t="s">
        <v>16</v>
      </c>
      <c r="L60" t="s">
        <v>16</v>
      </c>
      <c r="M60" t="s">
        <v>45</v>
      </c>
      <c r="N60">
        <v>2</v>
      </c>
    </row>
    <row r="61" spans="1:14">
      <c r="A61" s="1" t="s">
        <v>78</v>
      </c>
      <c r="B61" t="s">
        <v>34</v>
      </c>
      <c r="C61" t="str">
        <f t="shared" si="0"/>
        <v>OS</v>
      </c>
      <c r="D61">
        <v>1</v>
      </c>
      <c r="E61" t="str">
        <f t="shared" si="1"/>
        <v>Consistent</v>
      </c>
      <c r="F61" t="str">
        <f t="shared" si="2"/>
        <v>Low</v>
      </c>
      <c r="G61" t="str">
        <f t="shared" si="3"/>
        <v>MODERATE</v>
      </c>
      <c r="H61" t="s">
        <v>16</v>
      </c>
      <c r="I61" t="s">
        <v>16</v>
      </c>
      <c r="J61" t="s">
        <v>16</v>
      </c>
      <c r="K61" t="s">
        <v>16</v>
      </c>
      <c r="L61" t="s">
        <v>16</v>
      </c>
      <c r="M61" t="s">
        <v>45</v>
      </c>
      <c r="N61">
        <v>2</v>
      </c>
    </row>
    <row r="62" ht="45" spans="1:14">
      <c r="A62" s="1" t="s">
        <v>79</v>
      </c>
      <c r="B62" t="s">
        <v>34</v>
      </c>
      <c r="C62" t="str">
        <f t="shared" si="0"/>
        <v>OS</v>
      </c>
      <c r="D62">
        <v>1</v>
      </c>
      <c r="E62" t="str">
        <f t="shared" si="1"/>
        <v>Consistent</v>
      </c>
      <c r="F62" t="str">
        <f t="shared" si="2"/>
        <v>Low</v>
      </c>
      <c r="G62" t="str">
        <f t="shared" si="3"/>
        <v>MODERATE</v>
      </c>
      <c r="H62" t="s">
        <v>16</v>
      </c>
      <c r="I62" t="s">
        <v>16</v>
      </c>
      <c r="J62" t="s">
        <v>16</v>
      </c>
      <c r="K62" t="s">
        <v>16</v>
      </c>
      <c r="L62" t="s">
        <v>16</v>
      </c>
      <c r="M62" t="s">
        <v>45</v>
      </c>
      <c r="N62">
        <v>2</v>
      </c>
    </row>
    <row r="63" ht="45" spans="1:14">
      <c r="A63" s="1" t="s">
        <v>80</v>
      </c>
      <c r="B63" t="s">
        <v>34</v>
      </c>
      <c r="C63" t="str">
        <f t="shared" si="0"/>
        <v>OS</v>
      </c>
      <c r="D63">
        <v>1</v>
      </c>
      <c r="E63" t="str">
        <f t="shared" si="1"/>
        <v>Consistent</v>
      </c>
      <c r="F63" t="str">
        <f t="shared" si="2"/>
        <v>Low</v>
      </c>
      <c r="G63" t="str">
        <f t="shared" si="3"/>
        <v>MODERATE</v>
      </c>
      <c r="H63" t="s">
        <v>16</v>
      </c>
      <c r="I63" t="s">
        <v>16</v>
      </c>
      <c r="J63" t="s">
        <v>16</v>
      </c>
      <c r="K63" t="s">
        <v>16</v>
      </c>
      <c r="L63" t="s">
        <v>16</v>
      </c>
      <c r="M63" t="s">
        <v>45</v>
      </c>
      <c r="N63">
        <v>2</v>
      </c>
    </row>
    <row r="64" spans="1:14">
      <c r="A64" s="1" t="s">
        <v>71</v>
      </c>
      <c r="B64" t="s">
        <v>34</v>
      </c>
      <c r="C64" t="str">
        <f t="shared" si="0"/>
        <v>OS</v>
      </c>
      <c r="D64">
        <v>1</v>
      </c>
      <c r="E64" t="str">
        <f t="shared" si="1"/>
        <v>Consistent</v>
      </c>
      <c r="F64" t="str">
        <f t="shared" si="2"/>
        <v>Low</v>
      </c>
      <c r="G64" t="str">
        <f t="shared" si="3"/>
        <v>MODERATE</v>
      </c>
      <c r="H64" t="s">
        <v>16</v>
      </c>
      <c r="I64" t="s">
        <v>16</v>
      </c>
      <c r="J64" t="s">
        <v>16</v>
      </c>
      <c r="K64" t="s">
        <v>16</v>
      </c>
      <c r="L64" t="s">
        <v>16</v>
      </c>
      <c r="M64" t="s">
        <v>45</v>
      </c>
      <c r="N64">
        <v>2</v>
      </c>
    </row>
    <row r="65" ht="30" spans="1:14">
      <c r="A65" s="1" t="s">
        <v>72</v>
      </c>
      <c r="B65" t="s">
        <v>34</v>
      </c>
      <c r="C65" t="str">
        <f t="shared" si="0"/>
        <v>OS</v>
      </c>
      <c r="D65">
        <v>1</v>
      </c>
      <c r="E65" t="str">
        <f t="shared" si="1"/>
        <v>Consistent</v>
      </c>
      <c r="F65" t="str">
        <f t="shared" si="2"/>
        <v>Low</v>
      </c>
      <c r="G65" t="str">
        <f t="shared" si="3"/>
        <v>MODERATE</v>
      </c>
      <c r="H65" t="s">
        <v>16</v>
      </c>
      <c r="I65" t="s">
        <v>16</v>
      </c>
      <c r="J65" t="s">
        <v>16</v>
      </c>
      <c r="K65" t="s">
        <v>16</v>
      </c>
      <c r="L65" t="s">
        <v>16</v>
      </c>
      <c r="M65" t="s">
        <v>45</v>
      </c>
      <c r="N65">
        <v>2</v>
      </c>
    </row>
    <row r="66" spans="1:14">
      <c r="A66" s="1" t="s">
        <v>73</v>
      </c>
      <c r="B66" t="s">
        <v>34</v>
      </c>
      <c r="C66" t="str">
        <f t="shared" ref="C66:C129" si="4">IF(B66="NEUTRAL","TS","OS")</f>
        <v>OS</v>
      </c>
      <c r="D66">
        <v>1</v>
      </c>
      <c r="E66" t="str">
        <f t="shared" ref="E66:E129" si="5">IF(C66="TS",IF(D66=3,"Consistent",IF(OR(D66=2,D66=4),"Partially Consistent","Inconsistent")),IF(D66=3,"Inconsistent",IF(AND(D66=5,B66="POSITIVE"),"Consistent",IF(AND(D66=1,B66="NEGATIVE"),"Consistent",IF(AND(D66=4,B66="POSITIVE"),"Partially Consistent",IF(AND(D66=2,B66="NEGATIVE"),"Partially Consistent","Inconsistent"))))))</f>
        <v>Consistent</v>
      </c>
      <c r="F66" t="str">
        <f t="shared" ref="F66:F129" si="6">IF(C66="TS","High","Low")</f>
        <v>Low</v>
      </c>
      <c r="G66" t="str">
        <f t="shared" ref="G66:G129" si="7">IF(AND(B66="NEUTRAL",F66="Low"),"LOW",IF(AND(C66="TS",F66="High",D66=3),"HIGH",IF(AND(C66="TS",F66="High",OR(D66=2,D66=4)),"MODERATE",IF(AND(C66="TS",F66="High",OR(D66=1,D66=5)),"LOW",IF(AND(C66="OS",E66="Consistent",OR(D66=1,D66=5)),"MODERATE",IF(AND(C66="OS",E66="Partially Consistent",OR(D66=2,D66=4)),"MODERATE","LOW"))))))</f>
        <v>MODERATE</v>
      </c>
      <c r="H66" t="s">
        <v>16</v>
      </c>
      <c r="I66" t="s">
        <v>16</v>
      </c>
      <c r="J66" t="s">
        <v>16</v>
      </c>
      <c r="K66" t="s">
        <v>16</v>
      </c>
      <c r="L66" t="s">
        <v>16</v>
      </c>
      <c r="M66" t="s">
        <v>45</v>
      </c>
      <c r="N66">
        <v>2</v>
      </c>
    </row>
    <row r="67" spans="1:14">
      <c r="A67" s="1" t="s">
        <v>74</v>
      </c>
      <c r="B67" t="s">
        <v>34</v>
      </c>
      <c r="C67" t="str">
        <f t="shared" si="4"/>
        <v>OS</v>
      </c>
      <c r="D67">
        <v>1</v>
      </c>
      <c r="E67" t="str">
        <f t="shared" si="5"/>
        <v>Consistent</v>
      </c>
      <c r="F67" t="str">
        <f t="shared" si="6"/>
        <v>Low</v>
      </c>
      <c r="G67" t="str">
        <f t="shared" si="7"/>
        <v>MODERATE</v>
      </c>
      <c r="H67" t="s">
        <v>16</v>
      </c>
      <c r="I67" t="s">
        <v>16</v>
      </c>
      <c r="J67" t="s">
        <v>16</v>
      </c>
      <c r="K67" t="s">
        <v>16</v>
      </c>
      <c r="L67" t="s">
        <v>16</v>
      </c>
      <c r="M67" t="s">
        <v>45</v>
      </c>
      <c r="N67">
        <v>2</v>
      </c>
    </row>
    <row r="68" ht="30" spans="1:14">
      <c r="A68" s="1" t="s">
        <v>75</v>
      </c>
      <c r="B68" t="s">
        <v>34</v>
      </c>
      <c r="C68" t="str">
        <f t="shared" si="4"/>
        <v>OS</v>
      </c>
      <c r="D68">
        <v>1</v>
      </c>
      <c r="E68" t="str">
        <f t="shared" si="5"/>
        <v>Consistent</v>
      </c>
      <c r="F68" t="str">
        <f t="shared" si="6"/>
        <v>Low</v>
      </c>
      <c r="G68" t="str">
        <f t="shared" si="7"/>
        <v>MODERATE</v>
      </c>
      <c r="H68" t="s">
        <v>16</v>
      </c>
      <c r="I68" t="s">
        <v>16</v>
      </c>
      <c r="J68" t="s">
        <v>16</v>
      </c>
      <c r="K68" t="s">
        <v>16</v>
      </c>
      <c r="L68" t="s">
        <v>16</v>
      </c>
      <c r="M68" t="s">
        <v>45</v>
      </c>
      <c r="N68">
        <v>2</v>
      </c>
    </row>
    <row r="69" ht="30" spans="1:14">
      <c r="A69" s="1" t="s">
        <v>76</v>
      </c>
      <c r="B69" t="s">
        <v>20</v>
      </c>
      <c r="C69" t="str">
        <f t="shared" si="4"/>
        <v>TS</v>
      </c>
      <c r="D69">
        <v>1</v>
      </c>
      <c r="E69" t="str">
        <f t="shared" si="5"/>
        <v>Inconsistent</v>
      </c>
      <c r="F69" t="str">
        <f t="shared" si="6"/>
        <v>High</v>
      </c>
      <c r="G69" t="str">
        <f t="shared" si="7"/>
        <v>LOW</v>
      </c>
      <c r="H69" t="s">
        <v>16</v>
      </c>
      <c r="I69" t="s">
        <v>16</v>
      </c>
      <c r="J69" t="s">
        <v>16</v>
      </c>
      <c r="K69" t="s">
        <v>16</v>
      </c>
      <c r="L69" t="s">
        <v>16</v>
      </c>
      <c r="M69" t="s">
        <v>45</v>
      </c>
      <c r="N69">
        <v>2</v>
      </c>
    </row>
    <row r="70" spans="1:14">
      <c r="A70" s="1" t="s">
        <v>77</v>
      </c>
      <c r="B70" t="s">
        <v>34</v>
      </c>
      <c r="C70" t="str">
        <f t="shared" si="4"/>
        <v>OS</v>
      </c>
      <c r="D70">
        <v>1</v>
      </c>
      <c r="E70" t="str">
        <f t="shared" si="5"/>
        <v>Consistent</v>
      </c>
      <c r="F70" t="str">
        <f t="shared" si="6"/>
        <v>Low</v>
      </c>
      <c r="G70" t="str">
        <f t="shared" si="7"/>
        <v>MODERATE</v>
      </c>
      <c r="H70" t="s">
        <v>16</v>
      </c>
      <c r="I70" t="s">
        <v>16</v>
      </c>
      <c r="J70" t="s">
        <v>16</v>
      </c>
      <c r="K70" t="s">
        <v>16</v>
      </c>
      <c r="L70" t="s">
        <v>16</v>
      </c>
      <c r="M70" t="s">
        <v>45</v>
      </c>
      <c r="N70">
        <v>2</v>
      </c>
    </row>
    <row r="71" spans="1:14">
      <c r="A71" s="1" t="s">
        <v>78</v>
      </c>
      <c r="B71" t="s">
        <v>34</v>
      </c>
      <c r="C71" t="str">
        <f t="shared" si="4"/>
        <v>OS</v>
      </c>
      <c r="D71">
        <v>1</v>
      </c>
      <c r="E71" t="str">
        <f t="shared" si="5"/>
        <v>Consistent</v>
      </c>
      <c r="F71" t="str">
        <f t="shared" si="6"/>
        <v>Low</v>
      </c>
      <c r="G71" t="str">
        <f t="shared" si="7"/>
        <v>MODERATE</v>
      </c>
      <c r="H71" t="s">
        <v>16</v>
      </c>
      <c r="I71" t="s">
        <v>16</v>
      </c>
      <c r="J71" t="s">
        <v>16</v>
      </c>
      <c r="K71" t="s">
        <v>16</v>
      </c>
      <c r="L71" t="s">
        <v>16</v>
      </c>
      <c r="M71" t="s">
        <v>45</v>
      </c>
      <c r="N71">
        <v>2</v>
      </c>
    </row>
    <row r="72" ht="45" spans="1:14">
      <c r="A72" s="1" t="s">
        <v>79</v>
      </c>
      <c r="B72" t="s">
        <v>34</v>
      </c>
      <c r="C72" t="str">
        <f t="shared" si="4"/>
        <v>OS</v>
      </c>
      <c r="D72">
        <v>1</v>
      </c>
      <c r="E72" t="str">
        <f t="shared" si="5"/>
        <v>Consistent</v>
      </c>
      <c r="F72" t="str">
        <f t="shared" si="6"/>
        <v>Low</v>
      </c>
      <c r="G72" t="str">
        <f t="shared" si="7"/>
        <v>MODERATE</v>
      </c>
      <c r="H72" t="s">
        <v>16</v>
      </c>
      <c r="I72" t="s">
        <v>16</v>
      </c>
      <c r="J72" t="s">
        <v>16</v>
      </c>
      <c r="K72" t="s">
        <v>16</v>
      </c>
      <c r="L72" t="s">
        <v>16</v>
      </c>
      <c r="M72" t="s">
        <v>45</v>
      </c>
      <c r="N72">
        <v>2</v>
      </c>
    </row>
    <row r="73" ht="45" spans="1:14">
      <c r="A73" s="1" t="s">
        <v>80</v>
      </c>
      <c r="B73" t="s">
        <v>34</v>
      </c>
      <c r="C73" t="str">
        <f t="shared" si="4"/>
        <v>OS</v>
      </c>
      <c r="D73">
        <v>1</v>
      </c>
      <c r="E73" t="str">
        <f t="shared" si="5"/>
        <v>Consistent</v>
      </c>
      <c r="F73" t="str">
        <f t="shared" si="6"/>
        <v>Low</v>
      </c>
      <c r="G73" t="str">
        <f t="shared" si="7"/>
        <v>MODERATE</v>
      </c>
      <c r="H73" t="s">
        <v>16</v>
      </c>
      <c r="I73" t="s">
        <v>16</v>
      </c>
      <c r="J73" t="s">
        <v>16</v>
      </c>
      <c r="K73" t="s">
        <v>16</v>
      </c>
      <c r="L73" t="s">
        <v>16</v>
      </c>
      <c r="M73" t="s">
        <v>45</v>
      </c>
      <c r="N73">
        <v>2</v>
      </c>
    </row>
    <row r="74" spans="1:14">
      <c r="A74" s="1" t="s">
        <v>81</v>
      </c>
      <c r="B74" t="s">
        <v>20</v>
      </c>
      <c r="C74" t="str">
        <f t="shared" si="4"/>
        <v>TS</v>
      </c>
      <c r="D74">
        <v>3</v>
      </c>
      <c r="E74" t="str">
        <f t="shared" si="5"/>
        <v>Consistent</v>
      </c>
      <c r="F74" t="str">
        <f t="shared" si="6"/>
        <v>High</v>
      </c>
      <c r="G74" t="str">
        <f t="shared" si="7"/>
        <v>HIGH</v>
      </c>
      <c r="H74" t="s">
        <v>16</v>
      </c>
      <c r="I74" t="s">
        <v>16</v>
      </c>
      <c r="J74" t="s">
        <v>16</v>
      </c>
      <c r="K74" t="s">
        <v>16</v>
      </c>
      <c r="L74" t="s">
        <v>16</v>
      </c>
      <c r="M74" t="s">
        <v>45</v>
      </c>
      <c r="N74">
        <v>2</v>
      </c>
    </row>
    <row r="75" spans="1:14">
      <c r="A75" s="1" t="s">
        <v>82</v>
      </c>
      <c r="B75" t="s">
        <v>34</v>
      </c>
      <c r="C75" t="str">
        <f t="shared" si="4"/>
        <v>OS</v>
      </c>
      <c r="D75">
        <v>3</v>
      </c>
      <c r="E75" t="str">
        <f t="shared" si="5"/>
        <v>Inconsistent</v>
      </c>
      <c r="F75" t="str">
        <f t="shared" si="6"/>
        <v>Low</v>
      </c>
      <c r="G75" t="str">
        <f t="shared" si="7"/>
        <v>LOW</v>
      </c>
      <c r="H75" t="s">
        <v>16</v>
      </c>
      <c r="I75" t="s">
        <v>16</v>
      </c>
      <c r="J75" t="s">
        <v>16</v>
      </c>
      <c r="K75" t="s">
        <v>16</v>
      </c>
      <c r="L75" t="s">
        <v>16</v>
      </c>
      <c r="M75" t="s">
        <v>45</v>
      </c>
      <c r="N75">
        <v>2</v>
      </c>
    </row>
    <row r="76" ht="45" spans="1:14">
      <c r="A76" s="1" t="s">
        <v>83</v>
      </c>
      <c r="B76" t="s">
        <v>34</v>
      </c>
      <c r="C76" t="str">
        <f t="shared" si="4"/>
        <v>OS</v>
      </c>
      <c r="D76">
        <v>3</v>
      </c>
      <c r="E76" t="str">
        <f t="shared" si="5"/>
        <v>Inconsistent</v>
      </c>
      <c r="F76" t="str">
        <f t="shared" si="6"/>
        <v>Low</v>
      </c>
      <c r="G76" t="str">
        <f t="shared" si="7"/>
        <v>LOW</v>
      </c>
      <c r="H76" t="s">
        <v>16</v>
      </c>
      <c r="I76" t="s">
        <v>16</v>
      </c>
      <c r="J76" t="s">
        <v>16</v>
      </c>
      <c r="K76" t="s">
        <v>16</v>
      </c>
      <c r="L76" t="s">
        <v>16</v>
      </c>
      <c r="M76" t="s">
        <v>45</v>
      </c>
      <c r="N76">
        <v>2</v>
      </c>
    </row>
    <row r="77" ht="30" spans="1:14">
      <c r="A77" s="1" t="s">
        <v>84</v>
      </c>
      <c r="B77" t="s">
        <v>20</v>
      </c>
      <c r="C77" t="str">
        <f t="shared" si="4"/>
        <v>TS</v>
      </c>
      <c r="D77">
        <v>3</v>
      </c>
      <c r="E77" t="str">
        <f t="shared" si="5"/>
        <v>Consistent</v>
      </c>
      <c r="F77" t="str">
        <f t="shared" si="6"/>
        <v>High</v>
      </c>
      <c r="G77" t="str">
        <f t="shared" si="7"/>
        <v>HIGH</v>
      </c>
      <c r="H77" t="s">
        <v>16</v>
      </c>
      <c r="I77" t="s">
        <v>16</v>
      </c>
      <c r="J77" t="s">
        <v>16</v>
      </c>
      <c r="K77" t="s">
        <v>16</v>
      </c>
      <c r="L77" t="s">
        <v>16</v>
      </c>
      <c r="M77" t="s">
        <v>45</v>
      </c>
      <c r="N77">
        <v>2</v>
      </c>
    </row>
    <row r="78" spans="1:14">
      <c r="A78" s="1" t="s">
        <v>85</v>
      </c>
      <c r="B78" t="s">
        <v>34</v>
      </c>
      <c r="C78" t="str">
        <f t="shared" si="4"/>
        <v>OS</v>
      </c>
      <c r="D78">
        <v>3</v>
      </c>
      <c r="E78" t="str">
        <f t="shared" si="5"/>
        <v>Inconsistent</v>
      </c>
      <c r="F78" t="str">
        <f t="shared" si="6"/>
        <v>Low</v>
      </c>
      <c r="G78" t="str">
        <f t="shared" si="7"/>
        <v>LOW</v>
      </c>
      <c r="H78" t="s">
        <v>16</v>
      </c>
      <c r="I78" t="s">
        <v>16</v>
      </c>
      <c r="J78" t="s">
        <v>16</v>
      </c>
      <c r="K78" t="s">
        <v>16</v>
      </c>
      <c r="L78" t="s">
        <v>16</v>
      </c>
      <c r="M78" t="s">
        <v>45</v>
      </c>
      <c r="N78">
        <v>2</v>
      </c>
    </row>
    <row r="79" spans="1:14">
      <c r="A79" s="1" t="s">
        <v>86</v>
      </c>
      <c r="B79" t="s">
        <v>20</v>
      </c>
      <c r="C79" t="str">
        <f t="shared" si="4"/>
        <v>TS</v>
      </c>
      <c r="D79">
        <v>3</v>
      </c>
      <c r="E79" t="str">
        <f t="shared" si="5"/>
        <v>Consistent</v>
      </c>
      <c r="F79" t="str">
        <f t="shared" si="6"/>
        <v>High</v>
      </c>
      <c r="G79" t="str">
        <f t="shared" si="7"/>
        <v>HIGH</v>
      </c>
      <c r="H79" t="s">
        <v>16</v>
      </c>
      <c r="I79" t="s">
        <v>16</v>
      </c>
      <c r="J79" t="s">
        <v>16</v>
      </c>
      <c r="K79" t="s">
        <v>16</v>
      </c>
      <c r="L79" t="s">
        <v>16</v>
      </c>
      <c r="M79" t="s">
        <v>45</v>
      </c>
      <c r="N79">
        <v>2</v>
      </c>
    </row>
    <row r="80" spans="1:14">
      <c r="A80" s="1" t="s">
        <v>87</v>
      </c>
      <c r="B80" t="s">
        <v>20</v>
      </c>
      <c r="C80" t="str">
        <f t="shared" si="4"/>
        <v>TS</v>
      </c>
      <c r="D80">
        <v>3</v>
      </c>
      <c r="E80" t="str">
        <f t="shared" si="5"/>
        <v>Consistent</v>
      </c>
      <c r="F80" t="str">
        <f t="shared" si="6"/>
        <v>High</v>
      </c>
      <c r="G80" t="str">
        <f t="shared" si="7"/>
        <v>HIGH</v>
      </c>
      <c r="H80" t="s">
        <v>16</v>
      </c>
      <c r="I80" t="s">
        <v>16</v>
      </c>
      <c r="J80" t="s">
        <v>16</v>
      </c>
      <c r="K80" t="s">
        <v>16</v>
      </c>
      <c r="L80" t="s">
        <v>16</v>
      </c>
      <c r="M80" t="s">
        <v>45</v>
      </c>
      <c r="N80">
        <v>2</v>
      </c>
    </row>
    <row r="81" ht="30" spans="1:14">
      <c r="A81" s="1" t="s">
        <v>88</v>
      </c>
      <c r="B81" t="s">
        <v>15</v>
      </c>
      <c r="C81" t="str">
        <f t="shared" si="4"/>
        <v>OS</v>
      </c>
      <c r="D81">
        <v>5</v>
      </c>
      <c r="E81" t="str">
        <f t="shared" si="5"/>
        <v>Consistent</v>
      </c>
      <c r="F81" t="str">
        <f t="shared" si="6"/>
        <v>Low</v>
      </c>
      <c r="G81" t="str">
        <f t="shared" si="7"/>
        <v>MODERATE</v>
      </c>
      <c r="H81" t="s">
        <v>16</v>
      </c>
      <c r="I81" t="s">
        <v>16</v>
      </c>
      <c r="J81" t="s">
        <v>16</v>
      </c>
      <c r="K81" t="s">
        <v>16</v>
      </c>
      <c r="L81" t="s">
        <v>16</v>
      </c>
      <c r="M81" t="s">
        <v>89</v>
      </c>
      <c r="N81">
        <v>3</v>
      </c>
    </row>
    <row r="82" spans="1:14">
      <c r="A82" s="1" t="s">
        <v>90</v>
      </c>
      <c r="B82" t="s">
        <v>15</v>
      </c>
      <c r="C82" t="str">
        <f t="shared" si="4"/>
        <v>OS</v>
      </c>
      <c r="D82">
        <v>5</v>
      </c>
      <c r="E82" t="str">
        <f t="shared" si="5"/>
        <v>Consistent</v>
      </c>
      <c r="F82" t="str">
        <f t="shared" si="6"/>
        <v>Low</v>
      </c>
      <c r="G82" t="str">
        <f t="shared" si="7"/>
        <v>MODERATE</v>
      </c>
      <c r="H82" t="s">
        <v>16</v>
      </c>
      <c r="I82" t="s">
        <v>16</v>
      </c>
      <c r="J82" t="s">
        <v>16</v>
      </c>
      <c r="K82" t="s">
        <v>16</v>
      </c>
      <c r="L82" t="s">
        <v>16</v>
      </c>
      <c r="M82" t="s">
        <v>89</v>
      </c>
      <c r="N82">
        <v>3</v>
      </c>
    </row>
    <row r="83" spans="1:14">
      <c r="A83" s="1" t="s">
        <v>91</v>
      </c>
      <c r="B83" t="s">
        <v>15</v>
      </c>
      <c r="C83" t="str">
        <f t="shared" si="4"/>
        <v>OS</v>
      </c>
      <c r="D83">
        <v>5</v>
      </c>
      <c r="E83" t="str">
        <f t="shared" si="5"/>
        <v>Consistent</v>
      </c>
      <c r="F83" t="str">
        <f t="shared" si="6"/>
        <v>Low</v>
      </c>
      <c r="G83" t="str">
        <f t="shared" si="7"/>
        <v>MODERATE</v>
      </c>
      <c r="H83" t="s">
        <v>16</v>
      </c>
      <c r="I83" t="s">
        <v>16</v>
      </c>
      <c r="J83" t="s">
        <v>16</v>
      </c>
      <c r="K83" t="s">
        <v>16</v>
      </c>
      <c r="L83" t="s">
        <v>16</v>
      </c>
      <c r="M83" t="s">
        <v>89</v>
      </c>
      <c r="N83">
        <v>3</v>
      </c>
    </row>
    <row r="84" ht="30" spans="1:14">
      <c r="A84" s="1" t="s">
        <v>92</v>
      </c>
      <c r="B84" t="s">
        <v>15</v>
      </c>
      <c r="C84" t="str">
        <f t="shared" si="4"/>
        <v>OS</v>
      </c>
      <c r="D84">
        <v>5</v>
      </c>
      <c r="E84" t="str">
        <f t="shared" si="5"/>
        <v>Consistent</v>
      </c>
      <c r="F84" t="str">
        <f t="shared" si="6"/>
        <v>Low</v>
      </c>
      <c r="G84" t="str">
        <f t="shared" si="7"/>
        <v>MODERATE</v>
      </c>
      <c r="H84" t="s">
        <v>16</v>
      </c>
      <c r="I84" t="s">
        <v>16</v>
      </c>
      <c r="J84" t="s">
        <v>16</v>
      </c>
      <c r="K84" t="s">
        <v>16</v>
      </c>
      <c r="L84" t="s">
        <v>16</v>
      </c>
      <c r="M84" t="s">
        <v>89</v>
      </c>
      <c r="N84">
        <v>3</v>
      </c>
    </row>
    <row r="85" ht="30" spans="1:14">
      <c r="A85" s="1" t="s">
        <v>93</v>
      </c>
      <c r="B85" t="s">
        <v>15</v>
      </c>
      <c r="C85" t="str">
        <f t="shared" si="4"/>
        <v>OS</v>
      </c>
      <c r="D85">
        <v>5</v>
      </c>
      <c r="E85" t="str">
        <f t="shared" si="5"/>
        <v>Consistent</v>
      </c>
      <c r="F85" t="str">
        <f t="shared" si="6"/>
        <v>Low</v>
      </c>
      <c r="G85" t="str">
        <f t="shared" si="7"/>
        <v>MODERATE</v>
      </c>
      <c r="H85" t="s">
        <v>16</v>
      </c>
      <c r="I85" t="s">
        <v>16</v>
      </c>
      <c r="J85" t="s">
        <v>16</v>
      </c>
      <c r="K85" t="s">
        <v>16</v>
      </c>
      <c r="L85" t="s">
        <v>16</v>
      </c>
      <c r="M85" t="s">
        <v>89</v>
      </c>
      <c r="N85">
        <v>3</v>
      </c>
    </row>
    <row r="86" spans="1:14">
      <c r="A86" s="1" t="s">
        <v>94</v>
      </c>
      <c r="B86" t="s">
        <v>15</v>
      </c>
      <c r="C86" t="str">
        <f t="shared" si="4"/>
        <v>OS</v>
      </c>
      <c r="D86">
        <v>5</v>
      </c>
      <c r="E86" t="str">
        <f t="shared" si="5"/>
        <v>Consistent</v>
      </c>
      <c r="F86" t="str">
        <f t="shared" si="6"/>
        <v>Low</v>
      </c>
      <c r="G86" t="str">
        <f t="shared" si="7"/>
        <v>MODERATE</v>
      </c>
      <c r="H86" t="s">
        <v>16</v>
      </c>
      <c r="I86" t="s">
        <v>16</v>
      </c>
      <c r="J86" t="s">
        <v>16</v>
      </c>
      <c r="K86" t="s">
        <v>16</v>
      </c>
      <c r="L86" t="s">
        <v>16</v>
      </c>
      <c r="M86" t="s">
        <v>89</v>
      </c>
      <c r="N86">
        <v>3</v>
      </c>
    </row>
    <row r="87" ht="45" spans="1:14">
      <c r="A87" s="1" t="s">
        <v>95</v>
      </c>
      <c r="B87" t="s">
        <v>15</v>
      </c>
      <c r="C87" t="str">
        <f t="shared" si="4"/>
        <v>OS</v>
      </c>
      <c r="D87">
        <v>5</v>
      </c>
      <c r="E87" t="str">
        <f t="shared" si="5"/>
        <v>Consistent</v>
      </c>
      <c r="F87" t="str">
        <f t="shared" si="6"/>
        <v>Low</v>
      </c>
      <c r="G87" t="str">
        <f t="shared" si="7"/>
        <v>MODERATE</v>
      </c>
      <c r="H87" t="s">
        <v>16</v>
      </c>
      <c r="I87" t="s">
        <v>16</v>
      </c>
      <c r="J87" t="s">
        <v>16</v>
      </c>
      <c r="K87" t="s">
        <v>16</v>
      </c>
      <c r="L87" t="s">
        <v>16</v>
      </c>
      <c r="M87" t="s">
        <v>89</v>
      </c>
      <c r="N87">
        <v>3</v>
      </c>
    </row>
    <row r="88" spans="1:14">
      <c r="A88" s="1" t="s">
        <v>96</v>
      </c>
      <c r="B88" t="s">
        <v>20</v>
      </c>
      <c r="C88" t="str">
        <f t="shared" si="4"/>
        <v>TS</v>
      </c>
      <c r="D88">
        <v>5</v>
      </c>
      <c r="E88" t="str">
        <f t="shared" si="5"/>
        <v>Inconsistent</v>
      </c>
      <c r="F88" t="str">
        <f t="shared" si="6"/>
        <v>High</v>
      </c>
      <c r="G88" t="str">
        <f t="shared" si="7"/>
        <v>LOW</v>
      </c>
      <c r="H88" t="s">
        <v>16</v>
      </c>
      <c r="I88" t="s">
        <v>16</v>
      </c>
      <c r="J88" t="s">
        <v>16</v>
      </c>
      <c r="K88" t="s">
        <v>16</v>
      </c>
      <c r="L88" t="s">
        <v>16</v>
      </c>
      <c r="M88" t="s">
        <v>89</v>
      </c>
      <c r="N88">
        <v>3</v>
      </c>
    </row>
    <row r="89" ht="30" spans="1:14">
      <c r="A89" s="1" t="s">
        <v>97</v>
      </c>
      <c r="B89" t="s">
        <v>15</v>
      </c>
      <c r="C89" t="str">
        <f t="shared" si="4"/>
        <v>OS</v>
      </c>
      <c r="D89">
        <v>5</v>
      </c>
      <c r="E89" t="str">
        <f t="shared" si="5"/>
        <v>Consistent</v>
      </c>
      <c r="F89" t="str">
        <f t="shared" si="6"/>
        <v>Low</v>
      </c>
      <c r="G89" t="str">
        <f t="shared" si="7"/>
        <v>MODERATE</v>
      </c>
      <c r="H89" t="s">
        <v>16</v>
      </c>
      <c r="I89" t="s">
        <v>16</v>
      </c>
      <c r="J89" t="s">
        <v>16</v>
      </c>
      <c r="K89" t="s">
        <v>16</v>
      </c>
      <c r="L89" t="s">
        <v>16</v>
      </c>
      <c r="M89" t="s">
        <v>89</v>
      </c>
      <c r="N89">
        <v>3</v>
      </c>
    </row>
    <row r="90" ht="30" spans="1:14">
      <c r="A90" s="1" t="s">
        <v>98</v>
      </c>
      <c r="B90" t="s">
        <v>34</v>
      </c>
      <c r="C90" t="str">
        <f t="shared" si="4"/>
        <v>OS</v>
      </c>
      <c r="D90">
        <v>5</v>
      </c>
      <c r="E90" t="str">
        <f t="shared" si="5"/>
        <v>Inconsistent</v>
      </c>
      <c r="F90" t="str">
        <f t="shared" si="6"/>
        <v>Low</v>
      </c>
      <c r="G90" t="str">
        <f t="shared" si="7"/>
        <v>LOW</v>
      </c>
      <c r="H90" t="s">
        <v>16</v>
      </c>
      <c r="I90" t="s">
        <v>16</v>
      </c>
      <c r="J90" t="s">
        <v>16</v>
      </c>
      <c r="K90" t="s">
        <v>16</v>
      </c>
      <c r="L90" t="s">
        <v>16</v>
      </c>
      <c r="M90" t="s">
        <v>89</v>
      </c>
      <c r="N90">
        <v>3</v>
      </c>
    </row>
    <row r="91" spans="1:14">
      <c r="A91" s="1" t="s">
        <v>99</v>
      </c>
      <c r="B91" t="s">
        <v>15</v>
      </c>
      <c r="C91" t="str">
        <f t="shared" si="4"/>
        <v>OS</v>
      </c>
      <c r="D91">
        <v>5</v>
      </c>
      <c r="E91" t="str">
        <f t="shared" si="5"/>
        <v>Consistent</v>
      </c>
      <c r="F91" t="str">
        <f t="shared" si="6"/>
        <v>Low</v>
      </c>
      <c r="G91" t="str">
        <f t="shared" si="7"/>
        <v>MODERATE</v>
      </c>
      <c r="H91" t="s">
        <v>16</v>
      </c>
      <c r="I91" t="s">
        <v>16</v>
      </c>
      <c r="J91" t="s">
        <v>16</v>
      </c>
      <c r="K91" t="s">
        <v>16</v>
      </c>
      <c r="L91" t="s">
        <v>16</v>
      </c>
      <c r="M91" t="s">
        <v>89</v>
      </c>
      <c r="N91">
        <v>3</v>
      </c>
    </row>
    <row r="92" spans="1:14">
      <c r="A92" s="1" t="s">
        <v>100</v>
      </c>
      <c r="B92" t="s">
        <v>20</v>
      </c>
      <c r="C92" t="str">
        <f t="shared" si="4"/>
        <v>TS</v>
      </c>
      <c r="D92">
        <v>5</v>
      </c>
      <c r="E92" t="str">
        <f t="shared" si="5"/>
        <v>Inconsistent</v>
      </c>
      <c r="F92" t="str">
        <f t="shared" si="6"/>
        <v>High</v>
      </c>
      <c r="G92" t="str">
        <f t="shared" si="7"/>
        <v>LOW</v>
      </c>
      <c r="H92" t="s">
        <v>16</v>
      </c>
      <c r="I92" t="s">
        <v>16</v>
      </c>
      <c r="J92" t="s">
        <v>16</v>
      </c>
      <c r="K92" t="s">
        <v>16</v>
      </c>
      <c r="L92" t="s">
        <v>16</v>
      </c>
      <c r="M92" t="s">
        <v>89</v>
      </c>
      <c r="N92">
        <v>3</v>
      </c>
    </row>
    <row r="93" spans="1:14">
      <c r="A93" s="1" t="s">
        <v>101</v>
      </c>
      <c r="B93" t="s">
        <v>15</v>
      </c>
      <c r="C93" t="str">
        <f t="shared" si="4"/>
        <v>OS</v>
      </c>
      <c r="D93">
        <v>5</v>
      </c>
      <c r="E93" t="str">
        <f t="shared" si="5"/>
        <v>Consistent</v>
      </c>
      <c r="F93" t="str">
        <f t="shared" si="6"/>
        <v>Low</v>
      </c>
      <c r="G93" t="str">
        <f t="shared" si="7"/>
        <v>MODERATE</v>
      </c>
      <c r="H93" t="s">
        <v>16</v>
      </c>
      <c r="I93" t="s">
        <v>16</v>
      </c>
      <c r="J93" t="s">
        <v>16</v>
      </c>
      <c r="K93" t="s">
        <v>16</v>
      </c>
      <c r="L93" t="s">
        <v>16</v>
      </c>
      <c r="M93" t="s">
        <v>89</v>
      </c>
      <c r="N93">
        <v>3</v>
      </c>
    </row>
    <row r="94" spans="1:14">
      <c r="A94" s="1" t="s">
        <v>102</v>
      </c>
      <c r="B94" t="s">
        <v>34</v>
      </c>
      <c r="C94" t="str">
        <f t="shared" si="4"/>
        <v>OS</v>
      </c>
      <c r="D94">
        <v>5</v>
      </c>
      <c r="E94" t="str">
        <f t="shared" si="5"/>
        <v>Inconsistent</v>
      </c>
      <c r="F94" t="str">
        <f t="shared" si="6"/>
        <v>Low</v>
      </c>
      <c r="G94" t="str">
        <f t="shared" si="7"/>
        <v>LOW</v>
      </c>
      <c r="H94" t="s">
        <v>16</v>
      </c>
      <c r="I94" t="s">
        <v>16</v>
      </c>
      <c r="J94" t="s">
        <v>16</v>
      </c>
      <c r="K94" t="s">
        <v>16</v>
      </c>
      <c r="L94" t="s">
        <v>16</v>
      </c>
      <c r="M94" t="s">
        <v>89</v>
      </c>
      <c r="N94">
        <v>3</v>
      </c>
    </row>
    <row r="95" spans="1:14">
      <c r="A95" s="1" t="s">
        <v>103</v>
      </c>
      <c r="B95" t="s">
        <v>15</v>
      </c>
      <c r="C95" t="str">
        <f t="shared" si="4"/>
        <v>OS</v>
      </c>
      <c r="D95">
        <v>5</v>
      </c>
      <c r="E95" t="str">
        <f t="shared" si="5"/>
        <v>Consistent</v>
      </c>
      <c r="F95" t="str">
        <f t="shared" si="6"/>
        <v>Low</v>
      </c>
      <c r="G95" t="str">
        <f t="shared" si="7"/>
        <v>MODERATE</v>
      </c>
      <c r="H95" t="s">
        <v>16</v>
      </c>
      <c r="I95" t="s">
        <v>16</v>
      </c>
      <c r="J95" t="s">
        <v>16</v>
      </c>
      <c r="K95" t="s">
        <v>16</v>
      </c>
      <c r="L95" t="s">
        <v>16</v>
      </c>
      <c r="M95" t="s">
        <v>89</v>
      </c>
      <c r="N95">
        <v>3</v>
      </c>
    </row>
    <row r="96" spans="1:14">
      <c r="A96" s="1" t="s">
        <v>104</v>
      </c>
      <c r="B96" t="s">
        <v>15</v>
      </c>
      <c r="C96" t="str">
        <f t="shared" si="4"/>
        <v>OS</v>
      </c>
      <c r="D96">
        <v>5</v>
      </c>
      <c r="E96" t="str">
        <f t="shared" si="5"/>
        <v>Consistent</v>
      </c>
      <c r="F96" t="str">
        <f t="shared" si="6"/>
        <v>Low</v>
      </c>
      <c r="G96" t="str">
        <f t="shared" si="7"/>
        <v>MODERATE</v>
      </c>
      <c r="H96" t="s">
        <v>16</v>
      </c>
      <c r="I96" t="s">
        <v>16</v>
      </c>
      <c r="J96" t="s">
        <v>16</v>
      </c>
      <c r="K96" t="s">
        <v>16</v>
      </c>
      <c r="L96" t="s">
        <v>16</v>
      </c>
      <c r="M96" t="s">
        <v>89</v>
      </c>
      <c r="N96">
        <v>3</v>
      </c>
    </row>
    <row r="97" ht="30" spans="1:14">
      <c r="A97" s="1" t="s">
        <v>105</v>
      </c>
      <c r="B97" t="s">
        <v>15</v>
      </c>
      <c r="C97" t="str">
        <f t="shared" si="4"/>
        <v>OS</v>
      </c>
      <c r="D97">
        <v>5</v>
      </c>
      <c r="E97" t="str">
        <f t="shared" si="5"/>
        <v>Consistent</v>
      </c>
      <c r="F97" t="str">
        <f t="shared" si="6"/>
        <v>Low</v>
      </c>
      <c r="G97" t="str">
        <f t="shared" si="7"/>
        <v>MODERATE</v>
      </c>
      <c r="H97" t="s">
        <v>16</v>
      </c>
      <c r="I97" t="s">
        <v>16</v>
      </c>
      <c r="J97" t="s">
        <v>16</v>
      </c>
      <c r="K97" t="s">
        <v>16</v>
      </c>
      <c r="L97" t="s">
        <v>16</v>
      </c>
      <c r="M97" t="s">
        <v>89</v>
      </c>
      <c r="N97">
        <v>3</v>
      </c>
    </row>
    <row r="98" spans="1:14">
      <c r="A98" s="1" t="s">
        <v>106</v>
      </c>
      <c r="B98" t="s">
        <v>15</v>
      </c>
      <c r="C98" t="str">
        <f t="shared" si="4"/>
        <v>OS</v>
      </c>
      <c r="D98">
        <v>5</v>
      </c>
      <c r="E98" t="str">
        <f t="shared" si="5"/>
        <v>Consistent</v>
      </c>
      <c r="F98" t="str">
        <f t="shared" si="6"/>
        <v>Low</v>
      </c>
      <c r="G98" t="str">
        <f t="shared" si="7"/>
        <v>MODERATE</v>
      </c>
      <c r="H98" t="s">
        <v>16</v>
      </c>
      <c r="I98" t="s">
        <v>16</v>
      </c>
      <c r="J98" t="s">
        <v>16</v>
      </c>
      <c r="K98" t="s">
        <v>16</v>
      </c>
      <c r="L98" t="s">
        <v>16</v>
      </c>
      <c r="M98" t="s">
        <v>89</v>
      </c>
      <c r="N98">
        <v>3</v>
      </c>
    </row>
    <row r="99" spans="1:14">
      <c r="A99" s="1" t="s">
        <v>107</v>
      </c>
      <c r="B99" t="s">
        <v>15</v>
      </c>
      <c r="C99" t="str">
        <f t="shared" si="4"/>
        <v>OS</v>
      </c>
      <c r="D99">
        <v>5</v>
      </c>
      <c r="E99" t="str">
        <f t="shared" si="5"/>
        <v>Consistent</v>
      </c>
      <c r="F99" t="str">
        <f t="shared" si="6"/>
        <v>Low</v>
      </c>
      <c r="G99" t="str">
        <f t="shared" si="7"/>
        <v>MODERATE</v>
      </c>
      <c r="H99" t="s">
        <v>16</v>
      </c>
      <c r="I99" t="s">
        <v>16</v>
      </c>
      <c r="J99" t="s">
        <v>16</v>
      </c>
      <c r="K99" t="s">
        <v>16</v>
      </c>
      <c r="L99" t="s">
        <v>16</v>
      </c>
      <c r="M99" t="s">
        <v>89</v>
      </c>
      <c r="N99">
        <v>3</v>
      </c>
    </row>
    <row r="100" spans="1:14">
      <c r="A100" s="1" t="s">
        <v>108</v>
      </c>
      <c r="B100" t="s">
        <v>20</v>
      </c>
      <c r="C100" t="str">
        <f t="shared" si="4"/>
        <v>TS</v>
      </c>
      <c r="D100">
        <v>5</v>
      </c>
      <c r="E100" t="str">
        <f t="shared" si="5"/>
        <v>Inconsistent</v>
      </c>
      <c r="F100" t="str">
        <f t="shared" si="6"/>
        <v>High</v>
      </c>
      <c r="G100" t="str">
        <f t="shared" si="7"/>
        <v>LOW</v>
      </c>
      <c r="H100" t="s">
        <v>16</v>
      </c>
      <c r="I100" t="s">
        <v>16</v>
      </c>
      <c r="J100" t="s">
        <v>16</v>
      </c>
      <c r="K100" t="s">
        <v>16</v>
      </c>
      <c r="L100" t="s">
        <v>16</v>
      </c>
      <c r="M100" t="s">
        <v>89</v>
      </c>
      <c r="N100">
        <v>3</v>
      </c>
    </row>
    <row r="101" spans="1:14">
      <c r="A101" s="1" t="s">
        <v>109</v>
      </c>
      <c r="B101" t="s">
        <v>15</v>
      </c>
      <c r="C101" t="str">
        <f t="shared" si="4"/>
        <v>OS</v>
      </c>
      <c r="D101">
        <v>4</v>
      </c>
      <c r="E101" t="str">
        <f t="shared" si="5"/>
        <v>Partially Consistent</v>
      </c>
      <c r="F101" t="str">
        <f t="shared" si="6"/>
        <v>Low</v>
      </c>
      <c r="G101" t="str">
        <f t="shared" si="7"/>
        <v>MODERATE</v>
      </c>
      <c r="H101" t="s">
        <v>16</v>
      </c>
      <c r="I101" t="s">
        <v>16</v>
      </c>
      <c r="J101" t="s">
        <v>16</v>
      </c>
      <c r="K101" t="s">
        <v>16</v>
      </c>
      <c r="L101" t="s">
        <v>16</v>
      </c>
      <c r="M101" t="s">
        <v>89</v>
      </c>
      <c r="N101">
        <v>3</v>
      </c>
    </row>
    <row r="102" spans="1:14">
      <c r="A102" s="1" t="s">
        <v>110</v>
      </c>
      <c r="B102" t="s">
        <v>15</v>
      </c>
      <c r="C102" t="str">
        <f t="shared" si="4"/>
        <v>OS</v>
      </c>
      <c r="D102">
        <v>4</v>
      </c>
      <c r="E102" t="str">
        <f t="shared" si="5"/>
        <v>Partially Consistent</v>
      </c>
      <c r="F102" t="str">
        <f t="shared" si="6"/>
        <v>Low</v>
      </c>
      <c r="G102" t="str">
        <f t="shared" si="7"/>
        <v>MODERATE</v>
      </c>
      <c r="H102" t="s">
        <v>16</v>
      </c>
      <c r="I102" t="s">
        <v>16</v>
      </c>
      <c r="J102" t="s">
        <v>16</v>
      </c>
      <c r="K102" t="s">
        <v>16</v>
      </c>
      <c r="L102" t="s">
        <v>16</v>
      </c>
      <c r="M102" t="s">
        <v>89</v>
      </c>
      <c r="N102">
        <v>3</v>
      </c>
    </row>
    <row r="103" spans="1:14">
      <c r="A103" s="1" t="s">
        <v>111</v>
      </c>
      <c r="B103" t="s">
        <v>15</v>
      </c>
      <c r="C103" t="str">
        <f t="shared" si="4"/>
        <v>OS</v>
      </c>
      <c r="D103">
        <v>4</v>
      </c>
      <c r="E103" t="str">
        <f t="shared" si="5"/>
        <v>Partially Consistent</v>
      </c>
      <c r="F103" t="str">
        <f t="shared" si="6"/>
        <v>Low</v>
      </c>
      <c r="G103" t="str">
        <f t="shared" si="7"/>
        <v>MODERATE</v>
      </c>
      <c r="H103" t="s">
        <v>16</v>
      </c>
      <c r="I103" t="s">
        <v>16</v>
      </c>
      <c r="J103" t="s">
        <v>16</v>
      </c>
      <c r="K103" t="s">
        <v>16</v>
      </c>
      <c r="L103" t="s">
        <v>16</v>
      </c>
      <c r="M103" t="s">
        <v>89</v>
      </c>
      <c r="N103">
        <v>3</v>
      </c>
    </row>
    <row r="104" spans="1:14">
      <c r="A104" s="1" t="s">
        <v>112</v>
      </c>
      <c r="B104" t="s">
        <v>34</v>
      </c>
      <c r="C104" t="str">
        <f t="shared" si="4"/>
        <v>OS</v>
      </c>
      <c r="D104">
        <v>4</v>
      </c>
      <c r="E104" t="str">
        <f t="shared" si="5"/>
        <v>Inconsistent</v>
      </c>
      <c r="F104" t="str">
        <f t="shared" si="6"/>
        <v>Low</v>
      </c>
      <c r="G104" t="str">
        <f t="shared" si="7"/>
        <v>LOW</v>
      </c>
      <c r="H104" t="s">
        <v>16</v>
      </c>
      <c r="I104" t="s">
        <v>16</v>
      </c>
      <c r="J104" t="s">
        <v>16</v>
      </c>
      <c r="K104" t="s">
        <v>16</v>
      </c>
      <c r="L104" t="s">
        <v>16</v>
      </c>
      <c r="M104" t="s">
        <v>89</v>
      </c>
      <c r="N104">
        <v>3</v>
      </c>
    </row>
    <row r="105" spans="1:14">
      <c r="A105" s="1" t="s">
        <v>113</v>
      </c>
      <c r="B105" t="s">
        <v>15</v>
      </c>
      <c r="C105" t="str">
        <f t="shared" si="4"/>
        <v>OS</v>
      </c>
      <c r="D105">
        <v>4</v>
      </c>
      <c r="E105" t="str">
        <f t="shared" si="5"/>
        <v>Partially Consistent</v>
      </c>
      <c r="F105" t="str">
        <f t="shared" si="6"/>
        <v>Low</v>
      </c>
      <c r="G105" t="str">
        <f t="shared" si="7"/>
        <v>MODERATE</v>
      </c>
      <c r="H105" t="s">
        <v>16</v>
      </c>
      <c r="I105" t="s">
        <v>16</v>
      </c>
      <c r="J105" t="s">
        <v>16</v>
      </c>
      <c r="K105" t="s">
        <v>16</v>
      </c>
      <c r="L105" t="s">
        <v>16</v>
      </c>
      <c r="M105" t="s">
        <v>89</v>
      </c>
      <c r="N105">
        <v>3</v>
      </c>
    </row>
    <row r="106" spans="1:14">
      <c r="A106" s="1" t="s">
        <v>114</v>
      </c>
      <c r="B106" t="s">
        <v>20</v>
      </c>
      <c r="C106" t="str">
        <f t="shared" si="4"/>
        <v>TS</v>
      </c>
      <c r="D106">
        <v>4</v>
      </c>
      <c r="E106" t="str">
        <f t="shared" si="5"/>
        <v>Partially Consistent</v>
      </c>
      <c r="F106" t="str">
        <f t="shared" si="6"/>
        <v>High</v>
      </c>
      <c r="G106" t="str">
        <f t="shared" si="7"/>
        <v>MODERATE</v>
      </c>
      <c r="H106" t="s">
        <v>16</v>
      </c>
      <c r="I106" t="s">
        <v>16</v>
      </c>
      <c r="J106" t="s">
        <v>16</v>
      </c>
      <c r="K106" t="s">
        <v>16</v>
      </c>
      <c r="L106" t="s">
        <v>16</v>
      </c>
      <c r="M106" t="s">
        <v>89</v>
      </c>
      <c r="N106">
        <v>3</v>
      </c>
    </row>
    <row r="107" spans="1:14">
      <c r="A107" s="1" t="s">
        <v>115</v>
      </c>
      <c r="B107" t="s">
        <v>34</v>
      </c>
      <c r="C107" t="str">
        <f t="shared" si="4"/>
        <v>OS</v>
      </c>
      <c r="D107">
        <v>4</v>
      </c>
      <c r="E107" t="str">
        <f t="shared" si="5"/>
        <v>Inconsistent</v>
      </c>
      <c r="F107" t="str">
        <f t="shared" si="6"/>
        <v>Low</v>
      </c>
      <c r="G107" t="str">
        <f t="shared" si="7"/>
        <v>LOW</v>
      </c>
      <c r="H107" t="s">
        <v>16</v>
      </c>
      <c r="I107" t="s">
        <v>16</v>
      </c>
      <c r="J107" t="s">
        <v>16</v>
      </c>
      <c r="K107" t="s">
        <v>16</v>
      </c>
      <c r="L107" t="s">
        <v>16</v>
      </c>
      <c r="M107" t="s">
        <v>89</v>
      </c>
      <c r="N107">
        <v>3</v>
      </c>
    </row>
    <row r="108" spans="1:14">
      <c r="A108" s="1" t="s">
        <v>116</v>
      </c>
      <c r="B108" t="s">
        <v>34</v>
      </c>
      <c r="C108" t="str">
        <f t="shared" si="4"/>
        <v>OS</v>
      </c>
      <c r="D108">
        <v>4</v>
      </c>
      <c r="E108" t="str">
        <f t="shared" si="5"/>
        <v>Inconsistent</v>
      </c>
      <c r="F108" t="str">
        <f t="shared" si="6"/>
        <v>Low</v>
      </c>
      <c r="G108" t="str">
        <f t="shared" si="7"/>
        <v>LOW</v>
      </c>
      <c r="H108" t="s">
        <v>16</v>
      </c>
      <c r="I108" t="s">
        <v>16</v>
      </c>
      <c r="J108" t="s">
        <v>16</v>
      </c>
      <c r="K108" t="s">
        <v>16</v>
      </c>
      <c r="L108" t="s">
        <v>16</v>
      </c>
      <c r="M108" t="s">
        <v>89</v>
      </c>
      <c r="N108">
        <v>3</v>
      </c>
    </row>
    <row r="109" spans="1:14">
      <c r="A109" s="1" t="s">
        <v>117</v>
      </c>
      <c r="B109" t="s">
        <v>34</v>
      </c>
      <c r="C109" t="str">
        <f t="shared" si="4"/>
        <v>OS</v>
      </c>
      <c r="D109">
        <v>4</v>
      </c>
      <c r="E109" t="str">
        <f t="shared" si="5"/>
        <v>Inconsistent</v>
      </c>
      <c r="F109" t="str">
        <f t="shared" si="6"/>
        <v>Low</v>
      </c>
      <c r="G109" t="str">
        <f t="shared" si="7"/>
        <v>LOW</v>
      </c>
      <c r="H109" t="s">
        <v>16</v>
      </c>
      <c r="I109" t="s">
        <v>16</v>
      </c>
      <c r="J109" t="s">
        <v>16</v>
      </c>
      <c r="K109" t="s">
        <v>16</v>
      </c>
      <c r="L109" t="s">
        <v>16</v>
      </c>
      <c r="M109" t="s">
        <v>89</v>
      </c>
      <c r="N109">
        <v>3</v>
      </c>
    </row>
    <row r="110" spans="1:14">
      <c r="A110" s="1" t="s">
        <v>118</v>
      </c>
      <c r="B110" t="s">
        <v>34</v>
      </c>
      <c r="C110" t="str">
        <f t="shared" si="4"/>
        <v>OS</v>
      </c>
      <c r="D110">
        <v>4</v>
      </c>
      <c r="E110" t="str">
        <f t="shared" si="5"/>
        <v>Inconsistent</v>
      </c>
      <c r="F110" t="str">
        <f t="shared" si="6"/>
        <v>Low</v>
      </c>
      <c r="G110" t="str">
        <f t="shared" si="7"/>
        <v>LOW</v>
      </c>
      <c r="H110" t="s">
        <v>16</v>
      </c>
      <c r="I110" t="s">
        <v>16</v>
      </c>
      <c r="J110" t="s">
        <v>16</v>
      </c>
      <c r="K110" t="s">
        <v>16</v>
      </c>
      <c r="L110" t="s">
        <v>16</v>
      </c>
      <c r="M110" t="s">
        <v>89</v>
      </c>
      <c r="N110">
        <v>3</v>
      </c>
    </row>
    <row r="111" spans="1:14">
      <c r="A111" s="1" t="s">
        <v>119</v>
      </c>
      <c r="B111" t="s">
        <v>15</v>
      </c>
      <c r="C111" t="str">
        <f t="shared" si="4"/>
        <v>OS</v>
      </c>
      <c r="D111">
        <v>4</v>
      </c>
      <c r="E111" t="str">
        <f t="shared" si="5"/>
        <v>Partially Consistent</v>
      </c>
      <c r="F111" t="str">
        <f t="shared" si="6"/>
        <v>Low</v>
      </c>
      <c r="G111" t="str">
        <f t="shared" si="7"/>
        <v>MODERATE</v>
      </c>
      <c r="H111" t="s">
        <v>16</v>
      </c>
      <c r="I111" t="s">
        <v>16</v>
      </c>
      <c r="J111" t="s">
        <v>16</v>
      </c>
      <c r="K111" t="s">
        <v>16</v>
      </c>
      <c r="L111" t="s">
        <v>16</v>
      </c>
      <c r="M111" t="s">
        <v>89</v>
      </c>
      <c r="N111">
        <v>3</v>
      </c>
    </row>
    <row r="112" ht="30" spans="1:14">
      <c r="A112" s="1" t="s">
        <v>120</v>
      </c>
      <c r="B112" t="s">
        <v>15</v>
      </c>
      <c r="C112" t="str">
        <f t="shared" si="4"/>
        <v>OS</v>
      </c>
      <c r="D112">
        <v>4</v>
      </c>
      <c r="E112" t="str">
        <f t="shared" si="5"/>
        <v>Partially Consistent</v>
      </c>
      <c r="F112" t="str">
        <f t="shared" si="6"/>
        <v>Low</v>
      </c>
      <c r="G112" t="str">
        <f t="shared" si="7"/>
        <v>MODERATE</v>
      </c>
      <c r="H112" t="s">
        <v>16</v>
      </c>
      <c r="I112" t="s">
        <v>16</v>
      </c>
      <c r="J112" t="s">
        <v>16</v>
      </c>
      <c r="K112" t="s">
        <v>16</v>
      </c>
      <c r="L112" t="s">
        <v>16</v>
      </c>
      <c r="M112" t="s">
        <v>89</v>
      </c>
      <c r="N112">
        <v>3</v>
      </c>
    </row>
    <row r="113" spans="1:14">
      <c r="A113" s="1" t="s">
        <v>121</v>
      </c>
      <c r="B113" t="s">
        <v>34</v>
      </c>
      <c r="C113" t="str">
        <f t="shared" si="4"/>
        <v>OS</v>
      </c>
      <c r="D113">
        <v>4</v>
      </c>
      <c r="E113" t="str">
        <f t="shared" si="5"/>
        <v>Inconsistent</v>
      </c>
      <c r="F113" t="str">
        <f t="shared" si="6"/>
        <v>Low</v>
      </c>
      <c r="G113" t="str">
        <f t="shared" si="7"/>
        <v>LOW</v>
      </c>
      <c r="H113" t="s">
        <v>16</v>
      </c>
      <c r="I113" t="s">
        <v>16</v>
      </c>
      <c r="J113" t="s">
        <v>16</v>
      </c>
      <c r="K113" t="s">
        <v>16</v>
      </c>
      <c r="L113" t="s">
        <v>16</v>
      </c>
      <c r="M113" t="s">
        <v>89</v>
      </c>
      <c r="N113">
        <v>3</v>
      </c>
    </row>
    <row r="114" spans="1:14">
      <c r="A114" s="1" t="s">
        <v>122</v>
      </c>
      <c r="B114" t="s">
        <v>34</v>
      </c>
      <c r="C114" t="str">
        <f t="shared" si="4"/>
        <v>OS</v>
      </c>
      <c r="D114">
        <v>4</v>
      </c>
      <c r="E114" t="str">
        <f t="shared" si="5"/>
        <v>Inconsistent</v>
      </c>
      <c r="F114" t="str">
        <f t="shared" si="6"/>
        <v>Low</v>
      </c>
      <c r="G114" t="str">
        <f t="shared" si="7"/>
        <v>LOW</v>
      </c>
      <c r="H114" t="s">
        <v>16</v>
      </c>
      <c r="I114" t="s">
        <v>16</v>
      </c>
      <c r="J114" t="s">
        <v>16</v>
      </c>
      <c r="K114" t="s">
        <v>16</v>
      </c>
      <c r="L114" t="s">
        <v>16</v>
      </c>
      <c r="M114" t="s">
        <v>89</v>
      </c>
      <c r="N114">
        <v>3</v>
      </c>
    </row>
    <row r="115" ht="30" spans="1:14">
      <c r="A115" s="1" t="s">
        <v>123</v>
      </c>
      <c r="B115" t="s">
        <v>34</v>
      </c>
      <c r="C115" t="str">
        <f t="shared" si="4"/>
        <v>OS</v>
      </c>
      <c r="D115">
        <v>4</v>
      </c>
      <c r="E115" t="str">
        <f t="shared" si="5"/>
        <v>Inconsistent</v>
      </c>
      <c r="F115" t="str">
        <f t="shared" si="6"/>
        <v>Low</v>
      </c>
      <c r="G115" t="str">
        <f t="shared" si="7"/>
        <v>LOW</v>
      </c>
      <c r="H115" t="s">
        <v>16</v>
      </c>
      <c r="I115" t="s">
        <v>16</v>
      </c>
      <c r="J115" t="s">
        <v>16</v>
      </c>
      <c r="K115" t="s">
        <v>16</v>
      </c>
      <c r="L115" t="s">
        <v>16</v>
      </c>
      <c r="M115" t="s">
        <v>89</v>
      </c>
      <c r="N115">
        <v>3</v>
      </c>
    </row>
    <row r="116" spans="1:14">
      <c r="A116" s="1" t="s">
        <v>124</v>
      </c>
      <c r="B116" t="s">
        <v>15</v>
      </c>
      <c r="C116" t="str">
        <f t="shared" si="4"/>
        <v>OS</v>
      </c>
      <c r="D116">
        <v>4</v>
      </c>
      <c r="E116" t="str">
        <f t="shared" si="5"/>
        <v>Partially Consistent</v>
      </c>
      <c r="F116" t="str">
        <f t="shared" si="6"/>
        <v>Low</v>
      </c>
      <c r="G116" t="str">
        <f t="shared" si="7"/>
        <v>MODERATE</v>
      </c>
      <c r="H116" t="s">
        <v>16</v>
      </c>
      <c r="I116" t="s">
        <v>16</v>
      </c>
      <c r="J116" t="s">
        <v>16</v>
      </c>
      <c r="K116" t="s">
        <v>16</v>
      </c>
      <c r="L116" t="s">
        <v>16</v>
      </c>
      <c r="M116" t="s">
        <v>89</v>
      </c>
      <c r="N116">
        <v>3</v>
      </c>
    </row>
    <row r="117" spans="1:14">
      <c r="A117" s="1" t="s">
        <v>40</v>
      </c>
      <c r="B117" t="s">
        <v>34</v>
      </c>
      <c r="C117" t="str">
        <f t="shared" si="4"/>
        <v>OS</v>
      </c>
      <c r="D117">
        <v>4</v>
      </c>
      <c r="E117" t="str">
        <f t="shared" si="5"/>
        <v>Inconsistent</v>
      </c>
      <c r="F117" t="str">
        <f t="shared" si="6"/>
        <v>Low</v>
      </c>
      <c r="G117" t="str">
        <f t="shared" si="7"/>
        <v>LOW</v>
      </c>
      <c r="H117" t="s">
        <v>16</v>
      </c>
      <c r="I117" t="s">
        <v>16</v>
      </c>
      <c r="J117" t="s">
        <v>16</v>
      </c>
      <c r="K117" t="s">
        <v>16</v>
      </c>
      <c r="L117" t="s">
        <v>16</v>
      </c>
      <c r="M117" t="s">
        <v>89</v>
      </c>
      <c r="N117">
        <v>3</v>
      </c>
    </row>
    <row r="118" spans="1:14">
      <c r="A118" s="1" t="s">
        <v>124</v>
      </c>
      <c r="B118" t="s">
        <v>15</v>
      </c>
      <c r="C118" t="str">
        <f t="shared" si="4"/>
        <v>OS</v>
      </c>
      <c r="D118">
        <v>4</v>
      </c>
      <c r="E118" t="str">
        <f t="shared" si="5"/>
        <v>Partially Consistent</v>
      </c>
      <c r="F118" t="str">
        <f t="shared" si="6"/>
        <v>Low</v>
      </c>
      <c r="G118" t="str">
        <f t="shared" si="7"/>
        <v>MODERATE</v>
      </c>
      <c r="H118" t="s">
        <v>16</v>
      </c>
      <c r="I118" t="s">
        <v>16</v>
      </c>
      <c r="J118" t="s">
        <v>16</v>
      </c>
      <c r="K118" t="s">
        <v>16</v>
      </c>
      <c r="L118" t="s">
        <v>16</v>
      </c>
      <c r="M118" t="s">
        <v>89</v>
      </c>
      <c r="N118">
        <v>3</v>
      </c>
    </row>
    <row r="119" spans="1:14">
      <c r="A119" s="1" t="s">
        <v>125</v>
      </c>
      <c r="B119" t="s">
        <v>34</v>
      </c>
      <c r="C119" t="str">
        <f t="shared" si="4"/>
        <v>OS</v>
      </c>
      <c r="D119">
        <v>4</v>
      </c>
      <c r="E119" t="str">
        <f t="shared" si="5"/>
        <v>Inconsistent</v>
      </c>
      <c r="F119" t="str">
        <f t="shared" si="6"/>
        <v>Low</v>
      </c>
      <c r="G119" t="str">
        <f t="shared" si="7"/>
        <v>LOW</v>
      </c>
      <c r="H119" t="s">
        <v>16</v>
      </c>
      <c r="I119" t="s">
        <v>16</v>
      </c>
      <c r="J119" t="s">
        <v>16</v>
      </c>
      <c r="K119" t="s">
        <v>16</v>
      </c>
      <c r="L119" t="s">
        <v>16</v>
      </c>
      <c r="M119" t="s">
        <v>89</v>
      </c>
      <c r="N119">
        <v>3</v>
      </c>
    </row>
    <row r="120" spans="1:14">
      <c r="A120" s="1" t="s">
        <v>126</v>
      </c>
      <c r="B120" t="s">
        <v>15</v>
      </c>
      <c r="C120" t="str">
        <f t="shared" si="4"/>
        <v>OS</v>
      </c>
      <c r="D120">
        <v>4</v>
      </c>
      <c r="E120" t="str">
        <f t="shared" si="5"/>
        <v>Partially Consistent</v>
      </c>
      <c r="F120" t="str">
        <f t="shared" si="6"/>
        <v>Low</v>
      </c>
      <c r="G120" t="str">
        <f t="shared" si="7"/>
        <v>MODERATE</v>
      </c>
      <c r="H120" t="s">
        <v>16</v>
      </c>
      <c r="I120" t="s">
        <v>16</v>
      </c>
      <c r="J120" t="s">
        <v>16</v>
      </c>
      <c r="K120" t="s">
        <v>16</v>
      </c>
      <c r="L120" t="s">
        <v>16</v>
      </c>
      <c r="M120" t="s">
        <v>89</v>
      </c>
      <c r="N120">
        <v>3</v>
      </c>
    </row>
    <row r="121" spans="1:14">
      <c r="A121" s="1" t="s">
        <v>127</v>
      </c>
      <c r="B121" t="s">
        <v>20</v>
      </c>
      <c r="C121" t="str">
        <f t="shared" si="4"/>
        <v>TS</v>
      </c>
      <c r="D121">
        <v>2</v>
      </c>
      <c r="E121" t="str">
        <f t="shared" si="5"/>
        <v>Partially Consistent</v>
      </c>
      <c r="F121" t="str">
        <f t="shared" si="6"/>
        <v>High</v>
      </c>
      <c r="G121" t="str">
        <f t="shared" si="7"/>
        <v>MODERATE</v>
      </c>
      <c r="H121" t="s">
        <v>16</v>
      </c>
      <c r="I121" t="s">
        <v>16</v>
      </c>
      <c r="J121" t="s">
        <v>16</v>
      </c>
      <c r="K121" t="s">
        <v>16</v>
      </c>
      <c r="L121" t="s">
        <v>16</v>
      </c>
      <c r="M121" t="s">
        <v>89</v>
      </c>
      <c r="N121">
        <v>3</v>
      </c>
    </row>
    <row r="122" spans="1:14">
      <c r="A122" s="1" t="s">
        <v>128</v>
      </c>
      <c r="B122" t="s">
        <v>34</v>
      </c>
      <c r="C122" t="str">
        <f t="shared" si="4"/>
        <v>OS</v>
      </c>
      <c r="D122">
        <v>2</v>
      </c>
      <c r="E122" t="str">
        <f t="shared" si="5"/>
        <v>Partially Consistent</v>
      </c>
      <c r="F122" t="str">
        <f t="shared" si="6"/>
        <v>Low</v>
      </c>
      <c r="G122" t="str">
        <f t="shared" si="7"/>
        <v>MODERATE</v>
      </c>
      <c r="H122" t="s">
        <v>16</v>
      </c>
      <c r="I122" t="s">
        <v>16</v>
      </c>
      <c r="J122" t="s">
        <v>16</v>
      </c>
      <c r="K122" t="s">
        <v>16</v>
      </c>
      <c r="L122" t="s">
        <v>16</v>
      </c>
      <c r="M122" t="s">
        <v>89</v>
      </c>
      <c r="N122">
        <v>3</v>
      </c>
    </row>
    <row r="123" ht="30" spans="1:14">
      <c r="A123" s="1" t="s">
        <v>129</v>
      </c>
      <c r="B123" t="s">
        <v>34</v>
      </c>
      <c r="C123" t="str">
        <f t="shared" si="4"/>
        <v>OS</v>
      </c>
      <c r="D123">
        <v>2</v>
      </c>
      <c r="E123" t="str">
        <f t="shared" si="5"/>
        <v>Partially Consistent</v>
      </c>
      <c r="F123" t="str">
        <f t="shared" si="6"/>
        <v>Low</v>
      </c>
      <c r="G123" t="str">
        <f t="shared" si="7"/>
        <v>MODERATE</v>
      </c>
      <c r="H123" t="s">
        <v>16</v>
      </c>
      <c r="I123" t="s">
        <v>16</v>
      </c>
      <c r="J123" t="s">
        <v>16</v>
      </c>
      <c r="K123" t="s">
        <v>16</v>
      </c>
      <c r="L123" t="s">
        <v>16</v>
      </c>
      <c r="M123" t="s">
        <v>89</v>
      </c>
      <c r="N123">
        <v>3</v>
      </c>
    </row>
    <row r="124" spans="1:14">
      <c r="A124" s="1" t="s">
        <v>130</v>
      </c>
      <c r="B124" t="s">
        <v>20</v>
      </c>
      <c r="C124" t="str">
        <f t="shared" si="4"/>
        <v>TS</v>
      </c>
      <c r="D124">
        <v>2</v>
      </c>
      <c r="E124" t="str">
        <f t="shared" si="5"/>
        <v>Partially Consistent</v>
      </c>
      <c r="F124" t="str">
        <f t="shared" si="6"/>
        <v>High</v>
      </c>
      <c r="G124" t="str">
        <f t="shared" si="7"/>
        <v>MODERATE</v>
      </c>
      <c r="H124" t="s">
        <v>16</v>
      </c>
      <c r="I124" t="s">
        <v>16</v>
      </c>
      <c r="J124" t="s">
        <v>16</v>
      </c>
      <c r="K124" t="s">
        <v>16</v>
      </c>
      <c r="L124" t="s">
        <v>16</v>
      </c>
      <c r="M124" t="s">
        <v>89</v>
      </c>
      <c r="N124">
        <v>3</v>
      </c>
    </row>
    <row r="125" spans="1:14">
      <c r="A125" s="1" t="s">
        <v>131</v>
      </c>
      <c r="B125" t="s">
        <v>20</v>
      </c>
      <c r="C125" t="str">
        <f t="shared" si="4"/>
        <v>TS</v>
      </c>
      <c r="D125">
        <v>2</v>
      </c>
      <c r="E125" t="str">
        <f t="shared" si="5"/>
        <v>Partially Consistent</v>
      </c>
      <c r="F125" t="str">
        <f t="shared" si="6"/>
        <v>High</v>
      </c>
      <c r="G125" t="str">
        <f t="shared" si="7"/>
        <v>MODERATE</v>
      </c>
      <c r="H125" t="s">
        <v>16</v>
      </c>
      <c r="I125" t="s">
        <v>16</v>
      </c>
      <c r="J125" t="s">
        <v>16</v>
      </c>
      <c r="K125" t="s">
        <v>16</v>
      </c>
      <c r="L125" t="s">
        <v>16</v>
      </c>
      <c r="M125" t="s">
        <v>89</v>
      </c>
      <c r="N125">
        <v>3</v>
      </c>
    </row>
    <row r="126" ht="45" spans="1:14">
      <c r="A126" s="1" t="s">
        <v>132</v>
      </c>
      <c r="B126" t="s">
        <v>20</v>
      </c>
      <c r="C126" t="str">
        <f t="shared" si="4"/>
        <v>TS</v>
      </c>
      <c r="D126">
        <v>2</v>
      </c>
      <c r="E126" t="str">
        <f t="shared" si="5"/>
        <v>Partially Consistent</v>
      </c>
      <c r="F126" t="str">
        <f t="shared" si="6"/>
        <v>High</v>
      </c>
      <c r="G126" t="str">
        <f t="shared" si="7"/>
        <v>MODERATE</v>
      </c>
      <c r="H126" t="s">
        <v>16</v>
      </c>
      <c r="I126" t="s">
        <v>16</v>
      </c>
      <c r="J126" t="s">
        <v>16</v>
      </c>
      <c r="K126" t="s">
        <v>16</v>
      </c>
      <c r="L126" t="s">
        <v>16</v>
      </c>
      <c r="M126" t="s">
        <v>89</v>
      </c>
      <c r="N126">
        <v>3</v>
      </c>
    </row>
    <row r="127" spans="1:14">
      <c r="A127" s="1" t="s">
        <v>133</v>
      </c>
      <c r="B127" t="s">
        <v>34</v>
      </c>
      <c r="C127" t="str">
        <f t="shared" si="4"/>
        <v>OS</v>
      </c>
      <c r="D127">
        <v>2</v>
      </c>
      <c r="E127" t="str">
        <f t="shared" si="5"/>
        <v>Partially Consistent</v>
      </c>
      <c r="F127" t="str">
        <f t="shared" si="6"/>
        <v>Low</v>
      </c>
      <c r="G127" t="str">
        <f t="shared" si="7"/>
        <v>MODERATE</v>
      </c>
      <c r="H127" t="s">
        <v>16</v>
      </c>
      <c r="I127" t="s">
        <v>16</v>
      </c>
      <c r="J127" t="s">
        <v>16</v>
      </c>
      <c r="K127" t="s">
        <v>16</v>
      </c>
      <c r="L127" t="s">
        <v>16</v>
      </c>
      <c r="M127" t="s">
        <v>89</v>
      </c>
      <c r="N127">
        <v>3</v>
      </c>
    </row>
    <row r="128" spans="1:14">
      <c r="A128" s="1" t="s">
        <v>134</v>
      </c>
      <c r="B128" t="s">
        <v>20</v>
      </c>
      <c r="C128" t="str">
        <f t="shared" si="4"/>
        <v>TS</v>
      </c>
      <c r="D128">
        <v>2</v>
      </c>
      <c r="E128" t="str">
        <f t="shared" si="5"/>
        <v>Partially Consistent</v>
      </c>
      <c r="F128" t="str">
        <f t="shared" si="6"/>
        <v>High</v>
      </c>
      <c r="G128" t="str">
        <f t="shared" si="7"/>
        <v>MODERATE</v>
      </c>
      <c r="H128" t="s">
        <v>16</v>
      </c>
      <c r="I128" t="s">
        <v>16</v>
      </c>
      <c r="J128" t="s">
        <v>16</v>
      </c>
      <c r="K128" t="s">
        <v>16</v>
      </c>
      <c r="L128" t="s">
        <v>16</v>
      </c>
      <c r="M128" t="s">
        <v>89</v>
      </c>
      <c r="N128">
        <v>3</v>
      </c>
    </row>
    <row r="129" ht="30" spans="1:14">
      <c r="A129" s="1" t="s">
        <v>135</v>
      </c>
      <c r="B129" t="s">
        <v>34</v>
      </c>
      <c r="C129" t="str">
        <f t="shared" si="4"/>
        <v>OS</v>
      </c>
      <c r="D129">
        <v>2</v>
      </c>
      <c r="E129" t="str">
        <f t="shared" si="5"/>
        <v>Partially Consistent</v>
      </c>
      <c r="F129" t="str">
        <f t="shared" si="6"/>
        <v>Low</v>
      </c>
      <c r="G129" t="str">
        <f t="shared" si="7"/>
        <v>MODERATE</v>
      </c>
      <c r="H129" t="s">
        <v>16</v>
      </c>
      <c r="I129" t="s">
        <v>16</v>
      </c>
      <c r="J129" t="s">
        <v>16</v>
      </c>
      <c r="K129" t="s">
        <v>16</v>
      </c>
      <c r="L129" t="s">
        <v>16</v>
      </c>
      <c r="M129" t="s">
        <v>89</v>
      </c>
      <c r="N129">
        <v>3</v>
      </c>
    </row>
    <row r="130" spans="1:14">
      <c r="A130" s="1" t="s">
        <v>136</v>
      </c>
      <c r="B130" t="s">
        <v>34</v>
      </c>
      <c r="C130" t="str">
        <f t="shared" ref="C130:C179" si="8">IF(B130="NEUTRAL","TS","OS")</f>
        <v>OS</v>
      </c>
      <c r="D130">
        <v>2</v>
      </c>
      <c r="E130" t="str">
        <f t="shared" ref="E130:E179" si="9">IF(C130="TS",IF(D130=3,"Consistent",IF(OR(D130=2,D130=4),"Partially Consistent","Inconsistent")),IF(D130=3,"Inconsistent",IF(AND(D130=5,B130="POSITIVE"),"Consistent",IF(AND(D130=1,B130="NEGATIVE"),"Consistent",IF(AND(D130=4,B130="POSITIVE"),"Partially Consistent",IF(AND(D130=2,B130="NEGATIVE"),"Partially Consistent","Inconsistent"))))))</f>
        <v>Partially Consistent</v>
      </c>
      <c r="F130" t="str">
        <f t="shared" ref="F130:F179" si="10">IF(C130="TS","High","Low")</f>
        <v>Low</v>
      </c>
      <c r="G130" t="str">
        <f t="shared" ref="G130:G179" si="11">IF(AND(B130="NEUTRAL",F130="Low"),"LOW",IF(AND(C130="TS",F130="High",D130=3),"HIGH",IF(AND(C130="TS",F130="High",OR(D130=2,D130=4)),"MODERATE",IF(AND(C130="TS",F130="High",OR(D130=1,D130=5)),"LOW",IF(AND(C130="OS",E130="Consistent",OR(D130=1,D130=5)),"MODERATE",IF(AND(C130="OS",E130="Partially Consistent",OR(D130=2,D130=4)),"MODERATE","LOW"))))))</f>
        <v>MODERATE</v>
      </c>
      <c r="H130" t="s">
        <v>16</v>
      </c>
      <c r="I130" t="s">
        <v>16</v>
      </c>
      <c r="J130" t="s">
        <v>16</v>
      </c>
      <c r="K130" t="s">
        <v>16</v>
      </c>
      <c r="L130" t="s">
        <v>16</v>
      </c>
      <c r="M130" t="s">
        <v>89</v>
      </c>
      <c r="N130">
        <v>3</v>
      </c>
    </row>
    <row r="131" spans="1:14">
      <c r="A131" s="1" t="s">
        <v>137</v>
      </c>
      <c r="B131" t="s">
        <v>34</v>
      </c>
      <c r="C131" t="str">
        <f t="shared" si="8"/>
        <v>OS</v>
      </c>
      <c r="D131">
        <v>2</v>
      </c>
      <c r="E131" t="str">
        <f t="shared" si="9"/>
        <v>Partially Consistent</v>
      </c>
      <c r="F131" t="str">
        <f t="shared" si="10"/>
        <v>Low</v>
      </c>
      <c r="G131" t="str">
        <f t="shared" si="11"/>
        <v>MODERATE</v>
      </c>
      <c r="H131" t="s">
        <v>16</v>
      </c>
      <c r="I131" t="s">
        <v>16</v>
      </c>
      <c r="J131" t="s">
        <v>16</v>
      </c>
      <c r="K131" t="s">
        <v>16</v>
      </c>
      <c r="L131" t="s">
        <v>16</v>
      </c>
      <c r="M131" t="s">
        <v>89</v>
      </c>
      <c r="N131">
        <v>3</v>
      </c>
    </row>
    <row r="132" ht="30" spans="1:14">
      <c r="A132" s="1" t="s">
        <v>138</v>
      </c>
      <c r="B132" t="s">
        <v>34</v>
      </c>
      <c r="C132" t="str">
        <f t="shared" si="8"/>
        <v>OS</v>
      </c>
      <c r="D132">
        <v>1</v>
      </c>
      <c r="E132" t="str">
        <f t="shared" si="9"/>
        <v>Consistent</v>
      </c>
      <c r="F132" t="str">
        <f t="shared" si="10"/>
        <v>Low</v>
      </c>
      <c r="G132" t="str">
        <f t="shared" si="11"/>
        <v>MODERATE</v>
      </c>
      <c r="H132" t="s">
        <v>16</v>
      </c>
      <c r="I132" t="s">
        <v>16</v>
      </c>
      <c r="J132" t="s">
        <v>16</v>
      </c>
      <c r="K132" t="s">
        <v>16</v>
      </c>
      <c r="L132" t="s">
        <v>16</v>
      </c>
      <c r="M132" t="s">
        <v>89</v>
      </c>
      <c r="N132">
        <v>3</v>
      </c>
    </row>
    <row r="133" spans="1:14">
      <c r="A133" s="1" t="s">
        <v>139</v>
      </c>
      <c r="B133" t="s">
        <v>34</v>
      </c>
      <c r="C133" t="str">
        <f t="shared" si="8"/>
        <v>OS</v>
      </c>
      <c r="D133">
        <v>1</v>
      </c>
      <c r="E133" t="str">
        <f t="shared" si="9"/>
        <v>Consistent</v>
      </c>
      <c r="F133" t="str">
        <f t="shared" si="10"/>
        <v>Low</v>
      </c>
      <c r="G133" t="str">
        <f t="shared" si="11"/>
        <v>MODERATE</v>
      </c>
      <c r="H133" t="s">
        <v>16</v>
      </c>
      <c r="I133" t="s">
        <v>16</v>
      </c>
      <c r="J133" t="s">
        <v>16</v>
      </c>
      <c r="K133" t="s">
        <v>16</v>
      </c>
      <c r="L133" t="s">
        <v>16</v>
      </c>
      <c r="M133" t="s">
        <v>89</v>
      </c>
      <c r="N133">
        <v>3</v>
      </c>
    </row>
    <row r="134" ht="30" spans="1:14">
      <c r="A134" s="1" t="s">
        <v>140</v>
      </c>
      <c r="B134" t="s">
        <v>34</v>
      </c>
      <c r="C134" t="str">
        <f t="shared" si="8"/>
        <v>OS</v>
      </c>
      <c r="D134">
        <v>1</v>
      </c>
      <c r="E134" t="str">
        <f t="shared" si="9"/>
        <v>Consistent</v>
      </c>
      <c r="F134" t="str">
        <f t="shared" si="10"/>
        <v>Low</v>
      </c>
      <c r="G134" t="str">
        <f t="shared" si="11"/>
        <v>MODERATE</v>
      </c>
      <c r="H134" t="s">
        <v>16</v>
      </c>
      <c r="I134" t="s">
        <v>16</v>
      </c>
      <c r="J134" t="s">
        <v>16</v>
      </c>
      <c r="K134" t="s">
        <v>16</v>
      </c>
      <c r="L134" t="s">
        <v>16</v>
      </c>
      <c r="M134" t="s">
        <v>89</v>
      </c>
      <c r="N134">
        <v>3</v>
      </c>
    </row>
    <row r="135" spans="1:14">
      <c r="A135" s="1" t="s">
        <v>141</v>
      </c>
      <c r="B135" t="s">
        <v>20</v>
      </c>
      <c r="C135" t="str">
        <f t="shared" si="8"/>
        <v>TS</v>
      </c>
      <c r="D135">
        <v>1</v>
      </c>
      <c r="E135" t="str">
        <f t="shared" si="9"/>
        <v>Inconsistent</v>
      </c>
      <c r="F135" t="str">
        <f t="shared" si="10"/>
        <v>High</v>
      </c>
      <c r="G135" t="str">
        <f t="shared" si="11"/>
        <v>LOW</v>
      </c>
      <c r="H135" t="s">
        <v>16</v>
      </c>
      <c r="I135" t="s">
        <v>16</v>
      </c>
      <c r="J135" t="s">
        <v>16</v>
      </c>
      <c r="K135" t="s">
        <v>16</v>
      </c>
      <c r="L135" t="s">
        <v>16</v>
      </c>
      <c r="M135" t="s">
        <v>89</v>
      </c>
      <c r="N135">
        <v>3</v>
      </c>
    </row>
    <row r="136" spans="1:14">
      <c r="A136" s="1" t="s">
        <v>142</v>
      </c>
      <c r="B136" t="s">
        <v>34</v>
      </c>
      <c r="C136" t="str">
        <f t="shared" si="8"/>
        <v>OS</v>
      </c>
      <c r="D136">
        <v>1</v>
      </c>
      <c r="E136" t="str">
        <f t="shared" si="9"/>
        <v>Consistent</v>
      </c>
      <c r="F136" t="str">
        <f t="shared" si="10"/>
        <v>Low</v>
      </c>
      <c r="G136" t="str">
        <f t="shared" si="11"/>
        <v>MODERATE</v>
      </c>
      <c r="H136" t="s">
        <v>16</v>
      </c>
      <c r="I136" t="s">
        <v>16</v>
      </c>
      <c r="J136" t="s">
        <v>16</v>
      </c>
      <c r="K136" t="s">
        <v>16</v>
      </c>
      <c r="L136" t="s">
        <v>16</v>
      </c>
      <c r="M136" t="s">
        <v>89</v>
      </c>
      <c r="N136">
        <v>3</v>
      </c>
    </row>
    <row r="137" ht="30" spans="1:14">
      <c r="A137" s="1" t="s">
        <v>143</v>
      </c>
      <c r="B137" t="s">
        <v>20</v>
      </c>
      <c r="C137" t="str">
        <f t="shared" si="8"/>
        <v>TS</v>
      </c>
      <c r="D137">
        <v>1</v>
      </c>
      <c r="E137" t="str">
        <f t="shared" si="9"/>
        <v>Inconsistent</v>
      </c>
      <c r="F137" t="str">
        <f t="shared" si="10"/>
        <v>High</v>
      </c>
      <c r="G137" t="str">
        <f t="shared" si="11"/>
        <v>LOW</v>
      </c>
      <c r="H137" t="s">
        <v>16</v>
      </c>
      <c r="I137" t="s">
        <v>16</v>
      </c>
      <c r="J137" t="s">
        <v>16</v>
      </c>
      <c r="K137" t="s">
        <v>16</v>
      </c>
      <c r="L137" t="s">
        <v>16</v>
      </c>
      <c r="M137" t="s">
        <v>89</v>
      </c>
      <c r="N137">
        <v>3</v>
      </c>
    </row>
    <row r="138" ht="30" spans="1:14">
      <c r="A138" s="1" t="s">
        <v>144</v>
      </c>
      <c r="B138" t="s">
        <v>34</v>
      </c>
      <c r="C138" t="str">
        <f t="shared" si="8"/>
        <v>OS</v>
      </c>
      <c r="D138">
        <v>1</v>
      </c>
      <c r="E138" t="str">
        <f t="shared" si="9"/>
        <v>Consistent</v>
      </c>
      <c r="F138" t="str">
        <f t="shared" si="10"/>
        <v>Low</v>
      </c>
      <c r="G138" t="str">
        <f t="shared" si="11"/>
        <v>MODERATE</v>
      </c>
      <c r="H138" t="s">
        <v>16</v>
      </c>
      <c r="I138" t="s">
        <v>16</v>
      </c>
      <c r="J138" t="s">
        <v>16</v>
      </c>
      <c r="K138" t="s">
        <v>16</v>
      </c>
      <c r="L138" t="s">
        <v>16</v>
      </c>
      <c r="M138" t="s">
        <v>89</v>
      </c>
      <c r="N138">
        <v>3</v>
      </c>
    </row>
    <row r="139" spans="1:14">
      <c r="A139" s="1" t="s">
        <v>145</v>
      </c>
      <c r="B139" t="s">
        <v>34</v>
      </c>
      <c r="C139" t="str">
        <f t="shared" si="8"/>
        <v>OS</v>
      </c>
      <c r="D139">
        <v>1</v>
      </c>
      <c r="E139" t="str">
        <f t="shared" si="9"/>
        <v>Consistent</v>
      </c>
      <c r="F139" t="str">
        <f t="shared" si="10"/>
        <v>Low</v>
      </c>
      <c r="G139" t="str">
        <f t="shared" si="11"/>
        <v>MODERATE</v>
      </c>
      <c r="H139" t="s">
        <v>16</v>
      </c>
      <c r="I139" t="s">
        <v>16</v>
      </c>
      <c r="J139" t="s">
        <v>16</v>
      </c>
      <c r="K139" t="s">
        <v>16</v>
      </c>
      <c r="L139" t="s">
        <v>16</v>
      </c>
      <c r="M139" t="s">
        <v>89</v>
      </c>
      <c r="N139">
        <v>3</v>
      </c>
    </row>
    <row r="140" spans="1:14">
      <c r="A140" s="1" t="s">
        <v>146</v>
      </c>
      <c r="B140" t="s">
        <v>15</v>
      </c>
      <c r="C140" t="str">
        <f t="shared" si="8"/>
        <v>OS</v>
      </c>
      <c r="D140">
        <v>1</v>
      </c>
      <c r="E140" t="str">
        <f t="shared" si="9"/>
        <v>Inconsistent</v>
      </c>
      <c r="F140" t="str">
        <f t="shared" si="10"/>
        <v>Low</v>
      </c>
      <c r="G140" t="str">
        <f t="shared" si="11"/>
        <v>LOW</v>
      </c>
      <c r="H140" t="s">
        <v>16</v>
      </c>
      <c r="I140" t="s">
        <v>16</v>
      </c>
      <c r="J140" t="s">
        <v>16</v>
      </c>
      <c r="K140" t="s">
        <v>16</v>
      </c>
      <c r="L140" t="s">
        <v>16</v>
      </c>
      <c r="M140" t="s">
        <v>89</v>
      </c>
      <c r="N140">
        <v>3</v>
      </c>
    </row>
    <row r="141" ht="30" spans="1:14">
      <c r="A141" s="1" t="s">
        <v>138</v>
      </c>
      <c r="B141" t="s">
        <v>34</v>
      </c>
      <c r="C141" t="str">
        <f t="shared" si="8"/>
        <v>OS</v>
      </c>
      <c r="D141">
        <v>1</v>
      </c>
      <c r="E141" t="str">
        <f t="shared" si="9"/>
        <v>Consistent</v>
      </c>
      <c r="F141" t="str">
        <f t="shared" si="10"/>
        <v>Low</v>
      </c>
      <c r="G141" t="str">
        <f t="shared" si="11"/>
        <v>MODERATE</v>
      </c>
      <c r="H141" t="s">
        <v>16</v>
      </c>
      <c r="I141" t="s">
        <v>16</v>
      </c>
      <c r="J141" t="s">
        <v>16</v>
      </c>
      <c r="K141" t="s">
        <v>16</v>
      </c>
      <c r="L141" t="s">
        <v>16</v>
      </c>
      <c r="M141" t="s">
        <v>89</v>
      </c>
      <c r="N141">
        <v>3</v>
      </c>
    </row>
    <row r="142" spans="1:14">
      <c r="A142" s="1" t="s">
        <v>139</v>
      </c>
      <c r="B142" t="s">
        <v>34</v>
      </c>
      <c r="C142" t="str">
        <f t="shared" si="8"/>
        <v>OS</v>
      </c>
      <c r="D142">
        <v>1</v>
      </c>
      <c r="E142" t="str">
        <f t="shared" si="9"/>
        <v>Consistent</v>
      </c>
      <c r="F142" t="str">
        <f t="shared" si="10"/>
        <v>Low</v>
      </c>
      <c r="G142" t="str">
        <f t="shared" si="11"/>
        <v>MODERATE</v>
      </c>
      <c r="H142" t="s">
        <v>16</v>
      </c>
      <c r="I142" t="s">
        <v>16</v>
      </c>
      <c r="J142" t="s">
        <v>16</v>
      </c>
      <c r="K142" t="s">
        <v>16</v>
      </c>
      <c r="L142" t="s">
        <v>16</v>
      </c>
      <c r="M142" t="s">
        <v>89</v>
      </c>
      <c r="N142">
        <v>3</v>
      </c>
    </row>
    <row r="143" ht="30" spans="1:14">
      <c r="A143" s="1" t="s">
        <v>140</v>
      </c>
      <c r="B143" t="s">
        <v>34</v>
      </c>
      <c r="C143" t="str">
        <f t="shared" si="8"/>
        <v>OS</v>
      </c>
      <c r="D143">
        <v>1</v>
      </c>
      <c r="E143" t="str">
        <f t="shared" si="9"/>
        <v>Consistent</v>
      </c>
      <c r="F143" t="str">
        <f t="shared" si="10"/>
        <v>Low</v>
      </c>
      <c r="G143" t="str">
        <f t="shared" si="11"/>
        <v>MODERATE</v>
      </c>
      <c r="H143" t="s">
        <v>16</v>
      </c>
      <c r="I143" t="s">
        <v>16</v>
      </c>
      <c r="J143" t="s">
        <v>16</v>
      </c>
      <c r="K143" t="s">
        <v>16</v>
      </c>
      <c r="L143" t="s">
        <v>16</v>
      </c>
      <c r="M143" t="s">
        <v>89</v>
      </c>
      <c r="N143">
        <v>3</v>
      </c>
    </row>
    <row r="144" spans="1:14">
      <c r="A144" s="1" t="s">
        <v>141</v>
      </c>
      <c r="B144" t="s">
        <v>20</v>
      </c>
      <c r="C144" t="str">
        <f t="shared" si="8"/>
        <v>TS</v>
      </c>
      <c r="D144">
        <v>1</v>
      </c>
      <c r="E144" t="str">
        <f t="shared" si="9"/>
        <v>Inconsistent</v>
      </c>
      <c r="F144" t="str">
        <f t="shared" si="10"/>
        <v>High</v>
      </c>
      <c r="G144" t="str">
        <f t="shared" si="11"/>
        <v>LOW</v>
      </c>
      <c r="H144" t="s">
        <v>16</v>
      </c>
      <c r="I144" t="s">
        <v>16</v>
      </c>
      <c r="J144" t="s">
        <v>16</v>
      </c>
      <c r="K144" t="s">
        <v>16</v>
      </c>
      <c r="L144" t="s">
        <v>16</v>
      </c>
      <c r="M144" t="s">
        <v>89</v>
      </c>
      <c r="N144">
        <v>3</v>
      </c>
    </row>
    <row r="145" spans="1:14">
      <c r="A145" s="1" t="s">
        <v>142</v>
      </c>
      <c r="B145" t="s">
        <v>34</v>
      </c>
      <c r="C145" t="str">
        <f t="shared" si="8"/>
        <v>OS</v>
      </c>
      <c r="D145">
        <v>1</v>
      </c>
      <c r="E145" t="str">
        <f t="shared" si="9"/>
        <v>Consistent</v>
      </c>
      <c r="F145" t="str">
        <f t="shared" si="10"/>
        <v>Low</v>
      </c>
      <c r="G145" t="str">
        <f t="shared" si="11"/>
        <v>MODERATE</v>
      </c>
      <c r="H145" t="s">
        <v>16</v>
      </c>
      <c r="I145" t="s">
        <v>16</v>
      </c>
      <c r="J145" t="s">
        <v>16</v>
      </c>
      <c r="K145" t="s">
        <v>16</v>
      </c>
      <c r="L145" t="s">
        <v>16</v>
      </c>
      <c r="M145" t="s">
        <v>89</v>
      </c>
      <c r="N145">
        <v>3</v>
      </c>
    </row>
    <row r="146" ht="30" spans="1:14">
      <c r="A146" s="1" t="s">
        <v>143</v>
      </c>
      <c r="B146" t="s">
        <v>20</v>
      </c>
      <c r="C146" t="str">
        <f t="shared" si="8"/>
        <v>TS</v>
      </c>
      <c r="D146">
        <v>1</v>
      </c>
      <c r="E146" t="str">
        <f t="shared" si="9"/>
        <v>Inconsistent</v>
      </c>
      <c r="F146" t="str">
        <f t="shared" si="10"/>
        <v>High</v>
      </c>
      <c r="G146" t="str">
        <f t="shared" si="11"/>
        <v>LOW</v>
      </c>
      <c r="H146" t="s">
        <v>16</v>
      </c>
      <c r="I146" t="s">
        <v>16</v>
      </c>
      <c r="J146" t="s">
        <v>16</v>
      </c>
      <c r="K146" t="s">
        <v>16</v>
      </c>
      <c r="L146" t="s">
        <v>16</v>
      </c>
      <c r="M146" t="s">
        <v>89</v>
      </c>
      <c r="N146">
        <v>3</v>
      </c>
    </row>
    <row r="147" ht="30" spans="1:14">
      <c r="A147" s="1" t="s">
        <v>144</v>
      </c>
      <c r="B147" t="s">
        <v>34</v>
      </c>
      <c r="C147" t="str">
        <f t="shared" si="8"/>
        <v>OS</v>
      </c>
      <c r="D147">
        <v>1</v>
      </c>
      <c r="E147" t="str">
        <f t="shared" si="9"/>
        <v>Consistent</v>
      </c>
      <c r="F147" t="str">
        <f t="shared" si="10"/>
        <v>Low</v>
      </c>
      <c r="G147" t="str">
        <f t="shared" si="11"/>
        <v>MODERATE</v>
      </c>
      <c r="H147" t="s">
        <v>16</v>
      </c>
      <c r="I147" t="s">
        <v>16</v>
      </c>
      <c r="J147" t="s">
        <v>16</v>
      </c>
      <c r="K147" t="s">
        <v>16</v>
      </c>
      <c r="L147" t="s">
        <v>16</v>
      </c>
      <c r="M147" t="s">
        <v>89</v>
      </c>
      <c r="N147">
        <v>3</v>
      </c>
    </row>
    <row r="148" spans="1:14">
      <c r="A148" s="1" t="s">
        <v>145</v>
      </c>
      <c r="B148" t="s">
        <v>34</v>
      </c>
      <c r="C148" t="str">
        <f t="shared" si="8"/>
        <v>OS</v>
      </c>
      <c r="D148">
        <v>1</v>
      </c>
      <c r="E148" t="str">
        <f t="shared" si="9"/>
        <v>Consistent</v>
      </c>
      <c r="F148" t="str">
        <f t="shared" si="10"/>
        <v>Low</v>
      </c>
      <c r="G148" t="str">
        <f t="shared" si="11"/>
        <v>MODERATE</v>
      </c>
      <c r="H148" t="s">
        <v>16</v>
      </c>
      <c r="I148" t="s">
        <v>16</v>
      </c>
      <c r="J148" t="s">
        <v>16</v>
      </c>
      <c r="K148" t="s">
        <v>16</v>
      </c>
      <c r="L148" t="s">
        <v>16</v>
      </c>
      <c r="M148" t="s">
        <v>89</v>
      </c>
      <c r="N148">
        <v>3</v>
      </c>
    </row>
    <row r="149" spans="1:14">
      <c r="A149" s="1" t="s">
        <v>146</v>
      </c>
      <c r="B149" t="s">
        <v>15</v>
      </c>
      <c r="C149" t="str">
        <f t="shared" si="8"/>
        <v>OS</v>
      </c>
      <c r="D149">
        <v>1</v>
      </c>
      <c r="E149" t="str">
        <f t="shared" si="9"/>
        <v>Inconsistent</v>
      </c>
      <c r="F149" t="str">
        <f t="shared" si="10"/>
        <v>Low</v>
      </c>
      <c r="G149" t="str">
        <f t="shared" si="11"/>
        <v>LOW</v>
      </c>
      <c r="H149" t="s">
        <v>16</v>
      </c>
      <c r="I149" t="s">
        <v>16</v>
      </c>
      <c r="J149" t="s">
        <v>16</v>
      </c>
      <c r="K149" t="s">
        <v>16</v>
      </c>
      <c r="L149" t="s">
        <v>16</v>
      </c>
      <c r="M149" t="s">
        <v>89</v>
      </c>
      <c r="N149">
        <v>3</v>
      </c>
    </row>
    <row r="150" spans="1:14">
      <c r="A150" s="1" t="s">
        <v>147</v>
      </c>
      <c r="B150" t="s">
        <v>34</v>
      </c>
      <c r="C150" t="str">
        <f t="shared" si="8"/>
        <v>OS</v>
      </c>
      <c r="D150">
        <v>1</v>
      </c>
      <c r="E150" t="str">
        <f t="shared" si="9"/>
        <v>Consistent</v>
      </c>
      <c r="F150" t="str">
        <f t="shared" si="10"/>
        <v>Low</v>
      </c>
      <c r="G150" t="str">
        <f t="shared" si="11"/>
        <v>MODERATE</v>
      </c>
      <c r="H150" t="s">
        <v>16</v>
      </c>
      <c r="I150" t="s">
        <v>16</v>
      </c>
      <c r="J150" t="s">
        <v>16</v>
      </c>
      <c r="K150" t="s">
        <v>16</v>
      </c>
      <c r="L150" t="s">
        <v>16</v>
      </c>
      <c r="M150" t="s">
        <v>89</v>
      </c>
      <c r="N150">
        <v>3</v>
      </c>
    </row>
    <row r="151" ht="30" spans="1:14">
      <c r="A151" s="1" t="s">
        <v>148</v>
      </c>
      <c r="B151" t="s">
        <v>34</v>
      </c>
      <c r="C151" t="str">
        <f t="shared" si="8"/>
        <v>OS</v>
      </c>
      <c r="D151">
        <v>1</v>
      </c>
      <c r="E151" t="str">
        <f t="shared" si="9"/>
        <v>Consistent</v>
      </c>
      <c r="F151" t="str">
        <f t="shared" si="10"/>
        <v>Low</v>
      </c>
      <c r="G151" t="str">
        <f t="shared" si="11"/>
        <v>MODERATE</v>
      </c>
      <c r="H151" t="s">
        <v>16</v>
      </c>
      <c r="I151" t="s">
        <v>16</v>
      </c>
      <c r="J151" t="s">
        <v>16</v>
      </c>
      <c r="K151" t="s">
        <v>16</v>
      </c>
      <c r="L151" t="s">
        <v>16</v>
      </c>
      <c r="M151" t="s">
        <v>89</v>
      </c>
      <c r="N151">
        <v>3</v>
      </c>
    </row>
    <row r="152" ht="45" spans="1:14">
      <c r="A152" s="1" t="s">
        <v>149</v>
      </c>
      <c r="B152" t="s">
        <v>34</v>
      </c>
      <c r="C152" t="str">
        <f t="shared" si="8"/>
        <v>OS</v>
      </c>
      <c r="D152">
        <v>1</v>
      </c>
      <c r="E152" t="str">
        <f t="shared" si="9"/>
        <v>Consistent</v>
      </c>
      <c r="F152" t="str">
        <f t="shared" si="10"/>
        <v>Low</v>
      </c>
      <c r="G152" t="str">
        <f t="shared" si="11"/>
        <v>MODERATE</v>
      </c>
      <c r="H152" t="s">
        <v>16</v>
      </c>
      <c r="I152" t="s">
        <v>16</v>
      </c>
      <c r="J152" t="s">
        <v>16</v>
      </c>
      <c r="K152" t="s">
        <v>16</v>
      </c>
      <c r="L152" t="s">
        <v>16</v>
      </c>
      <c r="M152" t="s">
        <v>89</v>
      </c>
      <c r="N152">
        <v>3</v>
      </c>
    </row>
    <row r="153" spans="1:14">
      <c r="A153" s="1" t="s">
        <v>150</v>
      </c>
      <c r="B153" t="s">
        <v>20</v>
      </c>
      <c r="C153" t="str">
        <f t="shared" si="8"/>
        <v>TS</v>
      </c>
      <c r="D153">
        <v>1</v>
      </c>
      <c r="E153" t="str">
        <f t="shared" si="9"/>
        <v>Inconsistent</v>
      </c>
      <c r="F153" t="str">
        <f t="shared" si="10"/>
        <v>High</v>
      </c>
      <c r="G153" t="str">
        <f t="shared" si="11"/>
        <v>LOW</v>
      </c>
      <c r="H153" t="s">
        <v>16</v>
      </c>
      <c r="I153" t="s">
        <v>16</v>
      </c>
      <c r="J153" t="s">
        <v>16</v>
      </c>
      <c r="K153" t="s">
        <v>16</v>
      </c>
      <c r="L153" t="s">
        <v>16</v>
      </c>
      <c r="M153" t="s">
        <v>89</v>
      </c>
      <c r="N153">
        <v>3</v>
      </c>
    </row>
    <row r="154" spans="1:14">
      <c r="A154" s="1" t="s">
        <v>151</v>
      </c>
      <c r="B154" t="s">
        <v>34</v>
      </c>
      <c r="C154" t="str">
        <f t="shared" si="8"/>
        <v>OS</v>
      </c>
      <c r="D154">
        <v>1</v>
      </c>
      <c r="E154" t="str">
        <f t="shared" si="9"/>
        <v>Consistent</v>
      </c>
      <c r="F154" t="str">
        <f t="shared" si="10"/>
        <v>Low</v>
      </c>
      <c r="G154" t="str">
        <f t="shared" si="11"/>
        <v>MODERATE</v>
      </c>
      <c r="H154" t="s">
        <v>16</v>
      </c>
      <c r="I154" t="s">
        <v>16</v>
      </c>
      <c r="J154" t="s">
        <v>16</v>
      </c>
      <c r="K154" t="s">
        <v>16</v>
      </c>
      <c r="L154" t="s">
        <v>16</v>
      </c>
      <c r="M154" t="s">
        <v>89</v>
      </c>
      <c r="N154">
        <v>3</v>
      </c>
    </row>
    <row r="155" spans="1:14">
      <c r="A155" s="1" t="s">
        <v>152</v>
      </c>
      <c r="B155" t="s">
        <v>15</v>
      </c>
      <c r="C155" t="str">
        <f t="shared" si="8"/>
        <v>OS</v>
      </c>
      <c r="D155">
        <v>1</v>
      </c>
      <c r="E155" t="str">
        <f t="shared" si="9"/>
        <v>Inconsistent</v>
      </c>
      <c r="F155" t="str">
        <f t="shared" si="10"/>
        <v>Low</v>
      </c>
      <c r="G155" t="str">
        <f t="shared" si="11"/>
        <v>LOW</v>
      </c>
      <c r="H155" t="s">
        <v>16</v>
      </c>
      <c r="I155" t="s">
        <v>16</v>
      </c>
      <c r="J155" t="s">
        <v>16</v>
      </c>
      <c r="K155" t="s">
        <v>16</v>
      </c>
      <c r="L155" t="s">
        <v>16</v>
      </c>
      <c r="M155" t="s">
        <v>89</v>
      </c>
      <c r="N155">
        <v>3</v>
      </c>
    </row>
    <row r="156" spans="1:14">
      <c r="A156" s="1" t="s">
        <v>153</v>
      </c>
      <c r="B156" t="s">
        <v>15</v>
      </c>
      <c r="C156" t="str">
        <f t="shared" si="8"/>
        <v>OS</v>
      </c>
      <c r="D156">
        <v>1</v>
      </c>
      <c r="E156" t="str">
        <f t="shared" si="9"/>
        <v>Inconsistent</v>
      </c>
      <c r="F156" t="str">
        <f t="shared" si="10"/>
        <v>Low</v>
      </c>
      <c r="G156" t="str">
        <f t="shared" si="11"/>
        <v>LOW</v>
      </c>
      <c r="H156" t="s">
        <v>16</v>
      </c>
      <c r="I156" t="s">
        <v>16</v>
      </c>
      <c r="J156" t="s">
        <v>16</v>
      </c>
      <c r="K156" t="s">
        <v>16</v>
      </c>
      <c r="L156" t="s">
        <v>16</v>
      </c>
      <c r="M156" t="s">
        <v>89</v>
      </c>
      <c r="N156">
        <v>3</v>
      </c>
    </row>
    <row r="157" spans="1:14">
      <c r="A157" s="1" t="s">
        <v>154</v>
      </c>
      <c r="B157" t="s">
        <v>34</v>
      </c>
      <c r="C157" t="str">
        <f t="shared" si="8"/>
        <v>OS</v>
      </c>
      <c r="D157">
        <v>1</v>
      </c>
      <c r="E157" t="str">
        <f t="shared" si="9"/>
        <v>Consistent</v>
      </c>
      <c r="F157" t="str">
        <f t="shared" si="10"/>
        <v>Low</v>
      </c>
      <c r="G157" t="str">
        <f t="shared" si="11"/>
        <v>MODERATE</v>
      </c>
      <c r="H157" t="s">
        <v>16</v>
      </c>
      <c r="I157" t="s">
        <v>16</v>
      </c>
      <c r="J157" t="s">
        <v>16</v>
      </c>
      <c r="K157" t="s">
        <v>16</v>
      </c>
      <c r="L157" t="s">
        <v>16</v>
      </c>
      <c r="M157" t="s">
        <v>89</v>
      </c>
      <c r="N157">
        <v>3</v>
      </c>
    </row>
    <row r="158" ht="30" spans="1:14">
      <c r="A158" s="1" t="s">
        <v>155</v>
      </c>
      <c r="B158" t="s">
        <v>34</v>
      </c>
      <c r="C158" t="str">
        <f t="shared" si="8"/>
        <v>OS</v>
      </c>
      <c r="D158">
        <v>1</v>
      </c>
      <c r="E158" t="str">
        <f t="shared" si="9"/>
        <v>Consistent</v>
      </c>
      <c r="F158" t="str">
        <f t="shared" si="10"/>
        <v>Low</v>
      </c>
      <c r="G158" t="str">
        <f t="shared" si="11"/>
        <v>MODERATE</v>
      </c>
      <c r="H158" t="s">
        <v>16</v>
      </c>
      <c r="I158" t="s">
        <v>16</v>
      </c>
      <c r="J158" t="s">
        <v>16</v>
      </c>
      <c r="K158" t="s">
        <v>16</v>
      </c>
      <c r="L158" t="s">
        <v>16</v>
      </c>
      <c r="M158" t="s">
        <v>89</v>
      </c>
      <c r="N158">
        <v>3</v>
      </c>
    </row>
    <row r="159" ht="30" spans="1:14">
      <c r="A159" s="1" t="s">
        <v>156</v>
      </c>
      <c r="B159" t="s">
        <v>34</v>
      </c>
      <c r="C159" t="str">
        <f t="shared" si="8"/>
        <v>OS</v>
      </c>
      <c r="D159">
        <v>1</v>
      </c>
      <c r="E159" t="str">
        <f t="shared" si="9"/>
        <v>Consistent</v>
      </c>
      <c r="F159" t="str">
        <f t="shared" si="10"/>
        <v>Low</v>
      </c>
      <c r="G159" t="str">
        <f t="shared" si="11"/>
        <v>MODERATE</v>
      </c>
      <c r="H159" t="s">
        <v>16</v>
      </c>
      <c r="I159" t="s">
        <v>16</v>
      </c>
      <c r="J159" t="s">
        <v>16</v>
      </c>
      <c r="K159" t="s">
        <v>16</v>
      </c>
      <c r="L159" t="s">
        <v>16</v>
      </c>
      <c r="M159" t="s">
        <v>89</v>
      </c>
      <c r="N159">
        <v>3</v>
      </c>
    </row>
    <row r="160" spans="1:14">
      <c r="A160" s="1" t="s">
        <v>157</v>
      </c>
      <c r="B160" t="s">
        <v>34</v>
      </c>
      <c r="C160" t="str">
        <f t="shared" si="8"/>
        <v>OS</v>
      </c>
      <c r="D160">
        <v>1</v>
      </c>
      <c r="E160" t="str">
        <f t="shared" si="9"/>
        <v>Consistent</v>
      </c>
      <c r="F160" t="str">
        <f t="shared" si="10"/>
        <v>Low</v>
      </c>
      <c r="G160" t="str">
        <f t="shared" si="11"/>
        <v>MODERATE</v>
      </c>
      <c r="H160" t="s">
        <v>16</v>
      </c>
      <c r="I160" t="s">
        <v>16</v>
      </c>
      <c r="J160" t="s">
        <v>16</v>
      </c>
      <c r="K160" t="s">
        <v>16</v>
      </c>
      <c r="L160" t="s">
        <v>16</v>
      </c>
      <c r="M160" t="s">
        <v>89</v>
      </c>
      <c r="N160">
        <v>3</v>
      </c>
    </row>
    <row r="161" spans="1:14">
      <c r="A161" s="1" t="s">
        <v>158</v>
      </c>
      <c r="B161" t="s">
        <v>34</v>
      </c>
      <c r="C161" t="str">
        <f t="shared" si="8"/>
        <v>OS</v>
      </c>
      <c r="D161">
        <v>3</v>
      </c>
      <c r="E161" t="str">
        <f t="shared" si="9"/>
        <v>Inconsistent</v>
      </c>
      <c r="F161" t="str">
        <f t="shared" si="10"/>
        <v>Low</v>
      </c>
      <c r="G161" t="str">
        <f t="shared" si="11"/>
        <v>LOW</v>
      </c>
      <c r="H161" t="s">
        <v>16</v>
      </c>
      <c r="I161" t="s">
        <v>16</v>
      </c>
      <c r="J161" t="s">
        <v>16</v>
      </c>
      <c r="K161" t="s">
        <v>16</v>
      </c>
      <c r="L161" t="s">
        <v>16</v>
      </c>
      <c r="M161" t="s">
        <v>89</v>
      </c>
      <c r="N161">
        <v>3</v>
      </c>
    </row>
    <row r="162" ht="30" spans="1:14">
      <c r="A162" s="1" t="s">
        <v>159</v>
      </c>
      <c r="B162" t="s">
        <v>20</v>
      </c>
      <c r="C162" t="str">
        <f t="shared" si="8"/>
        <v>TS</v>
      </c>
      <c r="D162">
        <v>3</v>
      </c>
      <c r="E162" t="str">
        <f t="shared" si="9"/>
        <v>Consistent</v>
      </c>
      <c r="F162" t="str">
        <f t="shared" si="10"/>
        <v>High</v>
      </c>
      <c r="G162" t="str">
        <f t="shared" si="11"/>
        <v>HIGH</v>
      </c>
      <c r="H162" t="s">
        <v>16</v>
      </c>
      <c r="I162" t="s">
        <v>16</v>
      </c>
      <c r="J162" t="s">
        <v>16</v>
      </c>
      <c r="K162" t="s">
        <v>16</v>
      </c>
      <c r="L162" t="s">
        <v>16</v>
      </c>
      <c r="M162" t="s">
        <v>89</v>
      </c>
      <c r="N162">
        <v>3</v>
      </c>
    </row>
    <row r="163" spans="1:14">
      <c r="A163" s="1" t="s">
        <v>160</v>
      </c>
      <c r="B163" t="s">
        <v>20</v>
      </c>
      <c r="C163" t="str">
        <f t="shared" si="8"/>
        <v>TS</v>
      </c>
      <c r="D163">
        <v>3</v>
      </c>
      <c r="E163" t="str">
        <f t="shared" si="9"/>
        <v>Consistent</v>
      </c>
      <c r="F163" t="str">
        <f t="shared" si="10"/>
        <v>High</v>
      </c>
      <c r="G163" t="str">
        <f t="shared" si="11"/>
        <v>HIGH</v>
      </c>
      <c r="H163" t="s">
        <v>16</v>
      </c>
      <c r="I163" t="s">
        <v>16</v>
      </c>
      <c r="J163" t="s">
        <v>16</v>
      </c>
      <c r="K163" t="s">
        <v>16</v>
      </c>
      <c r="L163" t="s">
        <v>16</v>
      </c>
      <c r="M163" t="s">
        <v>89</v>
      </c>
      <c r="N163">
        <v>3</v>
      </c>
    </row>
    <row r="164" spans="1:14">
      <c r="A164" s="1" t="s">
        <v>161</v>
      </c>
      <c r="B164" t="s">
        <v>20</v>
      </c>
      <c r="C164" t="str">
        <f t="shared" si="8"/>
        <v>TS</v>
      </c>
      <c r="D164">
        <v>3</v>
      </c>
      <c r="E164" t="str">
        <f t="shared" si="9"/>
        <v>Consistent</v>
      </c>
      <c r="F164" t="str">
        <f t="shared" si="10"/>
        <v>High</v>
      </c>
      <c r="G164" t="str">
        <f t="shared" si="11"/>
        <v>HIGH</v>
      </c>
      <c r="H164" t="s">
        <v>16</v>
      </c>
      <c r="I164" t="s">
        <v>16</v>
      </c>
      <c r="J164" t="s">
        <v>16</v>
      </c>
      <c r="K164" t="s">
        <v>16</v>
      </c>
      <c r="L164" t="s">
        <v>16</v>
      </c>
      <c r="M164" t="s">
        <v>89</v>
      </c>
      <c r="N164">
        <v>3</v>
      </c>
    </row>
    <row r="165" ht="30" spans="1:14">
      <c r="A165" s="1" t="s">
        <v>162</v>
      </c>
      <c r="B165" t="s">
        <v>34</v>
      </c>
      <c r="C165" t="str">
        <f t="shared" si="8"/>
        <v>OS</v>
      </c>
      <c r="D165">
        <v>3</v>
      </c>
      <c r="E165" t="str">
        <f t="shared" si="9"/>
        <v>Inconsistent</v>
      </c>
      <c r="F165" t="str">
        <f t="shared" si="10"/>
        <v>Low</v>
      </c>
      <c r="G165" t="str">
        <f t="shared" si="11"/>
        <v>LOW</v>
      </c>
      <c r="H165" t="s">
        <v>16</v>
      </c>
      <c r="I165" t="s">
        <v>16</v>
      </c>
      <c r="J165" t="s">
        <v>16</v>
      </c>
      <c r="K165" t="s">
        <v>16</v>
      </c>
      <c r="L165" t="s">
        <v>16</v>
      </c>
      <c r="M165" t="s">
        <v>89</v>
      </c>
      <c r="N165">
        <v>3</v>
      </c>
    </row>
    <row r="166" spans="1:14">
      <c r="A166" s="1" t="s">
        <v>163</v>
      </c>
      <c r="B166" t="s">
        <v>15</v>
      </c>
      <c r="C166" t="str">
        <f t="shared" si="8"/>
        <v>OS</v>
      </c>
      <c r="D166">
        <v>3</v>
      </c>
      <c r="E166" t="str">
        <f t="shared" si="9"/>
        <v>Inconsistent</v>
      </c>
      <c r="F166" t="str">
        <f t="shared" si="10"/>
        <v>Low</v>
      </c>
      <c r="G166" t="str">
        <f t="shared" si="11"/>
        <v>LOW</v>
      </c>
      <c r="H166" t="s">
        <v>16</v>
      </c>
      <c r="I166" t="s">
        <v>16</v>
      </c>
      <c r="J166" t="s">
        <v>16</v>
      </c>
      <c r="K166" t="s">
        <v>16</v>
      </c>
      <c r="L166" t="s">
        <v>16</v>
      </c>
      <c r="M166" t="s">
        <v>89</v>
      </c>
      <c r="N166">
        <v>3</v>
      </c>
    </row>
    <row r="167" ht="45" spans="1:14">
      <c r="A167" s="1" t="s">
        <v>164</v>
      </c>
      <c r="B167" t="s">
        <v>34</v>
      </c>
      <c r="C167" t="str">
        <f t="shared" si="8"/>
        <v>OS</v>
      </c>
      <c r="D167">
        <v>3</v>
      </c>
      <c r="E167" t="str">
        <f t="shared" si="9"/>
        <v>Inconsistent</v>
      </c>
      <c r="F167" t="str">
        <f t="shared" si="10"/>
        <v>Low</v>
      </c>
      <c r="G167" t="str">
        <f t="shared" si="11"/>
        <v>LOW</v>
      </c>
      <c r="H167" t="s">
        <v>16</v>
      </c>
      <c r="I167" t="s">
        <v>16</v>
      </c>
      <c r="J167" t="s">
        <v>16</v>
      </c>
      <c r="K167" t="s">
        <v>16</v>
      </c>
      <c r="L167" t="s">
        <v>16</v>
      </c>
      <c r="M167" t="s">
        <v>89</v>
      </c>
      <c r="N167">
        <v>3</v>
      </c>
    </row>
    <row r="168" spans="1:14">
      <c r="A168" s="1" t="s">
        <v>165</v>
      </c>
      <c r="B168" t="s">
        <v>20</v>
      </c>
      <c r="C168" t="str">
        <f t="shared" si="8"/>
        <v>TS</v>
      </c>
      <c r="D168">
        <v>3</v>
      </c>
      <c r="E168" t="str">
        <f t="shared" si="9"/>
        <v>Consistent</v>
      </c>
      <c r="F168" t="str">
        <f t="shared" si="10"/>
        <v>High</v>
      </c>
      <c r="G168" t="str">
        <f t="shared" si="11"/>
        <v>HIGH</v>
      </c>
      <c r="H168" t="s">
        <v>16</v>
      </c>
      <c r="I168" t="s">
        <v>16</v>
      </c>
      <c r="J168" t="s">
        <v>16</v>
      </c>
      <c r="K168" t="s">
        <v>16</v>
      </c>
      <c r="L168" t="s">
        <v>16</v>
      </c>
      <c r="M168" t="s">
        <v>89</v>
      </c>
      <c r="N168">
        <v>3</v>
      </c>
    </row>
    <row r="169" spans="1:14">
      <c r="A169" s="1" t="s">
        <v>166</v>
      </c>
      <c r="B169" t="s">
        <v>20</v>
      </c>
      <c r="C169" t="str">
        <f t="shared" si="8"/>
        <v>TS</v>
      </c>
      <c r="D169">
        <v>3</v>
      </c>
      <c r="E169" t="str">
        <f t="shared" si="9"/>
        <v>Consistent</v>
      </c>
      <c r="F169" t="str">
        <f t="shared" si="10"/>
        <v>High</v>
      </c>
      <c r="G169" t="str">
        <f t="shared" si="11"/>
        <v>HIGH</v>
      </c>
      <c r="H169" t="s">
        <v>16</v>
      </c>
      <c r="I169" t="s">
        <v>16</v>
      </c>
      <c r="J169" t="s">
        <v>16</v>
      </c>
      <c r="K169" t="s">
        <v>16</v>
      </c>
      <c r="L169" t="s">
        <v>16</v>
      </c>
      <c r="M169" t="s">
        <v>89</v>
      </c>
      <c r="N169">
        <v>3</v>
      </c>
    </row>
    <row r="170" spans="1:14">
      <c r="A170" s="1" t="s">
        <v>167</v>
      </c>
      <c r="B170" t="s">
        <v>20</v>
      </c>
      <c r="C170" t="str">
        <f t="shared" si="8"/>
        <v>TS</v>
      </c>
      <c r="D170">
        <v>3</v>
      </c>
      <c r="E170" t="str">
        <f t="shared" si="9"/>
        <v>Consistent</v>
      </c>
      <c r="F170" t="str">
        <f t="shared" si="10"/>
        <v>High</v>
      </c>
      <c r="G170" t="str">
        <f t="shared" si="11"/>
        <v>HIGH</v>
      </c>
      <c r="H170" t="s">
        <v>16</v>
      </c>
      <c r="I170" t="s">
        <v>16</v>
      </c>
      <c r="J170" t="s">
        <v>16</v>
      </c>
      <c r="K170" t="s">
        <v>16</v>
      </c>
      <c r="L170" t="s">
        <v>16</v>
      </c>
      <c r="M170" t="s">
        <v>89</v>
      </c>
      <c r="N170">
        <v>3</v>
      </c>
    </row>
    <row r="171" spans="1:14">
      <c r="A171" s="1" t="s">
        <v>168</v>
      </c>
      <c r="B171" t="s">
        <v>34</v>
      </c>
      <c r="C171" t="str">
        <f t="shared" si="8"/>
        <v>OS</v>
      </c>
      <c r="D171">
        <v>3</v>
      </c>
      <c r="E171" t="str">
        <f t="shared" si="9"/>
        <v>Inconsistent</v>
      </c>
      <c r="F171" t="str">
        <f t="shared" si="10"/>
        <v>Low</v>
      </c>
      <c r="G171" t="str">
        <f t="shared" si="11"/>
        <v>LOW</v>
      </c>
      <c r="H171" t="s">
        <v>16</v>
      </c>
      <c r="I171" t="s">
        <v>16</v>
      </c>
      <c r="J171" t="s">
        <v>16</v>
      </c>
      <c r="K171" t="s">
        <v>16</v>
      </c>
      <c r="L171" t="s">
        <v>16</v>
      </c>
      <c r="M171" t="s">
        <v>89</v>
      </c>
      <c r="N171">
        <v>3</v>
      </c>
    </row>
    <row r="172" ht="30" spans="1:14">
      <c r="A172" s="1" t="s">
        <v>169</v>
      </c>
      <c r="B172" t="s">
        <v>20</v>
      </c>
      <c r="C172" t="str">
        <f t="shared" si="8"/>
        <v>TS</v>
      </c>
      <c r="D172">
        <v>3</v>
      </c>
      <c r="E172" t="str">
        <f t="shared" si="9"/>
        <v>Consistent</v>
      </c>
      <c r="F172" t="str">
        <f t="shared" si="10"/>
        <v>High</v>
      </c>
      <c r="G172" t="str">
        <f t="shared" si="11"/>
        <v>HIGH</v>
      </c>
      <c r="H172" t="s">
        <v>16</v>
      </c>
      <c r="I172" t="s">
        <v>16</v>
      </c>
      <c r="J172" t="s">
        <v>16</v>
      </c>
      <c r="K172" t="s">
        <v>16</v>
      </c>
      <c r="L172" t="s">
        <v>16</v>
      </c>
      <c r="M172" t="s">
        <v>89</v>
      </c>
      <c r="N172">
        <v>3</v>
      </c>
    </row>
    <row r="173" spans="1:14">
      <c r="A173" s="1" t="s">
        <v>170</v>
      </c>
      <c r="B173" t="s">
        <v>34</v>
      </c>
      <c r="C173" t="str">
        <f t="shared" si="8"/>
        <v>OS</v>
      </c>
      <c r="D173">
        <v>3</v>
      </c>
      <c r="E173" t="str">
        <f t="shared" si="9"/>
        <v>Inconsistent</v>
      </c>
      <c r="F173" t="str">
        <f t="shared" si="10"/>
        <v>Low</v>
      </c>
      <c r="G173" t="str">
        <f t="shared" si="11"/>
        <v>LOW</v>
      </c>
      <c r="H173" t="s">
        <v>16</v>
      </c>
      <c r="I173" t="s">
        <v>16</v>
      </c>
      <c r="J173" t="s">
        <v>16</v>
      </c>
      <c r="K173" t="s">
        <v>16</v>
      </c>
      <c r="L173" t="s">
        <v>16</v>
      </c>
      <c r="M173" t="s">
        <v>89</v>
      </c>
      <c r="N173">
        <v>3</v>
      </c>
    </row>
    <row r="174" ht="30" spans="1:14">
      <c r="A174" s="1" t="s">
        <v>171</v>
      </c>
      <c r="B174" t="s">
        <v>34</v>
      </c>
      <c r="C174" t="str">
        <f t="shared" si="8"/>
        <v>OS</v>
      </c>
      <c r="D174">
        <v>3</v>
      </c>
      <c r="E174" t="str">
        <f t="shared" si="9"/>
        <v>Inconsistent</v>
      </c>
      <c r="F174" t="str">
        <f t="shared" si="10"/>
        <v>Low</v>
      </c>
      <c r="G174" t="str">
        <f t="shared" si="11"/>
        <v>LOW</v>
      </c>
      <c r="H174" t="s">
        <v>16</v>
      </c>
      <c r="I174" t="s">
        <v>16</v>
      </c>
      <c r="J174" t="s">
        <v>16</v>
      </c>
      <c r="K174" t="s">
        <v>16</v>
      </c>
      <c r="L174" t="s">
        <v>16</v>
      </c>
      <c r="M174" t="s">
        <v>89</v>
      </c>
      <c r="N174">
        <v>3</v>
      </c>
    </row>
    <row r="175" spans="1:14">
      <c r="A175" s="1" t="s">
        <v>172</v>
      </c>
      <c r="B175" t="s">
        <v>34</v>
      </c>
      <c r="C175" t="str">
        <f t="shared" si="8"/>
        <v>OS</v>
      </c>
      <c r="D175">
        <v>3</v>
      </c>
      <c r="E175" t="str">
        <f t="shared" si="9"/>
        <v>Inconsistent</v>
      </c>
      <c r="F175" t="str">
        <f t="shared" si="10"/>
        <v>Low</v>
      </c>
      <c r="G175" t="str">
        <f t="shared" si="11"/>
        <v>LOW</v>
      </c>
      <c r="H175" t="s">
        <v>16</v>
      </c>
      <c r="I175" t="s">
        <v>16</v>
      </c>
      <c r="J175" t="s">
        <v>16</v>
      </c>
      <c r="K175" t="s">
        <v>16</v>
      </c>
      <c r="L175" t="s">
        <v>16</v>
      </c>
      <c r="M175" t="s">
        <v>89</v>
      </c>
      <c r="N175">
        <v>3</v>
      </c>
    </row>
    <row r="176" spans="1:14">
      <c r="A176" s="1" t="s">
        <v>173</v>
      </c>
      <c r="B176" t="s">
        <v>20</v>
      </c>
      <c r="C176" t="str">
        <f t="shared" si="8"/>
        <v>TS</v>
      </c>
      <c r="D176">
        <v>3</v>
      </c>
      <c r="E176" t="str">
        <f t="shared" si="9"/>
        <v>Consistent</v>
      </c>
      <c r="F176" t="str">
        <f t="shared" si="10"/>
        <v>High</v>
      </c>
      <c r="G176" t="str">
        <f t="shared" si="11"/>
        <v>HIGH</v>
      </c>
      <c r="H176" t="s">
        <v>16</v>
      </c>
      <c r="I176" t="s">
        <v>16</v>
      </c>
      <c r="J176" t="s">
        <v>16</v>
      </c>
      <c r="K176" t="s">
        <v>16</v>
      </c>
      <c r="L176" t="s">
        <v>16</v>
      </c>
      <c r="M176" t="s">
        <v>89</v>
      </c>
      <c r="N176">
        <v>3</v>
      </c>
    </row>
    <row r="177" spans="1:14">
      <c r="A177" s="1" t="s">
        <v>174</v>
      </c>
      <c r="B177" t="s">
        <v>34</v>
      </c>
      <c r="C177" t="str">
        <f t="shared" si="8"/>
        <v>OS</v>
      </c>
      <c r="D177">
        <v>3</v>
      </c>
      <c r="E177" t="str">
        <f t="shared" si="9"/>
        <v>Inconsistent</v>
      </c>
      <c r="F177" t="str">
        <f t="shared" si="10"/>
        <v>Low</v>
      </c>
      <c r="G177" t="str">
        <f t="shared" si="11"/>
        <v>LOW</v>
      </c>
      <c r="H177" t="s">
        <v>16</v>
      </c>
      <c r="I177" t="s">
        <v>16</v>
      </c>
      <c r="J177" t="s">
        <v>16</v>
      </c>
      <c r="K177" t="s">
        <v>16</v>
      </c>
      <c r="L177" t="s">
        <v>16</v>
      </c>
      <c r="M177" t="s">
        <v>89</v>
      </c>
      <c r="N177">
        <v>3</v>
      </c>
    </row>
    <row r="178" ht="30" spans="1:14">
      <c r="A178" s="1" t="s">
        <v>175</v>
      </c>
      <c r="B178" t="s">
        <v>34</v>
      </c>
      <c r="C178" t="str">
        <f t="shared" si="8"/>
        <v>OS</v>
      </c>
      <c r="D178">
        <v>3</v>
      </c>
      <c r="E178" t="str">
        <f t="shared" si="9"/>
        <v>Inconsistent</v>
      </c>
      <c r="F178" t="str">
        <f t="shared" si="10"/>
        <v>Low</v>
      </c>
      <c r="G178" t="str">
        <f t="shared" si="11"/>
        <v>LOW</v>
      </c>
      <c r="H178" t="s">
        <v>16</v>
      </c>
      <c r="I178" t="s">
        <v>16</v>
      </c>
      <c r="J178" t="s">
        <v>16</v>
      </c>
      <c r="K178" t="s">
        <v>16</v>
      </c>
      <c r="L178" t="s">
        <v>16</v>
      </c>
      <c r="M178" t="s">
        <v>89</v>
      </c>
      <c r="N178">
        <v>3</v>
      </c>
    </row>
    <row r="179" ht="90" spans="1:14">
      <c r="A179" s="1" t="s">
        <v>176</v>
      </c>
      <c r="B179" t="s">
        <v>34</v>
      </c>
      <c r="C179" t="str">
        <f t="shared" si="8"/>
        <v>OS</v>
      </c>
      <c r="D179">
        <v>3</v>
      </c>
      <c r="E179" t="str">
        <f t="shared" si="9"/>
        <v>Inconsistent</v>
      </c>
      <c r="F179" t="str">
        <f t="shared" si="10"/>
        <v>Low</v>
      </c>
      <c r="G179" t="str">
        <f t="shared" si="11"/>
        <v>LOW</v>
      </c>
      <c r="H179" t="s">
        <v>16</v>
      </c>
      <c r="I179" t="s">
        <v>16</v>
      </c>
      <c r="J179" t="s">
        <v>16</v>
      </c>
      <c r="K179" t="s">
        <v>16</v>
      </c>
      <c r="L179" t="s">
        <v>16</v>
      </c>
      <c r="M179" t="s">
        <v>89</v>
      </c>
      <c r="N179">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All_Reviews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2025-05-24T03:31:00Z</dcterms:created>
  <dcterms:modified xsi:type="dcterms:W3CDTF">2025-05-24T03:32:31Z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70E2DEC2D03C4A52822730C5ECB4085A_12</vt:lpwstr>
  </property>
  <property fmtid="{D5CDD505-2E9C-101B-9397-08002B2CF9AE}" pid="3" name="KSOProductBuildVer">
    <vt:lpwstr>2057-12.2.0.20796</vt:lpwstr>
  </property>
</Properties>
</file>