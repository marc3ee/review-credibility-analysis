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the pink color is fun and trendy. , the midnight color gives a sophisticated look. , the (product) red color is eye-catching. , the dual-camera system captures stunning photos. ,</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IF(AND(B2="NEUTRAL",F2="Low"),"LOW",IF(AND(C2="TS",F2="High",D2=3),"HIGH",IF(AND(C2="TS",F2="High",OR(D2=2,D2=4)),"MODERATE",IF(AND(C2="TS",F2="High",OR(D2=1,D2=5)),"LOW",IF(AND(C2="OS",E2="Consistent",OR(D2=1,D2=5)),"MODERATE",IF(AND(C2="OS",E2="Partially Consistent",OR(D2=2,D2=4)),"MODERATE","LOW"))))))</f>
        <v/>
      </c>
      <c r="H2" t="inlineStr"/>
      <c r="I2" t="inlineStr"/>
      <c r="J2" t="inlineStr"/>
      <c r="K2" t="inlineStr"/>
      <c r="L2" t="inlineStr"/>
      <c r="M2" t="inlineStr">
        <is>
          <t>https://www.lazada.com.ph/products/pdp-i2389149360-s10880220744.html</t>
        </is>
      </c>
      <c r="N2" t="n">
        <v>1</v>
      </c>
    </row>
    <row r="3">
      <c r="A3" t="inlineStr">
        <is>
          <t>goodthe battery capacity is impressive. , the dual-camera system captures stunning photos. ,</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IF(AND(B3="NEUTRAL",F3="Low"),"LOW",IF(AND(C3="TS",F3="High",D3=3),"HIGH",IF(AND(C3="TS",F3="High",OR(D3=2,D3=4)),"MODERATE",IF(AND(C3="TS",F3="High",OR(D3=1,D3=5)),"LOW",IF(AND(C3="OS",E3="Consistent",OR(D3=1,D3=5)),"MODERATE",IF(AND(C3="OS",E3="Partially Consistent",OR(D3=2,D3=4)),"MODERATE","LOW"))))))</f>
        <v/>
      </c>
      <c r="H3" t="inlineStr"/>
      <c r="I3" t="inlineStr"/>
      <c r="J3" t="inlineStr"/>
      <c r="K3" t="inlineStr"/>
      <c r="L3" t="inlineStr"/>
      <c r="M3" t="inlineStr">
        <is>
          <t>https://www.lazada.com.ph/products/pdp-i2389149360-s10880220744.html</t>
        </is>
      </c>
      <c r="N3" t="n">
        <v>1</v>
      </c>
    </row>
    <row r="4">
      <c r="A4" t="inlineStr">
        <is>
          <t>i received the item in the box and arrived safe. the phone has no issues except the sim card slot is difficult to open which caused it to be bent. overall i' m satisfied with my purchase.</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IF(AND(B4="NEUTRAL",F4="Low"),"LOW",IF(AND(C4="TS",F4="High",D4=3),"HIGH",IF(AND(C4="TS",F4="High",OR(D4=2,D4=4)),"MODERATE",IF(AND(C4="TS",F4="High",OR(D4=1,D4=5)),"LOW",IF(AND(C4="OS",E4="Consistent",OR(D4=1,D4=5)),"MODERATE",IF(AND(C4="OS",E4="Partially Consistent",OR(D4=2,D4=4)),"MODERATE","LOW"))))))</f>
        <v/>
      </c>
      <c r="H4" t="inlineStr"/>
      <c r="I4" t="inlineStr"/>
      <c r="J4" t="inlineStr"/>
      <c r="K4" t="inlineStr"/>
      <c r="L4" t="inlineStr"/>
      <c r="M4" t="inlineStr">
        <is>
          <t>https://www.lazada.com.ph/products/pdp-i2389149360-s10880220744.html</t>
        </is>
      </c>
      <c r="N4" t="n">
        <v>1</v>
      </c>
    </row>
    <row r="5">
      <c r="A5" t="inlineStr">
        <is>
          <t>battery life: 10 camera quality: 10 performance: 10 brandnew sealed! thank you! the (product) red color is eye-catching. , the dual-camera system captures stunning photos. ,</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IF(AND(B5="NEUTRAL",F5="Low"),"LOW",IF(AND(C5="TS",F5="High",D5=3),"HIGH",IF(AND(C5="TS",F5="High",OR(D5=2,D5=4)),"MODERATE",IF(AND(C5="TS",F5="High",OR(D5=1,D5=5)),"LOW",IF(AND(C5="OS",E5="Consistent",OR(D5=1,D5=5)),"MODERATE",IF(AND(C5="OS",E5="Partially Consistent",OR(D5=2,D5=4)),"MODERATE","LOW"))))))</f>
        <v/>
      </c>
      <c r="H5" t="inlineStr"/>
      <c r="I5" t="inlineStr"/>
      <c r="J5" t="inlineStr"/>
      <c r="K5" t="inlineStr"/>
      <c r="L5" t="inlineStr"/>
      <c r="M5" t="inlineStr">
        <is>
          <t>https://www.lazada.com.ph/products/pdp-i2389149360-s10880220744.html</t>
        </is>
      </c>
      <c r="N5" t="n">
        <v>1</v>
      </c>
    </row>
    <row r="6">
      <c r="A6" t="inlineStr">
        <is>
          <t>thank you seller, secured product naka bubble wrap yung unit sinigurado talaga ni seller na safe yung item. legit iphone, sealed upon delivery, 100% battery health. camera solid malinaw main camera, ultra wide and selfie camera working walang damage or scratches sobrang kinis as in brand new talaga thank you beyond the box.</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IF(AND(B6="NEUTRAL",F6="Low"),"LOW",IF(AND(C6="TS",F6="High",D6=3),"HIGH",IF(AND(C6="TS",F6="High",OR(D6=2,D6=4)),"MODERATE",IF(AND(C6="TS",F6="High",OR(D6=1,D6=5)),"LOW",IF(AND(C6="OS",E6="Consistent",OR(D6=1,D6=5)),"MODERATE",IF(AND(C6="OS",E6="Partially Consistent",OR(D6=2,D6=4)),"MODERATE","LOW"))))))</f>
        <v/>
      </c>
      <c r="H6" t="inlineStr"/>
      <c r="I6" t="inlineStr"/>
      <c r="J6" t="inlineStr"/>
      <c r="K6" t="inlineStr"/>
      <c r="L6" t="inlineStr"/>
      <c r="M6" t="inlineStr">
        <is>
          <t>https://www.lazada.com.ph/products/pdp-i2389149360-s10880220744.html</t>
        </is>
      </c>
      <c r="N6" t="n">
        <v>1</v>
      </c>
    </row>
    <row r="7">
      <c r="A7" t="inlineStr">
        <is>
          <t>camera quality: super gandaaa battery life: good at first super kabado kami ng jowa ko 2 unit inorder namin, while unboxing kaba at excitement nararamdaman namin. pero pag bukas super worth it 1st ever iphone namin to. huhu thankyouu po</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IF(AND(B7="NEUTRAL",F7="Low"),"LOW",IF(AND(C7="TS",F7="High",D7=3),"HIGH",IF(AND(C7="TS",F7="High",OR(D7=2,D7=4)),"MODERATE",IF(AND(C7="TS",F7="High",OR(D7=1,D7=5)),"LOW",IF(AND(C7="OS",E7="Consistent",OR(D7=1,D7=5)),"MODERATE",IF(AND(C7="OS",E7="Partially Consistent",OR(D7=2,D7=4)),"MODERATE","LOW"))))))</f>
        <v/>
      </c>
      <c r="H7" t="inlineStr"/>
      <c r="I7" t="inlineStr"/>
      <c r="J7" t="inlineStr"/>
      <c r="K7" t="inlineStr"/>
      <c r="L7" t="inlineStr"/>
      <c r="M7" t="inlineStr">
        <is>
          <t>https://www.lazada.com.ph/products/pdp-i2389149360-s10880220744.html</t>
        </is>
      </c>
      <c r="N7" t="n">
        <v>1</v>
      </c>
    </row>
    <row r="8">
      <c r="A8" t="inlineStr">
        <is>
          <t>legit! happy as well sa service ng courier nila. first delivery attempt was unsuccessful kasi may attitude ang rider but the following day ibang rider na nag handle ng parcel ko. btw got my ip13 very cheap vs other authorized stores i even checked several physical stores. my unit was verified at checkcoverage. apple. com.</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IF(AND(B8="NEUTRAL",F8="Low"),"LOW",IF(AND(C8="TS",F8="High",D8=3),"HIGH",IF(AND(C8="TS",F8="High",OR(D8=2,D8=4)),"MODERATE",IF(AND(C8="TS",F8="High",OR(D8=1,D8=5)),"LOW",IF(AND(C8="OS",E8="Consistent",OR(D8=1,D8=5)),"MODERATE",IF(AND(C8="OS",E8="Partially Consistent",OR(D8=2,D8=4)),"MODERATE","LOW"))))))</f>
        <v/>
      </c>
      <c r="H8" t="inlineStr"/>
      <c r="I8" t="inlineStr"/>
      <c r="J8" t="inlineStr"/>
      <c r="K8" t="inlineStr"/>
      <c r="L8" t="inlineStr"/>
      <c r="M8" t="inlineStr">
        <is>
          <t>https://www.lazada.com.ph/products/pdp-i2389149360-s10880220744.html</t>
        </is>
      </c>
      <c r="N8" t="n">
        <v>1</v>
      </c>
    </row>
    <row r="9">
      <c r="A9" t="inlineStr">
        <is>
          <t>functionality: 10 quality: 10 material: 10 the midnight color gives a sophisticated look. , the dual-camera system captures stunning photos. ,</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IF(AND(B9="NEUTRAL",F9="Low"),"LOW",IF(AND(C9="TS",F9="High",D9=3),"HIGH",IF(AND(C9="TS",F9="High",OR(D9=2,D9=4)),"MODERATE",IF(AND(C9="TS",F9="High",OR(D9=1,D9=5)),"LOW",IF(AND(C9="OS",E9="Consistent",OR(D9=1,D9=5)),"MODERATE",IF(AND(C9="OS",E9="Partially Consistent",OR(D9=2,D9=4)),"MODERATE","LOW"))))))</f>
        <v/>
      </c>
      <c r="H9" t="inlineStr"/>
      <c r="I9" t="inlineStr"/>
      <c r="J9" t="inlineStr"/>
      <c r="K9" t="inlineStr"/>
      <c r="L9" t="inlineStr"/>
      <c r="M9" t="inlineStr">
        <is>
          <t>https://www.lazada.com.ph/products/pdp-i2389149360-s10880220744.html</t>
        </is>
      </c>
      <c r="N9" t="n">
        <v>1</v>
      </c>
    </row>
    <row r="10">
      <c r="A10" t="inlineStr">
        <is>
          <t>brandnew sya and mabilis na deliver. 100% legit. quality: the battery capacity is impressive. , functionality: the dual-camera system captures stunning photos. ,</t>
        </is>
      </c>
      <c r="B10" t="inlineStr">
        <is>
          <t>NEUTRAL</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IF(AND(B10="NEUTRAL",F10="Low"),"LOW",IF(AND(C10="TS",F10="High",D10=3),"HIGH",IF(AND(C10="TS",F10="High",OR(D10=2,D10=4)),"MODERATE",IF(AND(C10="TS",F10="High",OR(D10=1,D10=5)),"LOW",IF(AND(C10="OS",E10="Consistent",OR(D10=1,D10=5)),"MODERATE",IF(AND(C10="OS",E10="Partially Consistent",OR(D10=2,D10=4)),"MODERATE","LOW"))))))</f>
        <v/>
      </c>
      <c r="H10" t="inlineStr"/>
      <c r="I10" t="inlineStr"/>
      <c r="J10" t="inlineStr"/>
      <c r="K10" t="inlineStr"/>
      <c r="L10" t="inlineStr"/>
      <c r="M10" t="inlineStr">
        <is>
          <t>https://www.lazada.com.ph/products/pdp-i2389149360-s10880220744.html</t>
        </is>
      </c>
      <c r="N10" t="n">
        <v>1</v>
      </c>
    </row>
    <row r="11">
      <c r="A11" t="inlineStr">
        <is>
          <t>7 days bago ko ni order received! so happy legit and brand new sealed. thank you btb nakaka kaba pala</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IF(AND(B11="NEUTRAL",F11="Low"),"LOW",IF(AND(C11="TS",F11="High",D11=3),"HIGH",IF(AND(C11="TS",F11="High",OR(D11=2,D11=4)),"MODERATE",IF(AND(C11="TS",F11="High",OR(D11=1,D11=5)),"LOW",IF(AND(C11="OS",E11="Consistent",OR(D11=1,D11=5)),"MODERATE",IF(AND(C11="OS",E11="Partially Consistent",OR(D11=2,D11=4)),"MODERATE","LOW"))))))</f>
        <v/>
      </c>
      <c r="H11" t="inlineStr"/>
      <c r="I11" t="inlineStr"/>
      <c r="J11" t="inlineStr"/>
      <c r="K11" t="inlineStr"/>
      <c r="L11" t="inlineStr"/>
      <c r="M11" t="inlineStr">
        <is>
          <t>https://www.lazada.com.ph/products/pdp-i2389149360-s10880220744.html</t>
        </is>
      </c>
      <c r="N11" t="n">
        <v>1</v>
      </c>
    </row>
    <row r="12">
      <c r="A12" t="inlineStr">
        <is>
          <t>the midnight color gives a sophisticated look. , the midnight color gives a sophisticated look. , the battery capacity is impressive. , the dual-camera system captures stunning photos. , the pink color is fun and trendy. ,</t>
        </is>
      </c>
      <c r="B12" t="inlineStr">
        <is>
          <t>NEUTRAL</t>
        </is>
      </c>
      <c r="C12">
        <f>IF(B12="NEUTRAL","TS","OS")</f>
        <v/>
      </c>
      <c r="D12" t="n">
        <v>5</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IF(AND(B12="NEUTRAL",F12="Low"),"LOW",IF(AND(C12="TS",F12="High",D12=3),"HIGH",IF(AND(C12="TS",F12="High",OR(D12=2,D12=4)),"MODERATE",IF(AND(C12="TS",F12="High",OR(D12=1,D12=5)),"LOW",IF(AND(C12="OS",E12="Consistent",OR(D12=1,D12=5)),"MODERATE",IF(AND(C12="OS",E12="Partially Consistent",OR(D12=2,D12=4)),"MODERATE","LOW"))))))</f>
        <v/>
      </c>
      <c r="H12" t="inlineStr"/>
      <c r="I12" t="inlineStr"/>
      <c r="J12" t="inlineStr"/>
      <c r="K12" t="inlineStr"/>
      <c r="L12" t="inlineStr"/>
      <c r="M12" t="inlineStr">
        <is>
          <t>https://www.lazada.com.ph/products/pdp-i2389149360-s10880220744.html</t>
        </is>
      </c>
      <c r="N12" t="n">
        <v>1</v>
      </c>
    </row>
    <row r="13">
      <c r="A13" t="inlineStr">
        <is>
          <t>the dual-camera system captures stunning photos. , the dual-camera system captures stunning photos. , the dual-camera system captures stunning photos. , the midnight color gives a sophisticated look. ,</t>
        </is>
      </c>
      <c r="B13" t="inlineStr">
        <is>
          <t>NEUTRAL</t>
        </is>
      </c>
      <c r="C13">
        <f>IF(B13="NEUTRAL","TS","OS")</f>
        <v/>
      </c>
      <c r="D13" t="n">
        <v>5</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IF(AND(B13="NEUTRAL",F13="Low"),"LOW",IF(AND(C13="TS",F13="High",D13=3),"HIGH",IF(AND(C13="TS",F13="High",OR(D13=2,D13=4)),"MODERATE",IF(AND(C13="TS",F13="High",OR(D13=1,D13=5)),"LOW",IF(AND(C13="OS",E13="Consistent",OR(D13=1,D13=5)),"MODERATE",IF(AND(C13="OS",E13="Partially Consistent",OR(D13=2,D13=4)),"MODERATE","LOW"))))))</f>
        <v/>
      </c>
      <c r="H13" t="inlineStr"/>
      <c r="I13" t="inlineStr"/>
      <c r="J13" t="inlineStr"/>
      <c r="K13" t="inlineStr"/>
      <c r="L13" t="inlineStr"/>
      <c r="M13" t="inlineStr">
        <is>
          <t>https://www.lazada.com.ph/products/pdp-i2389149360-s10880220744.html</t>
        </is>
      </c>
      <c r="N13" t="n">
        <v>1</v>
      </c>
    </row>
    <row r="14">
      <c r="A14" t="inlineStr">
        <is>
          <t>it is legit guys! ! ! got it during 8. 8 received in just 1 day! super thank you! ! !</t>
        </is>
      </c>
      <c r="B14" t="inlineStr">
        <is>
          <t>POSITIVE</t>
        </is>
      </c>
      <c r="C14">
        <f>IF(B14="NEUTRAL","TS","OS")</f>
        <v/>
      </c>
      <c r="D14" t="n">
        <v>5</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IF(AND(B14="NEUTRAL",F14="Low"),"LOW",IF(AND(C14="TS",F14="High",D14=3),"HIGH",IF(AND(C14="TS",F14="High",OR(D14=2,D14=4)),"MODERATE",IF(AND(C14="TS",F14="High",OR(D14=1,D14=5)),"LOW",IF(AND(C14="OS",E14="Consistent",OR(D14=1,D14=5)),"MODERATE",IF(AND(C14="OS",E14="Partially Consistent",OR(D14=2,D14=4)),"MODERATE","LOW"))))))</f>
        <v/>
      </c>
      <c r="H14" t="inlineStr"/>
      <c r="I14" t="inlineStr"/>
      <c r="J14" t="inlineStr"/>
      <c r="K14" t="inlineStr"/>
      <c r="L14" t="inlineStr"/>
      <c r="M14" t="inlineStr">
        <is>
          <t>https://www.lazada.com.ph/products/pdp-i2389149360-s10880220744.html</t>
        </is>
      </c>
      <c r="N14" t="n">
        <v>1</v>
      </c>
    </row>
    <row r="15">
      <c r="A15" t="inlineStr">
        <is>
          <t>placed my order last march 27, 2022 and dumating nung march 29, 2022. got this for 45, 700+ only. i think sulit na sya kasi 52, 490 ang original price nya. thank you lazada! !</t>
        </is>
      </c>
      <c r="B15" t="inlineStr">
        <is>
          <t>POSITIVE</t>
        </is>
      </c>
      <c r="C15">
        <f>IF(B15="NEUTRAL","TS","OS")</f>
        <v/>
      </c>
      <c r="D15" t="n">
        <v>5</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IF(AND(B15="NEUTRAL",F15="Low"),"LOW",IF(AND(C15="TS",F15="High",D15=3),"HIGH",IF(AND(C15="TS",F15="High",OR(D15=2,D15=4)),"MODERATE",IF(AND(C15="TS",F15="High",OR(D15=1,D15=5)),"LOW",IF(AND(C15="OS",E15="Consistent",OR(D15=1,D15=5)),"MODERATE",IF(AND(C15="OS",E15="Partially Consistent",OR(D15=2,D15=4)),"MODERATE","LOW"))))))</f>
        <v/>
      </c>
      <c r="H15" t="inlineStr"/>
      <c r="I15" t="inlineStr"/>
      <c r="J15" t="inlineStr"/>
      <c r="K15" t="inlineStr"/>
      <c r="L15" t="inlineStr"/>
      <c r="M15" t="inlineStr">
        <is>
          <t>https://www.lazada.com.ph/products/pdp-i2389149360-s10880220744.html</t>
        </is>
      </c>
      <c r="N15" t="n">
        <v>1</v>
      </c>
    </row>
    <row r="16">
      <c r="A16" t="inlineStr">
        <is>
          <t>the midnight color gives a sophisticated look. , the dual-camera system captures stunning photos. , item is in best condition. first time buying above 30k worth of gadget here in lazada.</t>
        </is>
      </c>
      <c r="B16" t="inlineStr">
        <is>
          <t>POSITIVE</t>
        </is>
      </c>
      <c r="C16">
        <f>IF(B16="NEUTRAL","TS","OS")</f>
        <v/>
      </c>
      <c r="D16" t="n">
        <v>5</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IF(AND(B16="NEUTRAL",F16="Low"),"LOW",IF(AND(C16="TS",F16="High",D16=3),"HIGH",IF(AND(C16="TS",F16="High",OR(D16=2,D16=4)),"MODERATE",IF(AND(C16="TS",F16="High",OR(D16=1,D16=5)),"LOW",IF(AND(C16="OS",E16="Consistent",OR(D16=1,D16=5)),"MODERATE",IF(AND(C16="OS",E16="Partially Consistent",OR(D16=2,D16=4)),"MODERATE","LOW"))))))</f>
        <v/>
      </c>
      <c r="H16" t="inlineStr"/>
      <c r="I16" t="inlineStr"/>
      <c r="J16" t="inlineStr"/>
      <c r="K16" t="inlineStr"/>
      <c r="L16" t="inlineStr"/>
      <c r="M16" t="inlineStr">
        <is>
          <t>https://www.lazada.com.ph/products/pdp-i2389149360-s10880220744.html</t>
        </is>
      </c>
      <c r="N16" t="n">
        <v>1</v>
      </c>
    </row>
    <row r="17">
      <c r="A17" t="inlineStr">
        <is>
          <t>the dual-camera system captures stunning photos, the pink color is fun and trendy thank you so much beyond the box fast shipping as well</t>
        </is>
      </c>
      <c r="B17" t="inlineStr">
        <is>
          <t>NEUTRAL</t>
        </is>
      </c>
      <c r="C17">
        <f>IF(B17="NEUTRAL","TS","OS")</f>
        <v/>
      </c>
      <c r="D17" t="n">
        <v>5</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IF(AND(B17="NEUTRAL",F17="Low"),"LOW",IF(AND(C17="TS",F17="High",D17=3),"HIGH",IF(AND(C17="TS",F17="High",OR(D17=2,D17=4)),"MODERATE",IF(AND(C17="TS",F17="High",OR(D17=1,D17=5)),"LOW",IF(AND(C17="OS",E17="Consistent",OR(D17=1,D17=5)),"MODERATE",IF(AND(C17="OS",E17="Partially Consistent",OR(D17=2,D17=4)),"MODERATE","LOW"))))))</f>
        <v/>
      </c>
      <c r="H17" t="inlineStr"/>
      <c r="I17" t="inlineStr"/>
      <c r="J17" t="inlineStr"/>
      <c r="K17" t="inlineStr"/>
      <c r="L17" t="inlineStr"/>
      <c r="M17" t="inlineStr">
        <is>
          <t>https://www.lazada.com.ph/products/pdp-i2389149360-s10880220744.html</t>
        </is>
      </c>
      <c r="N17" t="n">
        <v>1</v>
      </c>
    </row>
    <row r="18">
      <c r="A18" t="inlineStr">
        <is>
          <t>the dual-camera system captures stunning photos. , the (product) red color is eye-catching. , the battery capacity is impressive. ,</t>
        </is>
      </c>
      <c r="B18" t="inlineStr">
        <is>
          <t>NEUTRAL</t>
        </is>
      </c>
      <c r="C18">
        <f>IF(B18="NEUTRAL","TS","OS")</f>
        <v/>
      </c>
      <c r="D18" t="n">
        <v>5</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IF(AND(B18="NEUTRAL",F18="Low"),"LOW",IF(AND(C18="TS",F18="High",D18=3),"HIGH",IF(AND(C18="TS",F18="High",OR(D18=2,D18=4)),"MODERATE",IF(AND(C18="TS",F18="High",OR(D18=1,D18=5)),"LOW",IF(AND(C18="OS",E18="Consistent",OR(D18=1,D18=5)),"MODERATE",IF(AND(C18="OS",E18="Partially Consistent",OR(D18=2,D18=4)),"MODERATE","LOW"))))))</f>
        <v/>
      </c>
      <c r="H18" t="inlineStr"/>
      <c r="I18" t="inlineStr"/>
      <c r="J18" t="inlineStr"/>
      <c r="K18" t="inlineStr"/>
      <c r="L18" t="inlineStr"/>
      <c r="M18" t="inlineStr">
        <is>
          <t>https://www.lazada.com.ph/products/pdp-i2389149360-s10880220744.html</t>
        </is>
      </c>
      <c r="N18" t="n">
        <v>1</v>
      </c>
    </row>
    <row r="19">
      <c r="A19" t="inlineStr">
        <is>
          <t>very fast delivery. received it in a day after i placed my order. late review only very nice and legit. bought it during lazada' s bday sale so i got it on a very discounted price. so it' s really a good deal. thanks lazada, seller and rider. more power and god bless.</t>
        </is>
      </c>
      <c r="B19" t="inlineStr">
        <is>
          <t>POSITIVE</t>
        </is>
      </c>
      <c r="C19">
        <f>IF(B19="NEUTRAL","TS","OS")</f>
        <v/>
      </c>
      <c r="D19" t="n">
        <v>5</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IF(AND(B19="NEUTRAL",F19="Low"),"LOW",IF(AND(C19="TS",F19="High",D19=3),"HIGH",IF(AND(C19="TS",F19="High",OR(D19=2,D19=4)),"MODERATE",IF(AND(C19="TS",F19="High",OR(D19=1,D19=5)),"LOW",IF(AND(C19="OS",E19="Consistent",OR(D19=1,D19=5)),"MODERATE",IF(AND(C19="OS",E19="Partially Consistent",OR(D19=2,D19=4)),"MODERATE","LOW"))))))</f>
        <v/>
      </c>
      <c r="H19" t="inlineStr"/>
      <c r="I19" t="inlineStr"/>
      <c r="J19" t="inlineStr"/>
      <c r="K19" t="inlineStr"/>
      <c r="L19" t="inlineStr"/>
      <c r="M19" t="inlineStr">
        <is>
          <t>https://www.lazada.com.ph/products/pdp-i2389149360-s10880220744.html</t>
        </is>
      </c>
      <c r="N19" t="n">
        <v>1</v>
      </c>
    </row>
    <row r="20">
      <c r="A20" t="inlineStr">
        <is>
          <t>1 day lang nadeliver/received agad. 100% legit. thanks, btb.</t>
        </is>
      </c>
      <c r="B20" t="inlineStr">
        <is>
          <t>POSITIVE</t>
        </is>
      </c>
      <c r="C20">
        <f>IF(B20="NEUTRAL","TS","OS")</f>
        <v/>
      </c>
      <c r="D20" t="n">
        <v>5</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IF(AND(B20="NEUTRAL",F20="Low"),"LOW",IF(AND(C20="TS",F20="High",D20=3),"HIGH",IF(AND(C20="TS",F20="High",OR(D20=2,D20=4)),"MODERATE",IF(AND(C20="TS",F20="High",OR(D20=1,D20=5)),"LOW",IF(AND(C20="OS",E20="Consistent",OR(D20=1,D20=5)),"MODERATE",IF(AND(C20="OS",E20="Partially Consistent",OR(D20=2,D20=4)),"MODERATE","LOW"))))))</f>
        <v/>
      </c>
      <c r="H20" t="inlineStr"/>
      <c r="I20" t="inlineStr"/>
      <c r="J20" t="inlineStr"/>
      <c r="K20" t="inlineStr"/>
      <c r="L20" t="inlineStr"/>
      <c r="M20" t="inlineStr">
        <is>
          <t>https://www.lazada.com.ph/products/pdp-i2389149360-s10880220744.html</t>
        </is>
      </c>
      <c r="N20" t="n">
        <v>1</v>
      </c>
    </row>
    <row r="21">
      <c r="A21" t="inlineStr">
        <is>
          <t>the dual-camera system captures stunning photos. , the dual-camera system captures stunning photos. , the midnight color gives a sophisticated look. ,</t>
        </is>
      </c>
      <c r="B21" t="inlineStr">
        <is>
          <t>NEUTRAL</t>
        </is>
      </c>
      <c r="C21">
        <f>IF(B21="NEUTRAL","TS","OS")</f>
        <v/>
      </c>
      <c r="D21" t="n">
        <v>5</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IF(AND(B21="NEUTRAL",F21="Low"),"LOW",IF(AND(C21="TS",F21="High",D21=3),"HIGH",IF(AND(C21="TS",F21="High",OR(D21=2,D21=4)),"MODERATE",IF(AND(C21="TS",F21="High",OR(D21=1,D21=5)),"LOW",IF(AND(C21="OS",E21="Consistent",OR(D21=1,D21=5)),"MODERATE",IF(AND(C21="OS",E21="Partially Consistent",OR(D21=2,D21=4)),"MODERATE","LOW"))))))</f>
        <v/>
      </c>
      <c r="H21" t="inlineStr"/>
      <c r="I21" t="inlineStr"/>
      <c r="J21" t="inlineStr"/>
      <c r="K21" t="inlineStr"/>
      <c r="L21" t="inlineStr"/>
      <c r="M21" t="inlineStr">
        <is>
          <t>https://www.lazada.com.ph/products/pdp-i2389149360-s10880220744.html</t>
        </is>
      </c>
      <c r="N21" t="n">
        <v>1</v>
      </c>
    </row>
    <row r="22">
      <c r="A22" t="inlineStr">
        <is>
          <t>okay naman sya. . haven' t seen any problem yet. . . thanks</t>
        </is>
      </c>
      <c r="B22" t="inlineStr">
        <is>
          <t>POSITIVE</t>
        </is>
      </c>
      <c r="C22">
        <f>IF(B22="NEUTRAL","TS","OS")</f>
        <v/>
      </c>
      <c r="D22" t="n">
        <v>4</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IF(AND(B22="NEUTRAL",F22="Low"),"LOW",IF(AND(C22="TS",F22="High",D22=3),"HIGH",IF(AND(C22="TS",F22="High",OR(D22=2,D22=4)),"MODERATE",IF(AND(C22="TS",F22="High",OR(D22=1,D22=5)),"LOW",IF(AND(C22="OS",E22="Consistent",OR(D22=1,D22=5)),"MODERATE",IF(AND(C22="OS",E22="Partially Consistent",OR(D22=2,D22=4)),"MODERATE","LOW"))))))</f>
        <v/>
      </c>
      <c r="H22" t="inlineStr"/>
      <c r="I22" t="inlineStr"/>
      <c r="J22" t="inlineStr"/>
      <c r="K22" t="inlineStr"/>
      <c r="L22" t="inlineStr"/>
      <c r="M22" t="inlineStr">
        <is>
          <t>https://www.lazada.com.ph/products/pdp-i2389149360-s10880220744.html</t>
        </is>
      </c>
      <c r="N22" t="n">
        <v>1</v>
      </c>
    </row>
    <row r="23">
      <c r="A23" t="inlineStr">
        <is>
          <t>the (product) red color is eye-catching. , the dual-camera system captures stunning photos. ,</t>
        </is>
      </c>
      <c r="B23" t="inlineStr">
        <is>
          <t>NEUTRAL</t>
        </is>
      </c>
      <c r="C23">
        <f>IF(B23="NEUTRAL","TS","OS")</f>
        <v/>
      </c>
      <c r="D23" t="n">
        <v>4</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IF(AND(B23="NEUTRAL",F23="Low"),"LOW",IF(AND(C23="TS",F23="High",D23=3),"HIGH",IF(AND(C23="TS",F23="High",OR(D23=2,D23=4)),"MODERATE",IF(AND(C23="TS",F23="High",OR(D23=1,D23=5)),"LOW",IF(AND(C23="OS",E23="Consistent",OR(D23=1,D23=5)),"MODERATE",IF(AND(C23="OS",E23="Partially Consistent",OR(D23=2,D23=4)),"MODERATE","LOW"))))))</f>
        <v/>
      </c>
      <c r="H23" t="inlineStr"/>
      <c r="I23" t="inlineStr"/>
      <c r="J23" t="inlineStr"/>
      <c r="K23" t="inlineStr"/>
      <c r="L23" t="inlineStr"/>
      <c r="M23" t="inlineStr">
        <is>
          <t>https://www.lazada.com.ph/products/pdp-i2389149360-s10880220744.html</t>
        </is>
      </c>
      <c r="N23" t="n">
        <v>1</v>
      </c>
    </row>
    <row r="24">
      <c r="A24" t="inlineStr">
        <is>
          <t>the dual-camera system captures stunning photos. , the midnight color gives a sophisticated look. , the (product) red color is eye-catching. ,</t>
        </is>
      </c>
      <c r="B24" t="inlineStr">
        <is>
          <t>NEUTRAL</t>
        </is>
      </c>
      <c r="C24">
        <f>IF(B24="NEUTRAL","TS","OS")</f>
        <v/>
      </c>
      <c r="D24" t="n">
        <v>4</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IF(AND(B24="NEUTRAL",F24="Low"),"LOW",IF(AND(C24="TS",F24="High",D24=3),"HIGH",IF(AND(C24="TS",F24="High",OR(D24=2,D24=4)),"MODERATE",IF(AND(C24="TS",F24="High",OR(D24=1,D24=5)),"LOW",IF(AND(C24="OS",E24="Consistent",OR(D24=1,D24=5)),"MODERATE",IF(AND(C24="OS",E24="Partially Consistent",OR(D24=2,D24=4)),"MODERATE","LOW"))))))</f>
        <v/>
      </c>
      <c r="H24" t="inlineStr"/>
      <c r="I24" t="inlineStr"/>
      <c r="J24" t="inlineStr"/>
      <c r="K24" t="inlineStr"/>
      <c r="L24" t="inlineStr"/>
      <c r="M24" t="inlineStr">
        <is>
          <t>https://www.lazada.com.ph/products/pdp-i2389149360-s10880220744.html</t>
        </is>
      </c>
      <c r="N24" t="n">
        <v>1</v>
      </c>
    </row>
    <row r="25">
      <c r="A25" t="inlineStr">
        <is>
          <t>satisfied with the phone but not so much with the packaging.</t>
        </is>
      </c>
      <c r="B25" t="inlineStr">
        <is>
          <t>NEGATIVE</t>
        </is>
      </c>
      <c r="C25">
        <f>IF(B25="NEUTRAL","TS","OS")</f>
        <v/>
      </c>
      <c r="D25" t="n">
        <v>4</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IF(AND(B25="NEUTRAL",F25="Low"),"LOW",IF(AND(C25="TS",F25="High",D25=3),"HIGH",IF(AND(C25="TS",F25="High",OR(D25=2,D25=4)),"MODERATE",IF(AND(C25="TS",F25="High",OR(D25=1,D25=5)),"LOW",IF(AND(C25="OS",E25="Consistent",OR(D25=1,D25=5)),"MODERATE",IF(AND(C25="OS",E25="Partially Consistent",OR(D25=2,D25=4)),"MODERATE","LOW"))))))</f>
        <v/>
      </c>
      <c r="H25" t="inlineStr"/>
      <c r="I25" t="inlineStr"/>
      <c r="J25" t="inlineStr"/>
      <c r="K25" t="inlineStr"/>
      <c r="L25" t="inlineStr"/>
      <c r="M25" t="inlineStr">
        <is>
          <t>https://www.lazada.com.ph/products/pdp-i2389149360-s10880220744.html</t>
        </is>
      </c>
      <c r="N25" t="n">
        <v>1</v>
      </c>
    </row>
    <row r="26">
      <c r="A26" t="inlineStr">
        <is>
          <t>the box has dent. but the item is in good condition. fast delivery</t>
        </is>
      </c>
      <c r="B26" t="inlineStr">
        <is>
          <t>NEUTRAL</t>
        </is>
      </c>
      <c r="C26">
        <f>IF(B26="NEUTRAL","TS","OS")</f>
        <v/>
      </c>
      <c r="D26" t="n">
        <v>4</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IF(AND(B26="NEUTRAL",F26="Low"),"LOW",IF(AND(C26="TS",F26="High",D26=3),"HIGH",IF(AND(C26="TS",F26="High",OR(D26=2,D26=4)),"MODERATE",IF(AND(C26="TS",F26="High",OR(D26=1,D26=5)),"LOW",IF(AND(C26="OS",E26="Consistent",OR(D26=1,D26=5)),"MODERATE",IF(AND(C26="OS",E26="Partially Consistent",OR(D26=2,D26=4)),"MODERATE","LOW"))))))</f>
        <v/>
      </c>
      <c r="H26" t="inlineStr"/>
      <c r="I26" t="inlineStr"/>
      <c r="J26" t="inlineStr"/>
      <c r="K26" t="inlineStr"/>
      <c r="L26" t="inlineStr"/>
      <c r="M26" t="inlineStr">
        <is>
          <t>https://www.lazada.com.ph/products/pdp-i2389149360-s10880220744.html</t>
        </is>
      </c>
      <c r="N26" t="n">
        <v>1</v>
      </c>
    </row>
    <row r="27">
      <c r="A27" t="inlineStr">
        <is>
          <t>as of now, i dont have any issues with my phone as i have been using this for 5 days since it was delivered. my issue with this is the delivery date and the customer service from lazada that i had experienced. there were delays with my parcel as holy week was observed, but then the problem with the lazada was their tracker. its not updated. the said estimated delivery date was not reached and if i did not chat them everyday i could not get any updates. good thing the seller here, beyond the box was really accommodating as they have been replying to my queries but then they dont know the status also as ninja ph is the courier. i dont have a picture/proof but the delivery guy gave to me my parcel and was already opened. i was alarmed as nobody from lazada customer service told me that they will open my parcel. the guy told me when it was given to him by the coron hub, it was already opened. in short, ang alarming sa part ng customer na bukas na ang box pagdating sa akin, kaya napatagal ako sa pagbigay ng review dito since that day busy din ako sa work and i was thinking what to say as a review. would like to tell btb na kausapin ang courier ulit since nabuksan na parcel ko pagdating dito, thankful na walang nawala.</t>
        </is>
      </c>
      <c r="B27" t="inlineStr">
        <is>
          <t>NEGATIVE</t>
        </is>
      </c>
      <c r="C27">
        <f>IF(B27="NEUTRAL","TS","OS")</f>
        <v/>
      </c>
      <c r="D27" t="n">
        <v>4</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IF(AND(B27="NEUTRAL",F27="Low"),"LOW",IF(AND(C27="TS",F27="High",D27=3),"HIGH",IF(AND(C27="TS",F27="High",OR(D27=2,D27=4)),"MODERATE",IF(AND(C27="TS",F27="High",OR(D27=1,D27=5)),"LOW",IF(AND(C27="OS",E27="Consistent",OR(D27=1,D27=5)),"MODERATE",IF(AND(C27="OS",E27="Partially Consistent",OR(D27=2,D27=4)),"MODERATE","LOW"))))))</f>
        <v/>
      </c>
      <c r="H27" t="inlineStr"/>
      <c r="I27" t="inlineStr"/>
      <c r="J27" t="inlineStr"/>
      <c r="K27" t="inlineStr"/>
      <c r="L27" t="inlineStr"/>
      <c r="M27" t="inlineStr">
        <is>
          <t>https://www.lazada.com.ph/products/pdp-i2389149360-s10880220744.html</t>
        </is>
      </c>
      <c r="N27" t="n">
        <v>1</v>
      </c>
    </row>
    <row r="28">
      <c r="A28" t="inlineStr">
        <is>
          <t>takes time to deliver the package.</t>
        </is>
      </c>
      <c r="B28" t="inlineStr">
        <is>
          <t>NEUTRAL</t>
        </is>
      </c>
      <c r="C28">
        <f>IF(B28="NEUTRAL","TS","OS")</f>
        <v/>
      </c>
      <c r="D28" t="n">
        <v>1</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IF(AND(B28="NEUTRAL",F28="Low"),"LOW",IF(AND(C28="TS",F28="High",D28=3),"HIGH",IF(AND(C28="TS",F28="High",OR(D28=2,D28=4)),"MODERATE",IF(AND(C28="TS",F28="High",OR(D28=1,D28=5)),"LOW",IF(AND(C28="OS",E28="Consistent",OR(D28=1,D28=5)),"MODERATE",IF(AND(C28="OS",E28="Partially Consistent",OR(D28=2,D28=4)),"MODERATE","LOW"))))))</f>
        <v/>
      </c>
      <c r="H28" t="inlineStr"/>
      <c r="I28" t="inlineStr"/>
      <c r="J28" t="inlineStr"/>
      <c r="K28" t="inlineStr"/>
      <c r="L28" t="inlineStr"/>
      <c r="M28" t="inlineStr">
        <is>
          <t>https://www.lazada.com.ph/products/pdp-i2389149360-s10880220744.html</t>
        </is>
      </c>
      <c r="N28" t="n">
        <v>1</v>
      </c>
    </row>
    <row r="29">
      <c r="A29" t="inlineStr">
        <is>
          <t>bagal ng delivery. took a week to deliver e laguna lang naman ako. sana sa greenshills nlng ako kumuha</t>
        </is>
      </c>
      <c r="B29" t="inlineStr">
        <is>
          <t>NEGATIVE</t>
        </is>
      </c>
      <c r="C29">
        <f>IF(B29="NEUTRAL","TS","OS")</f>
        <v/>
      </c>
      <c r="D29" t="n">
        <v>1</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IF(AND(B29="NEUTRAL",F29="Low"),"LOW",IF(AND(C29="TS",F29="High",D29=3),"HIGH",IF(AND(C29="TS",F29="High",OR(D29=2,D29=4)),"MODERATE",IF(AND(C29="TS",F29="High",OR(D29=1,D29=5)),"LOW",IF(AND(C29="OS",E29="Consistent",OR(D29=1,D29=5)),"MODERATE",IF(AND(C29="OS",E29="Partially Consistent",OR(D29=2,D29=4)),"MODERATE","LOW"))))))</f>
        <v/>
      </c>
      <c r="H29" t="inlineStr"/>
      <c r="I29" t="inlineStr"/>
      <c r="J29" t="inlineStr"/>
      <c r="K29" t="inlineStr"/>
      <c r="L29" t="inlineStr"/>
      <c r="M29" t="inlineStr">
        <is>
          <t>https://www.lazada.com.ph/products/pdp-i2389149360-s10880220744.html</t>
        </is>
      </c>
      <c r="N29" t="n">
        <v>1</v>
      </c>
    </row>
    <row r="30">
      <c r="A30" t="inlineStr">
        <is>
          <t>please process our refund request. the item we received is not an iphone 13. this is a scam! ! ! ! lazada denied the refund! please process the request. the sticker was tampered to hide the details of the item, this is a scam! please help refund the 54k amount! thank you.</t>
        </is>
      </c>
      <c r="B30" t="inlineStr">
        <is>
          <t>NEGATIVE</t>
        </is>
      </c>
      <c r="C30">
        <f>IF(B30="NEUTRAL","TS","OS")</f>
        <v/>
      </c>
      <c r="D30" t="n">
        <v>1</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IF(AND(B30="NEUTRAL",F30="Low"),"LOW",IF(AND(C30="TS",F30="High",D30=3),"HIGH",IF(AND(C30="TS",F30="High",OR(D30=2,D30=4)),"MODERATE",IF(AND(C30="TS",F30="High",OR(D30=1,D30=5)),"LOW",IF(AND(C30="OS",E30="Consistent",OR(D30=1,D30=5)),"MODERATE",IF(AND(C30="OS",E30="Partially Consistent",OR(D30=2,D30=4)),"MODERATE","LOW"))))))</f>
        <v/>
      </c>
      <c r="H30" t="inlineStr"/>
      <c r="I30" t="inlineStr"/>
      <c r="J30" t="inlineStr"/>
      <c r="K30" t="inlineStr"/>
      <c r="L30" t="inlineStr"/>
      <c r="M30" t="inlineStr">
        <is>
          <t>https://www.lazada.com.ph/products/pdp-i2389149360-s10880220744.html</t>
        </is>
      </c>
      <c r="N30" t="n">
        <v>1</v>
      </c>
    </row>
    <row r="31">
      <c r="A31" t="inlineStr">
        <is>
          <t>packaging was not handled with care. box inside was open. i asked the rider to open it while i record it on camera. very disappointed.</t>
        </is>
      </c>
      <c r="B31" t="inlineStr">
        <is>
          <t>NEGATIVE</t>
        </is>
      </c>
      <c r="C31">
        <f>IF(B31="NEUTRAL","TS","OS")</f>
        <v/>
      </c>
      <c r="D31" t="n">
        <v>1</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IF(AND(B31="NEUTRAL",F31="Low"),"LOW",IF(AND(C31="TS",F31="High",D31=3),"HIGH",IF(AND(C31="TS",F31="High",OR(D31=2,D31=4)),"MODERATE",IF(AND(C31="TS",F31="High",OR(D31=1,D31=5)),"LOW",IF(AND(C31="OS",E31="Consistent",OR(D31=1,D31=5)),"MODERATE",IF(AND(C31="OS",E31="Partially Consistent",OR(D31=2,D31=4)),"MODERATE","LOW"))))))</f>
        <v/>
      </c>
      <c r="H31" t="inlineStr"/>
      <c r="I31" t="inlineStr"/>
      <c r="J31" t="inlineStr"/>
      <c r="K31" t="inlineStr"/>
      <c r="L31" t="inlineStr"/>
      <c r="M31" t="inlineStr">
        <is>
          <t>https://www.lazada.com.ph/products/pdp-i2389149360-s10880220744.html</t>
        </is>
      </c>
      <c r="N31" t="n">
        <v>1</v>
      </c>
    </row>
    <row r="32">
      <c r="A32" t="inlineStr">
        <is>
          <t>the courier throw my iphone in my garage. did not even call me. the phone maybe damage for throwing. very poor delivery. not acceptable.</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IF(AND(B32="NEUTRAL",F32="Low"),"LOW",IF(AND(C32="TS",F32="High",D32=3),"HIGH",IF(AND(C32="TS",F32="High",OR(D32=2,D32=4)),"MODERATE",IF(AND(C32="TS",F32="High",OR(D32=1,D32=5)),"LOW",IF(AND(C32="OS",E32="Consistent",OR(D32=1,D32=5)),"MODERATE",IF(AND(C32="OS",E32="Partially Consistent",OR(D32=2,D32=4)),"MODERATE","LOW"))))))</f>
        <v/>
      </c>
      <c r="H32" t="inlineStr"/>
      <c r="I32" t="inlineStr"/>
      <c r="J32" t="inlineStr"/>
      <c r="K32" t="inlineStr"/>
      <c r="L32" t="inlineStr"/>
      <c r="M32" t="inlineStr">
        <is>
          <t>https://www.lazada.com.ph/products/pdp-i2389149360-s10880220744.html</t>
        </is>
      </c>
      <c r="N32" t="n">
        <v>1</v>
      </c>
    </row>
    <row r="33">
      <c r="A33" t="inlineStr">
        <is>
          <t>takes time to deliver the package.</t>
        </is>
      </c>
      <c r="B33" t="inlineStr">
        <is>
          <t>NEUTRAL</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IF(AND(B33="NEUTRAL",F33="Low"),"LOW",IF(AND(C33="TS",F33="High",D33=3),"HIGH",IF(AND(C33="TS",F33="High",OR(D33=2,D33=4)),"MODERATE",IF(AND(C33="TS",F33="High",OR(D33=1,D33=5)),"LOW",IF(AND(C33="OS",E33="Consistent",OR(D33=1,D33=5)),"MODERATE",IF(AND(C33="OS",E33="Partially Consistent",OR(D33=2,D33=4)),"MODERATE","LOW"))))))</f>
        <v/>
      </c>
      <c r="H33" t="inlineStr"/>
      <c r="I33" t="inlineStr"/>
      <c r="J33" t="inlineStr"/>
      <c r="K33" t="inlineStr"/>
      <c r="L33" t="inlineStr"/>
      <c r="M33" t="inlineStr">
        <is>
          <t>https://www.lazada.com.ph/products/pdp-i2389149360-s10880220744.html</t>
        </is>
      </c>
      <c r="N33" t="n">
        <v>1</v>
      </c>
    </row>
    <row r="34">
      <c r="A34" t="inlineStr">
        <is>
          <t>bagal ng delivery. took a week to deliver e laguna lang naman ako. sana sa greenshills nlng ako kumuha</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IF(AND(B34="NEUTRAL",F34="Low"),"LOW",IF(AND(C34="TS",F34="High",D34=3),"HIGH",IF(AND(C34="TS",F34="High",OR(D34=2,D34=4)),"MODERATE",IF(AND(C34="TS",F34="High",OR(D34=1,D34=5)),"LOW",IF(AND(C34="OS",E34="Consistent",OR(D34=1,D34=5)),"MODERATE",IF(AND(C34="OS",E34="Partially Consistent",OR(D34=2,D34=4)),"MODERATE","LOW"))))))</f>
        <v/>
      </c>
      <c r="H34" t="inlineStr"/>
      <c r="I34" t="inlineStr"/>
      <c r="J34" t="inlineStr"/>
      <c r="K34" t="inlineStr"/>
      <c r="L34" t="inlineStr"/>
      <c r="M34" t="inlineStr">
        <is>
          <t>https://www.lazada.com.ph/products/pdp-i2389149360-s10880220744.html</t>
        </is>
      </c>
      <c r="N34" t="n">
        <v>1</v>
      </c>
    </row>
    <row r="35">
      <c r="A35" t="inlineStr">
        <is>
          <t>please process our refund request. the item we received is not an iphone 13. this is a scam! ! ! ! lazada denied the refund! please process the request. the sticker was tampered to hide the details of the item, this is a scam! please help refund the 54k amount! thank you.</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IF(AND(B35="NEUTRAL",F35="Low"),"LOW",IF(AND(C35="TS",F35="High",D35=3),"HIGH",IF(AND(C35="TS",F35="High",OR(D35=2,D35=4)),"MODERATE",IF(AND(C35="TS",F35="High",OR(D35=1,D35=5)),"LOW",IF(AND(C35="OS",E35="Consistent",OR(D35=1,D35=5)),"MODERATE",IF(AND(C35="OS",E35="Partially Consistent",OR(D35=2,D35=4)),"MODERATE","LOW"))))))</f>
        <v/>
      </c>
      <c r="H35" t="inlineStr"/>
      <c r="I35" t="inlineStr"/>
      <c r="J35" t="inlineStr"/>
      <c r="K35" t="inlineStr"/>
      <c r="L35" t="inlineStr"/>
      <c r="M35" t="inlineStr">
        <is>
          <t>https://www.lazada.com.ph/products/pdp-i2389149360-s10880220744.html</t>
        </is>
      </c>
      <c r="N35" t="n">
        <v>1</v>
      </c>
    </row>
    <row r="36">
      <c r="A36" t="inlineStr">
        <is>
          <t>packaging was not handled with care. box inside was open. i asked the rider to open it while i record it on camera. very disappointed.</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IF(AND(B36="NEUTRAL",F36="Low"),"LOW",IF(AND(C36="TS",F36="High",D36=3),"HIGH",IF(AND(C36="TS",F36="High",OR(D36=2,D36=4)),"MODERATE",IF(AND(C36="TS",F36="High",OR(D36=1,D36=5)),"LOW",IF(AND(C36="OS",E36="Consistent",OR(D36=1,D36=5)),"MODERATE",IF(AND(C36="OS",E36="Partially Consistent",OR(D36=2,D36=4)),"MODERATE","LOW"))))))</f>
        <v/>
      </c>
      <c r="H36" t="inlineStr"/>
      <c r="I36" t="inlineStr"/>
      <c r="J36" t="inlineStr"/>
      <c r="K36" t="inlineStr"/>
      <c r="L36" t="inlineStr"/>
      <c r="M36" t="inlineStr">
        <is>
          <t>https://www.lazada.com.ph/products/pdp-i2389149360-s10880220744.html</t>
        </is>
      </c>
      <c r="N36" t="n">
        <v>1</v>
      </c>
    </row>
    <row r="37">
      <c r="A37" t="inlineStr">
        <is>
          <t>the courier throw my iphone in my garage. did not even call me. the phone maybe damage for throwing. very poor delivery. not acceptable.</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IF(AND(B37="NEUTRAL",F37="Low"),"LOW",IF(AND(C37="TS",F37="High",D37=3),"HIGH",IF(AND(C37="TS",F37="High",OR(D37=2,D37=4)),"MODERATE",IF(AND(C37="TS",F37="High",OR(D37=1,D37=5)),"LOW",IF(AND(C37="OS",E37="Consistent",OR(D37=1,D37=5)),"MODERATE",IF(AND(C37="OS",E37="Partially Consistent",OR(D37=2,D37=4)),"MODERATE","LOW"))))))</f>
        <v/>
      </c>
      <c r="H37" t="inlineStr"/>
      <c r="I37" t="inlineStr"/>
      <c r="J37" t="inlineStr"/>
      <c r="K37" t="inlineStr"/>
      <c r="L37" t="inlineStr"/>
      <c r="M37" t="inlineStr">
        <is>
          <t>https://www.lazada.com.ph/products/pdp-i2389149360-s10880220744.html</t>
        </is>
      </c>
      <c r="N37" t="n">
        <v>1</v>
      </c>
    </row>
    <row r="38">
      <c r="A38" t="inlineStr">
        <is>
          <t>disappointed. got the package but the box has damage as seen on the posted pics. i hope the unit inside is not affected</t>
        </is>
      </c>
      <c r="B38" t="inlineStr">
        <is>
          <t>NEUTRAL</t>
        </is>
      </c>
      <c r="C38">
        <f>IF(B38="NEUTRAL","TS","OS")</f>
        <v/>
      </c>
      <c r="D38" t="n">
        <v>3</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IF(AND(B38="NEUTRAL",F38="Low"),"LOW",IF(AND(C38="TS",F38="High",D38=3),"HIGH",IF(AND(C38="TS",F38="High",OR(D38=2,D38=4)),"MODERATE",IF(AND(C38="TS",F38="High",OR(D38=1,D38=5)),"LOW",IF(AND(C38="OS",E38="Consistent",OR(D38=1,D38=5)),"MODERATE",IF(AND(C38="OS",E38="Partially Consistent",OR(D38=2,D38=4)),"MODERATE","LOW"))))))</f>
        <v/>
      </c>
      <c r="H38" t="inlineStr"/>
      <c r="I38" t="inlineStr"/>
      <c r="J38" t="inlineStr"/>
      <c r="K38" t="inlineStr"/>
      <c r="L38" t="inlineStr"/>
      <c r="M38" t="inlineStr">
        <is>
          <t>https://www.lazada.com.ph/products/pdp-i2389149360-s10880220744.html</t>
        </is>
      </c>
      <c r="N38" t="n">
        <v>1</v>
      </c>
    </row>
    <row r="39">
      <c r="A39" t="inlineStr">
        <is>
          <t>first time buying online, sobrang tagaaaaaaaaal iship. mas okay sa mismong store na lang bumili.</t>
        </is>
      </c>
      <c r="B39" t="inlineStr">
        <is>
          <t>NEUTRAL</t>
        </is>
      </c>
      <c r="C39">
        <f>IF(B39="NEUTRAL","TS","OS")</f>
        <v/>
      </c>
      <c r="D39" t="n">
        <v>3</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IF(AND(B39="NEUTRAL",F39="Low"),"LOW",IF(AND(C39="TS",F39="High",D39=3),"HIGH",IF(AND(C39="TS",F39="High",OR(D39=2,D39=4)),"MODERATE",IF(AND(C39="TS",F39="High",OR(D39=1,D39=5)),"LOW",IF(AND(C39="OS",E39="Consistent",OR(D39=1,D39=5)),"MODERATE",IF(AND(C39="OS",E39="Partially Consistent",OR(D39=2,D39=4)),"MODERATE","LOW"))))))</f>
        <v/>
      </c>
      <c r="H39" t="inlineStr"/>
      <c r="I39" t="inlineStr"/>
      <c r="J39" t="inlineStr"/>
      <c r="K39" t="inlineStr"/>
      <c r="L39" t="inlineStr"/>
      <c r="M39" t="inlineStr">
        <is>
          <t>https://www.lazada.com.ph/products/pdp-i2389149360-s10880220744.html</t>
        </is>
      </c>
      <c r="N39" t="n">
        <v>1</v>
      </c>
    </row>
    <row r="40">
      <c r="A40" t="inlineStr">
        <is>
          <t>mabilis malow battery. yung package nung dumating is basa. the package is not that safe. i had hard time setting up basic info here kasi loading lang naka ilang shutdown ako.</t>
        </is>
      </c>
      <c r="B40" t="inlineStr">
        <is>
          <t>NEUTRAL</t>
        </is>
      </c>
      <c r="C40">
        <f>IF(B40="NEUTRAL","TS","OS")</f>
        <v/>
      </c>
      <c r="D40" t="n">
        <v>3</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IF(AND(B40="NEUTRAL",F40="Low"),"LOW",IF(AND(C40="TS",F40="High",D40=3),"HIGH",IF(AND(C40="TS",F40="High",OR(D40=2,D40=4)),"MODERATE",IF(AND(C40="TS",F40="High",OR(D40=1,D40=5)),"LOW",IF(AND(C40="OS",E40="Consistent",OR(D40=1,D40=5)),"MODERATE",IF(AND(C40="OS",E40="Partially Consistent",OR(D40=2,D40=4)),"MODERATE","LOW"))))))</f>
        <v/>
      </c>
      <c r="H40" t="inlineStr"/>
      <c r="I40" t="inlineStr"/>
      <c r="J40" t="inlineStr"/>
      <c r="K40" t="inlineStr"/>
      <c r="L40" t="inlineStr"/>
      <c r="M40" t="inlineStr">
        <is>
          <t>https://www.lazada.com.ph/products/pdp-i2389149360-s10880220744.html</t>
        </is>
      </c>
      <c r="N40" t="n">
        <v>1</v>
      </c>
    </row>
    <row r="41">
      <c r="A41" t="inlineStr">
        <is>
          <t>enhanced workout metrics for better performance, stay connected and motivated all day, battery life: mabilis lang mag lowbat</t>
        </is>
      </c>
      <c r="B41" t="inlineStr">
        <is>
          <t>NEUTRAL</t>
        </is>
      </c>
      <c r="C41">
        <f>IF(B41="NEUTRAL","TS","OS")</f>
        <v/>
      </c>
      <c r="D41" t="n">
        <v>5</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IF(AND(B41="NEUTRAL",F41="Low"),"LOW",IF(AND(C41="TS",F41="High",D41=3),"HIGH",IF(AND(C41="TS",F41="High",OR(D41=2,D41=4)),"MODERATE",IF(AND(C41="TS",F41="High",OR(D41=1,D41=5)),"LOW",IF(AND(C41="OS",E41="Consistent",OR(D41=1,D41=5)),"MODERATE",IF(AND(C41="OS",E41="Partially Consistent",OR(D41=2,D41=4)),"MODERATE","LOW"))))))</f>
        <v/>
      </c>
      <c r="H41" t="inlineStr"/>
      <c r="I41" t="inlineStr"/>
      <c r="J41" t="inlineStr"/>
      <c r="K41" t="inlineStr"/>
      <c r="L41" t="inlineStr"/>
      <c r="M41" t="inlineStr">
        <is>
          <t>https://www.lazada.com.ph/products/pdp-i4665460902-s26890279439.html</t>
        </is>
      </c>
      <c r="N41" t="n">
        <v>2</v>
      </c>
    </row>
    <row r="42">
      <c r="A42" t="inlineStr">
        <is>
          <t>compatibility: ok na ok lalo na if apple user kaaa battery life: incredibly nagttagal! water resistance: havent tried it yet best purchase for the year 2024! legit sya! authentic and original! haha! nung una may doubtful akoo, but upon using it for a week, its a must have lalo na sa mga busy people reco talaga! lalo na kung apple user ka! bili na rin kayooo. . purchase it last december 20, now lang naka review cause chineck ko tlga full potential, sa battery mabilis bumaba pero di naman sya naglolobat agad, its like the usual iphone were using so nooo worries naman sa batt. normal lang kay apple talaga ung mabilis bumaba ang batt percent haha! ung airtag sa orange app yan, hehe!</t>
        </is>
      </c>
      <c r="B42" t="inlineStr">
        <is>
          <t>NEUTRAL</t>
        </is>
      </c>
      <c r="C42">
        <f>IF(B42="NEUTRAL","TS","OS")</f>
        <v/>
      </c>
      <c r="D42" t="n">
        <v>5</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IF(AND(B42="NEUTRAL",F42="Low"),"LOW",IF(AND(C42="TS",F42="High",D42=3),"HIGH",IF(AND(C42="TS",F42="High",OR(D42=2,D42=4)),"MODERATE",IF(AND(C42="TS",F42="High",OR(D42=1,D42=5)),"LOW",IF(AND(C42="OS",E42="Consistent",OR(D42=1,D42=5)),"MODERATE",IF(AND(C42="OS",E42="Partially Consistent",OR(D42=2,D42=4)),"MODERATE","LOW"))))))</f>
        <v/>
      </c>
      <c r="H42" t="inlineStr"/>
      <c r="I42" t="inlineStr"/>
      <c r="J42" t="inlineStr"/>
      <c r="K42" t="inlineStr"/>
      <c r="L42" t="inlineStr"/>
      <c r="M42" t="inlineStr">
        <is>
          <t>https://www.lazada.com.ph/products/pdp-i4665460902-s26890279439.html</t>
        </is>
      </c>
      <c r="N42" t="n">
        <v>2</v>
      </c>
    </row>
    <row r="43">
      <c r="A43" t="inlineStr">
        <is>
          <t>the package arrived a day after i ordered it. very straightforward and easy to use. packed well and securely.</t>
        </is>
      </c>
      <c r="B43" t="inlineStr">
        <is>
          <t>POSITIVE</t>
        </is>
      </c>
      <c r="C43">
        <f>IF(B43="NEUTRAL","TS","OS")</f>
        <v/>
      </c>
      <c r="D43" t="n">
        <v>5</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IF(AND(B43="NEUTRAL",F43="Low"),"LOW",IF(AND(C43="TS",F43="High",D43=3),"HIGH",IF(AND(C43="TS",F43="High",OR(D43=2,D43=4)),"MODERATE",IF(AND(C43="TS",F43="High",OR(D43=1,D43=5)),"LOW",IF(AND(C43="OS",E43="Consistent",OR(D43=1,D43=5)),"MODERATE",IF(AND(C43="OS",E43="Partially Consistent",OR(D43=2,D43=4)),"MODERATE","LOW"))))))</f>
        <v/>
      </c>
      <c r="H43" t="inlineStr"/>
      <c r="I43" t="inlineStr"/>
      <c r="J43" t="inlineStr"/>
      <c r="K43" t="inlineStr"/>
      <c r="L43" t="inlineStr"/>
      <c r="M43" t="inlineStr">
        <is>
          <t>https://www.lazada.com.ph/products/pdp-i4665460902-s26890279439.html</t>
        </is>
      </c>
      <c r="N43" t="n">
        <v>2</v>
      </c>
    </row>
    <row r="44">
      <c r="A44" t="inlineStr">
        <is>
          <t>intelligent and personalized watchos 11, sleek and stylish design, enhanced workout metrics for better performance, long-lasting battery life, heart rate tracking for better fitness monitoring, stay connected and motivated all day, fall detection feature for added safety, stay connected and motivated all day, heart rate tracking for better fitness monitoring,</t>
        </is>
      </c>
      <c r="B44" t="inlineStr">
        <is>
          <t>NEUTRAL</t>
        </is>
      </c>
      <c r="C44">
        <f>IF(B44="NEUTRAL","TS","OS")</f>
        <v/>
      </c>
      <c r="D44" t="n">
        <v>5</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IF(AND(B44="NEUTRAL",F44="Low"),"LOW",IF(AND(C44="TS",F44="High",D44=3),"HIGH",IF(AND(C44="TS",F44="High",OR(D44=2,D44=4)),"MODERATE",IF(AND(C44="TS",F44="High",OR(D44=1,D44=5)),"LOW",IF(AND(C44="OS",E44="Consistent",OR(D44=1,D44=5)),"MODERATE",IF(AND(C44="OS",E44="Partially Consistent",OR(D44=2,D44=4)),"MODERATE","LOW"))))))</f>
        <v/>
      </c>
      <c r="H44" t="inlineStr"/>
      <c r="I44" t="inlineStr"/>
      <c r="J44" t="inlineStr"/>
      <c r="K44" t="inlineStr"/>
      <c r="L44" t="inlineStr"/>
      <c r="M44" t="inlineStr">
        <is>
          <t>https://www.lazada.com.ph/products/pdp-i4665460902-s26890279439.html</t>
        </is>
      </c>
      <c r="N44" t="n">
        <v>2</v>
      </c>
    </row>
    <row r="45">
      <c r="A45" t="inlineStr">
        <is>
          <t>incredible value for money, fall detection feature for added safety, incredible value for money, fall detection feature for added safety, incredible value for money, fall detection feature for added safety, incredible value for money, fall detection feature for added safety,</t>
        </is>
      </c>
      <c r="B45" t="inlineStr">
        <is>
          <t>NEGATIVE</t>
        </is>
      </c>
      <c r="C45">
        <f>IF(B45="NEUTRAL","TS","OS")</f>
        <v/>
      </c>
      <c r="D45" t="n">
        <v>5</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IF(AND(B45="NEUTRAL",F45="Low"),"LOW",IF(AND(C45="TS",F45="High",D45=3),"HIGH",IF(AND(C45="TS",F45="High",OR(D45=2,D45=4)),"MODERATE",IF(AND(C45="TS",F45="High",OR(D45=1,D45=5)),"LOW",IF(AND(C45="OS",E45="Consistent",OR(D45=1,D45=5)),"MODERATE",IF(AND(C45="OS",E45="Partially Consistent",OR(D45=2,D45=4)),"MODERATE","LOW"))))))</f>
        <v/>
      </c>
      <c r="H45" t="inlineStr"/>
      <c r="I45" t="inlineStr"/>
      <c r="J45" t="inlineStr"/>
      <c r="K45" t="inlineStr"/>
      <c r="L45" t="inlineStr"/>
      <c r="M45" t="inlineStr">
        <is>
          <t>https://www.lazada.com.ph/products/pdp-i4665460902-s26890279439.html</t>
        </is>
      </c>
      <c r="N45" t="n">
        <v>2</v>
      </c>
    </row>
    <row r="46">
      <c r="A46" t="inlineStr">
        <is>
          <t>arrived the following day! so glad i caught this on sale. so in love with the color too, very chic for a smartwatch. can' t wait to use this</t>
        </is>
      </c>
      <c r="B46" t="inlineStr">
        <is>
          <t>POSITIVE</t>
        </is>
      </c>
      <c r="C46">
        <f>IF(B46="NEUTRAL","TS","OS")</f>
        <v/>
      </c>
      <c r="D46" t="n">
        <v>5</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IF(AND(B46="NEUTRAL",F46="Low"),"LOW",IF(AND(C46="TS",F46="High",D46=3),"HIGH",IF(AND(C46="TS",F46="High",OR(D46=2,D46=4)),"MODERATE",IF(AND(C46="TS",F46="High",OR(D46=1,D46=5)),"LOW",IF(AND(C46="OS",E46="Consistent",OR(D46=1,D46=5)),"MODERATE",IF(AND(C46="OS",E46="Partially Consistent",OR(D46=2,D46=4)),"MODERATE","LOW"))))))</f>
        <v/>
      </c>
      <c r="H46" t="inlineStr"/>
      <c r="I46" t="inlineStr"/>
      <c r="J46" t="inlineStr"/>
      <c r="K46" t="inlineStr"/>
      <c r="L46" t="inlineStr"/>
      <c r="M46" t="inlineStr">
        <is>
          <t>https://www.lazada.com.ph/products/pdp-i4665460902-s26890279439.html</t>
        </is>
      </c>
      <c r="N46" t="n">
        <v>2</v>
      </c>
    </row>
    <row r="47">
      <c r="A47" t="inlineStr">
        <is>
          <t>compatibility: enhanced workout metrics for better performance, track your health with ease, heart rate tracking for better fitness monitoring,</t>
        </is>
      </c>
      <c r="B47" t="inlineStr">
        <is>
          <t>NEUTRAL</t>
        </is>
      </c>
      <c r="C47">
        <f>IF(B47="NEUTRAL","TS","OS")</f>
        <v/>
      </c>
      <c r="D47" t="n">
        <v>5</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IF(AND(B47="NEUTRAL",F47="Low"),"LOW",IF(AND(C47="TS",F47="High",D47=3),"HIGH",IF(AND(C47="TS",F47="High",OR(D47=2,D47=4)),"MODERATE",IF(AND(C47="TS",F47="High",OR(D47=1,D47=5)),"LOW",IF(AND(C47="OS",E47="Consistent",OR(D47=1,D47=5)),"MODERATE",IF(AND(C47="OS",E47="Partially Consistent",OR(D47=2,D47=4)),"MODERATE","LOW"))))))</f>
        <v/>
      </c>
      <c r="H47" t="inlineStr"/>
      <c r="I47" t="inlineStr"/>
      <c r="J47" t="inlineStr"/>
      <c r="K47" t="inlineStr"/>
      <c r="L47" t="inlineStr"/>
      <c r="M47" t="inlineStr">
        <is>
          <t>https://www.lazada.com.ph/products/pdp-i4665460902-s26890279439.html</t>
        </is>
      </c>
      <c r="N47" t="n">
        <v>2</v>
      </c>
    </row>
    <row r="48">
      <c r="A48" t="inlineStr">
        <is>
          <t>heart rate tracking for better fitness monitoring, sleek and stylish design, aestheticccc</t>
        </is>
      </c>
      <c r="B48" t="inlineStr">
        <is>
          <t>NEUTRAL</t>
        </is>
      </c>
      <c r="C48">
        <f>IF(B48="NEUTRAL","TS","OS")</f>
        <v/>
      </c>
      <c r="D48" t="n">
        <v>5</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IF(AND(B48="NEUTRAL",F48="Low"),"LOW",IF(AND(C48="TS",F48="High",D48=3),"HIGH",IF(AND(C48="TS",F48="High",OR(D48=2,D48=4)),"MODERATE",IF(AND(C48="TS",F48="High",OR(D48=1,D48=5)),"LOW",IF(AND(C48="OS",E48="Consistent",OR(D48=1,D48=5)),"MODERATE",IF(AND(C48="OS",E48="Partially Consistent",OR(D48=2,D48=4)),"MODERATE","LOW"))))))</f>
        <v/>
      </c>
      <c r="H48" t="inlineStr"/>
      <c r="I48" t="inlineStr"/>
      <c r="J48" t="inlineStr"/>
      <c r="K48" t="inlineStr"/>
      <c r="L48" t="inlineStr"/>
      <c r="M48" t="inlineStr">
        <is>
          <t>https://www.lazada.com.ph/products/pdp-i4665460902-s26890279439.html</t>
        </is>
      </c>
      <c r="N48" t="n">
        <v>2</v>
      </c>
    </row>
    <row r="49">
      <c r="A49" t="inlineStr">
        <is>
          <t>i am so happy with my purchase! thank you so much lazada and beyond the box!</t>
        </is>
      </c>
      <c r="B49" t="inlineStr">
        <is>
          <t>POSITIVE</t>
        </is>
      </c>
      <c r="C49">
        <f>IF(B49="NEUTRAL","TS","OS")</f>
        <v/>
      </c>
      <c r="D49" t="n">
        <v>5</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IF(AND(B49="NEUTRAL",F49="Low"),"LOW",IF(AND(C49="TS",F49="High",D49=3),"HIGH",IF(AND(C49="TS",F49="High",OR(D49=2,D49=4)),"MODERATE",IF(AND(C49="TS",F49="High",OR(D49=1,D49=5)),"LOW",IF(AND(C49="OS",E49="Consistent",OR(D49=1,D49=5)),"MODERATE",IF(AND(C49="OS",E49="Partially Consistent",OR(D49=2,D49=4)),"MODERATE","LOW"))))))</f>
        <v/>
      </c>
      <c r="H49" t="inlineStr"/>
      <c r="I49" t="inlineStr"/>
      <c r="J49" t="inlineStr"/>
      <c r="K49" t="inlineStr"/>
      <c r="L49" t="inlineStr"/>
      <c r="M49" t="inlineStr">
        <is>
          <t>https://www.lazada.com.ph/products/pdp-i4665460902-s26890279439.html</t>
        </is>
      </c>
      <c r="N49" t="n">
        <v>2</v>
      </c>
    </row>
    <row r="50">
      <c r="A50" t="inlineStr">
        <is>
          <t>compatibility: it just need an updated version of ios battery life: not yet tried water resistance: not yet tried over all the item is well packed</t>
        </is>
      </c>
      <c r="B50" t="inlineStr">
        <is>
          <t>NEUTRAL</t>
        </is>
      </c>
      <c r="C50">
        <f>IF(B50="NEUTRAL","TS","OS")</f>
        <v/>
      </c>
      <c r="D50" t="n">
        <v>5</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IF(AND(B50="NEUTRAL",F50="Low"),"LOW",IF(AND(C50="TS",F50="High",D50=3),"HIGH",IF(AND(C50="TS",F50="High",OR(D50=2,D50=4)),"MODERATE",IF(AND(C50="TS",F50="High",OR(D50=1,D50=5)),"LOW",IF(AND(C50="OS",E50="Consistent",OR(D50=1,D50=5)),"MODERATE",IF(AND(C50="OS",E50="Partially Consistent",OR(D50=2,D50=4)),"MODERATE","LOW"))))))</f>
        <v/>
      </c>
      <c r="H50" t="inlineStr"/>
      <c r="I50" t="inlineStr"/>
      <c r="J50" t="inlineStr"/>
      <c r="K50" t="inlineStr"/>
      <c r="L50" t="inlineStr"/>
      <c r="M50" t="inlineStr">
        <is>
          <t>https://www.lazada.com.ph/products/pdp-i4665460902-s26890279439.html</t>
        </is>
      </c>
      <c r="N50" t="n">
        <v>2</v>
      </c>
    </row>
    <row r="51">
      <c r="A51" t="inlineStr">
        <is>
          <t>intelligent and personalized watchos 11, sleek and stylish design, i hate the delivery took too long to deliver. cancelled my first order so i have to reorder</t>
        </is>
      </c>
      <c r="B51" t="inlineStr">
        <is>
          <t>NEGATIVE</t>
        </is>
      </c>
      <c r="C51">
        <f>IF(B51="NEUTRAL","TS","OS")</f>
        <v/>
      </c>
      <c r="D51" t="n">
        <v>5</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IF(AND(B51="NEUTRAL",F51="Low"),"LOW",IF(AND(C51="TS",F51="High",D51=3),"HIGH",IF(AND(C51="TS",F51="High",OR(D51=2,D51=4)),"MODERATE",IF(AND(C51="TS",F51="High",OR(D51=1,D51=5)),"LOW",IF(AND(C51="OS",E51="Consistent",OR(D51=1,D51=5)),"MODERATE",IF(AND(C51="OS",E51="Partially Consistent",OR(D51=2,D51=4)),"MODERATE","LOW"))))))</f>
        <v/>
      </c>
      <c r="H51" t="inlineStr"/>
      <c r="I51" t="inlineStr"/>
      <c r="J51" t="inlineStr"/>
      <c r="K51" t="inlineStr"/>
      <c r="L51" t="inlineStr"/>
      <c r="M51" t="inlineStr">
        <is>
          <t>https://www.lazada.com.ph/products/pdp-i4665460902-s26890279439.html</t>
        </is>
      </c>
      <c r="N51" t="n">
        <v>2</v>
      </c>
    </row>
    <row r="52">
      <c r="A52" t="inlineStr">
        <is>
          <t>incredible value for money, intelligent and personalized watchos 11</t>
        </is>
      </c>
      <c r="B52" t="inlineStr">
        <is>
          <t>POSITIVE</t>
        </is>
      </c>
      <c r="C52">
        <f>IF(B52="NEUTRAL","TS","OS")</f>
        <v/>
      </c>
      <c r="D52" t="n">
        <v>5</v>
      </c>
      <c r="E52">
        <f>IF(C52="TS",IF(D52=3,"Consistent",IF(OR(D52=2,D52=4),"Partially Consistent","Inconsistent")),IF(D52=3,"Inconsistent",IF(AND(D52=5,B52="POSITIVE"),"Consistent",IF(AND(D52=1,B52="NEGATIVE"),"Consistent",IF(AND(D52=4,B52="POSITIVE"),"Partially Consistent",IF(AND(D52=2,B52="NEGATIVE"),"Partially Consistent","Inconsistent"))))))</f>
        <v/>
      </c>
      <c r="F52">
        <f>IF(C52="TS","High","Low")</f>
        <v/>
      </c>
      <c r="G52">
        <f>IF(AND(B52="NEUTRAL",F52="Low"),"LOW",IF(AND(C52="TS",F52="High",D52=3),"HIGH",IF(AND(C52="TS",F52="High",OR(D52=2,D52=4)),"MODERATE",IF(AND(C52="TS",F52="High",OR(D52=1,D52=5)),"LOW",IF(AND(C52="OS",E52="Consistent",OR(D52=1,D52=5)),"MODERATE",IF(AND(C52="OS",E52="Partially Consistent",OR(D52=2,D52=4)),"MODERATE","LOW"))))))</f>
        <v/>
      </c>
      <c r="H52" t="inlineStr"/>
      <c r="I52" t="inlineStr"/>
      <c r="J52" t="inlineStr"/>
      <c r="K52" t="inlineStr"/>
      <c r="L52" t="inlineStr"/>
      <c r="M52" t="inlineStr">
        <is>
          <t>https://www.lazada.com.ph/products/pdp-i4665460902-s26890279439.html</t>
        </is>
      </c>
      <c r="N52" t="n">
        <v>2</v>
      </c>
    </row>
    <row r="53">
      <c r="A53" t="inlineStr">
        <is>
          <t>super ganda and super sulit! best decision ever. sleek and stylish design, track your health with ease, intelligent and personalized watchos 11, heart rate tracking for better fitness monitoring, compatible with android devices, incredible value for money, enhanced workout metrics for better performance, stay connected and motivated all day,</t>
        </is>
      </c>
      <c r="B53" t="inlineStr">
        <is>
          <t>POSITIVE</t>
        </is>
      </c>
      <c r="C53">
        <f>IF(B53="NEUTRAL","TS","OS")</f>
        <v/>
      </c>
      <c r="D53" t="n">
        <v>5</v>
      </c>
      <c r="E53">
        <f>IF(C53="TS",IF(D53=3,"Consistent",IF(OR(D53=2,D53=4),"Partially Consistent","Inconsistent")),IF(D53=3,"Inconsistent",IF(AND(D53=5,B53="POSITIVE"),"Consistent",IF(AND(D53=1,B53="NEGATIVE"),"Consistent",IF(AND(D53=4,B53="POSITIVE"),"Partially Consistent",IF(AND(D53=2,B53="NEGATIVE"),"Partially Consistent","Inconsistent"))))))</f>
        <v/>
      </c>
      <c r="F53">
        <f>IF(C53="TS","High","Low")</f>
        <v/>
      </c>
      <c r="G53">
        <f>IF(AND(B53="NEUTRAL",F53="Low"),"LOW",IF(AND(C53="TS",F53="High",D53=3),"HIGH",IF(AND(C53="TS",F53="High",OR(D53=2,D53=4)),"MODERATE",IF(AND(C53="TS",F53="High",OR(D53=1,D53=5)),"LOW",IF(AND(C53="OS",E53="Consistent",OR(D53=1,D53=5)),"MODERATE",IF(AND(C53="OS",E53="Partially Consistent",OR(D53=2,D53=4)),"MODERATE","LOW"))))))</f>
        <v/>
      </c>
      <c r="H53" t="inlineStr"/>
      <c r="I53" t="inlineStr"/>
      <c r="J53" t="inlineStr"/>
      <c r="K53" t="inlineStr"/>
      <c r="L53" t="inlineStr"/>
      <c r="M53" t="inlineStr">
        <is>
          <t>https://www.lazada.com.ph/products/pdp-i4665460902-s26890279439.html</t>
        </is>
      </c>
      <c r="N53" t="n">
        <v>2</v>
      </c>
    </row>
    <row r="54">
      <c r="A54" t="inlineStr">
        <is>
          <t>enhanced workout metrics for better performance, intelligent and personalized watchos 11, nabili ko lang to ng 10k+ super sulit! thank u so much beyond the box!</t>
        </is>
      </c>
      <c r="B54" t="inlineStr">
        <is>
          <t>POSITIVE</t>
        </is>
      </c>
      <c r="C54">
        <f>IF(B54="NEUTRAL","TS","OS")</f>
        <v/>
      </c>
      <c r="D54" t="n">
        <v>5</v>
      </c>
      <c r="E54">
        <f>IF(C54="TS",IF(D54=3,"Consistent",IF(OR(D54=2,D54=4),"Partially Consistent","Inconsistent")),IF(D54=3,"Inconsistent",IF(AND(D54=5,B54="POSITIVE"),"Consistent",IF(AND(D54=1,B54="NEGATIVE"),"Consistent",IF(AND(D54=4,B54="POSITIVE"),"Partially Consistent",IF(AND(D54=2,B54="NEGATIVE"),"Partially Consistent","Inconsistent"))))))</f>
        <v/>
      </c>
      <c r="F54">
        <f>IF(C54="TS","High","Low")</f>
        <v/>
      </c>
      <c r="G54">
        <f>IF(AND(B54="NEUTRAL",F54="Low"),"LOW",IF(AND(C54="TS",F54="High",D54=3),"HIGH",IF(AND(C54="TS",F54="High",OR(D54=2,D54=4)),"MODERATE",IF(AND(C54="TS",F54="High",OR(D54=1,D54=5)),"LOW",IF(AND(C54="OS",E54="Consistent",OR(D54=1,D54=5)),"MODERATE",IF(AND(C54="OS",E54="Partially Consistent",OR(D54=2,D54=4)),"MODERATE","LOW"))))))</f>
        <v/>
      </c>
      <c r="H54" t="inlineStr"/>
      <c r="I54" t="inlineStr"/>
      <c r="J54" t="inlineStr"/>
      <c r="K54" t="inlineStr"/>
      <c r="L54" t="inlineStr"/>
      <c r="M54" t="inlineStr">
        <is>
          <t>https://www.lazada.com.ph/products/pdp-i4665460902-s26890279439.html</t>
        </is>
      </c>
      <c r="N54" t="n">
        <v>2</v>
      </c>
    </row>
    <row r="55">
      <c r="A55" t="inlineStr">
        <is>
          <t>stay connected and motivated all day, enhanced workout metrics for better performance, track your health with ease,</t>
        </is>
      </c>
      <c r="B55" t="inlineStr">
        <is>
          <t>POSITIVE</t>
        </is>
      </c>
      <c r="C55">
        <f>IF(B55="NEUTRAL","TS","OS")</f>
        <v/>
      </c>
      <c r="D55" t="n">
        <v>5</v>
      </c>
      <c r="E55">
        <f>IF(C55="TS",IF(D55=3,"Consistent",IF(OR(D55=2,D55=4),"Partially Consistent","Inconsistent")),IF(D55=3,"Inconsistent",IF(AND(D55=5,B55="POSITIVE"),"Consistent",IF(AND(D55=1,B55="NEGATIVE"),"Consistent",IF(AND(D55=4,B55="POSITIVE"),"Partially Consistent",IF(AND(D55=2,B55="NEGATIVE"),"Partially Consistent","Inconsistent"))))))</f>
        <v/>
      </c>
      <c r="F55">
        <f>IF(C55="TS","High","Low")</f>
        <v/>
      </c>
      <c r="G55">
        <f>IF(AND(B55="NEUTRAL",F55="Low"),"LOW",IF(AND(C55="TS",F55="High",D55=3),"HIGH",IF(AND(C55="TS",F55="High",OR(D55=2,D55=4)),"MODERATE",IF(AND(C55="TS",F55="High",OR(D55=1,D55=5)),"LOW",IF(AND(C55="OS",E55="Consistent",OR(D55=1,D55=5)),"MODERATE",IF(AND(C55="OS",E55="Partially Consistent",OR(D55=2,D55=4)),"MODERATE","LOW"))))))</f>
        <v/>
      </c>
      <c r="H55" t="inlineStr"/>
      <c r="I55" t="inlineStr"/>
      <c r="J55" t="inlineStr"/>
      <c r="K55" t="inlineStr"/>
      <c r="L55" t="inlineStr"/>
      <c r="M55" t="inlineStr">
        <is>
          <t>https://www.lazada.com.ph/products/pdp-i4665460902-s26890279439.html</t>
        </is>
      </c>
      <c r="N55" t="n">
        <v>2</v>
      </c>
    </row>
    <row r="56">
      <c r="A56" t="inlineStr">
        <is>
          <t>enhanced workout metrics for better performance, stay connected and motivated all day, track your health with ease, incredible value for money, sleek and stylish design, long-lasting battery life,</t>
        </is>
      </c>
      <c r="B56" t="inlineStr">
        <is>
          <t>NEUTRAL</t>
        </is>
      </c>
      <c r="C56">
        <f>IF(B56="NEUTRAL","TS","OS")</f>
        <v/>
      </c>
      <c r="D56" t="n">
        <v>5</v>
      </c>
      <c r="E56">
        <f>IF(C56="TS",IF(D56=3,"Consistent",IF(OR(D56=2,D56=4),"Partially Consistent","Inconsistent")),IF(D56=3,"Inconsistent",IF(AND(D56=5,B56="POSITIVE"),"Consistent",IF(AND(D56=1,B56="NEGATIVE"),"Consistent",IF(AND(D56=4,B56="POSITIVE"),"Partially Consistent",IF(AND(D56=2,B56="NEGATIVE"),"Partially Consistent","Inconsistent"))))))</f>
        <v/>
      </c>
      <c r="F56">
        <f>IF(C56="TS","High","Low")</f>
        <v/>
      </c>
      <c r="G56">
        <f>IF(AND(B56="NEUTRAL",F56="Low"),"LOW",IF(AND(C56="TS",F56="High",D56=3),"HIGH",IF(AND(C56="TS",F56="High",OR(D56=2,D56=4)),"MODERATE",IF(AND(C56="TS",F56="High",OR(D56=1,D56=5)),"LOW",IF(AND(C56="OS",E56="Consistent",OR(D56=1,D56=5)),"MODERATE",IF(AND(C56="OS",E56="Partially Consistent",OR(D56=2,D56=4)),"MODERATE","LOW"))))))</f>
        <v/>
      </c>
      <c r="H56" t="inlineStr"/>
      <c r="I56" t="inlineStr"/>
      <c r="J56" t="inlineStr"/>
      <c r="K56" t="inlineStr"/>
      <c r="L56" t="inlineStr"/>
      <c r="M56" t="inlineStr">
        <is>
          <t>https://www.lazada.com.ph/products/pdp-i4665460902-s26890279439.html</t>
        </is>
      </c>
      <c r="N56" t="n">
        <v>2</v>
      </c>
    </row>
    <row r="57">
      <c r="A57" t="inlineStr">
        <is>
          <t>ayos na ayos! ang bilis ng delivery ah. in just more than 12 hrs! ganyan sana para sa lahat ng items! auos naman yung item mukang legit naman</t>
        </is>
      </c>
      <c r="B57" t="inlineStr">
        <is>
          <t>NEUTRAL</t>
        </is>
      </c>
      <c r="C57">
        <f>IF(B57="NEUTRAL","TS","OS")</f>
        <v/>
      </c>
      <c r="D57" t="n">
        <v>5</v>
      </c>
      <c r="E57">
        <f>IF(C57="TS",IF(D57=3,"Consistent",IF(OR(D57=2,D57=4),"Partially Consistent","Inconsistent")),IF(D57=3,"Inconsistent",IF(AND(D57=5,B57="POSITIVE"),"Consistent",IF(AND(D57=1,B57="NEGATIVE"),"Consistent",IF(AND(D57=4,B57="POSITIVE"),"Partially Consistent",IF(AND(D57=2,B57="NEGATIVE"),"Partially Consistent","Inconsistent"))))))</f>
        <v/>
      </c>
      <c r="F57">
        <f>IF(C57="TS","High","Low")</f>
        <v/>
      </c>
      <c r="G57">
        <f>IF(AND(B57="NEUTRAL",F57="Low"),"LOW",IF(AND(C57="TS",F57="High",D57=3),"HIGH",IF(AND(C57="TS",F57="High",OR(D57=2,D57=4)),"MODERATE",IF(AND(C57="TS",F57="High",OR(D57=1,D57=5)),"LOW",IF(AND(C57="OS",E57="Consistent",OR(D57=1,D57=5)),"MODERATE",IF(AND(C57="OS",E57="Partially Consistent",OR(D57=2,D57=4)),"MODERATE","LOW"))))))</f>
        <v/>
      </c>
      <c r="H57" t="inlineStr"/>
      <c r="I57" t="inlineStr"/>
      <c r="J57" t="inlineStr"/>
      <c r="K57" t="inlineStr"/>
      <c r="L57" t="inlineStr"/>
      <c r="M57" t="inlineStr">
        <is>
          <t>https://www.lazada.com.ph/products/pdp-i4665460902-s26890279439.html</t>
        </is>
      </c>
      <c r="N57" t="n">
        <v>2</v>
      </c>
    </row>
    <row r="58">
      <c r="A58" t="inlineStr">
        <is>
          <t>stay connected and motivated all day, heart rate tracking for better fitness monitoring, intelligent and personalized watchos 11,</t>
        </is>
      </c>
      <c r="B58" t="inlineStr">
        <is>
          <t>POSITIVE</t>
        </is>
      </c>
      <c r="C58">
        <f>IF(B58="NEUTRAL","TS","OS")</f>
        <v/>
      </c>
      <c r="D58" t="n">
        <v>5</v>
      </c>
      <c r="E58">
        <f>IF(C58="TS",IF(D58=3,"Consistent",IF(OR(D58=2,D58=4),"Partially Consistent","Inconsistent")),IF(D58=3,"Inconsistent",IF(AND(D58=5,B58="POSITIVE"),"Consistent",IF(AND(D58=1,B58="NEGATIVE"),"Consistent",IF(AND(D58=4,B58="POSITIVE"),"Partially Consistent",IF(AND(D58=2,B58="NEGATIVE"),"Partially Consistent","Inconsistent"))))))</f>
        <v/>
      </c>
      <c r="F58">
        <f>IF(C58="TS","High","Low")</f>
        <v/>
      </c>
      <c r="G58">
        <f>IF(AND(B58="NEUTRAL",F58="Low"),"LOW",IF(AND(C58="TS",F58="High",D58=3),"HIGH",IF(AND(C58="TS",F58="High",OR(D58=2,D58=4)),"MODERATE",IF(AND(C58="TS",F58="High",OR(D58=1,D58=5)),"LOW",IF(AND(C58="OS",E58="Consistent",OR(D58=1,D58=5)),"MODERATE",IF(AND(C58="OS",E58="Partially Consistent",OR(D58=2,D58=4)),"MODERATE","LOW"))))))</f>
        <v/>
      </c>
      <c r="H58" t="inlineStr"/>
      <c r="I58" t="inlineStr"/>
      <c r="J58" t="inlineStr"/>
      <c r="K58" t="inlineStr"/>
      <c r="L58" t="inlineStr"/>
      <c r="M58" t="inlineStr">
        <is>
          <t>https://www.lazada.com.ph/products/pdp-i4665460902-s26890279439.html</t>
        </is>
      </c>
      <c r="N58" t="n">
        <v>2</v>
      </c>
    </row>
    <row r="59">
      <c r="A59" t="inlineStr">
        <is>
          <t>after checking reviews, apple watch pa rin talaga. just works seamlessly with my iphone and i can track my steps better coz di ko na need magisip if nasakin ba phone ko. no more daya! ang oa sa bilis ng delivery! ordered yesterday and nandito na today.</t>
        </is>
      </c>
      <c r="B59" t="inlineStr">
        <is>
          <t>NEGATIVE</t>
        </is>
      </c>
      <c r="C59">
        <f>IF(B59="NEUTRAL","TS","OS")</f>
        <v/>
      </c>
      <c r="D59" t="n">
        <v>5</v>
      </c>
      <c r="E59">
        <f>IF(C59="TS",IF(D59=3,"Consistent",IF(OR(D59=2,D59=4),"Partially Consistent","Inconsistent")),IF(D59=3,"Inconsistent",IF(AND(D59=5,B59="POSITIVE"),"Consistent",IF(AND(D59=1,B59="NEGATIVE"),"Consistent",IF(AND(D59=4,B59="POSITIVE"),"Partially Consistent",IF(AND(D59=2,B59="NEGATIVE"),"Partially Consistent","Inconsistent"))))))</f>
        <v/>
      </c>
      <c r="F59">
        <f>IF(C59="TS","High","Low")</f>
        <v/>
      </c>
      <c r="G59">
        <f>IF(AND(B59="NEUTRAL",F59="Low"),"LOW",IF(AND(C59="TS",F59="High",D59=3),"HIGH",IF(AND(C59="TS",F59="High",OR(D59=2,D59=4)),"MODERATE",IF(AND(C59="TS",F59="High",OR(D59=1,D59=5)),"LOW",IF(AND(C59="OS",E59="Consistent",OR(D59=1,D59=5)),"MODERATE",IF(AND(C59="OS",E59="Partially Consistent",OR(D59=2,D59=4)),"MODERATE","LOW"))))))</f>
        <v/>
      </c>
      <c r="H59" t="inlineStr"/>
      <c r="I59" t="inlineStr"/>
      <c r="J59" t="inlineStr"/>
      <c r="K59" t="inlineStr"/>
      <c r="L59" t="inlineStr"/>
      <c r="M59" t="inlineStr">
        <is>
          <t>https://www.lazada.com.ph/products/pdp-i4665460902-s26890279439.html</t>
        </is>
      </c>
      <c r="N59" t="n">
        <v>2</v>
      </c>
    </row>
    <row r="60">
      <c r="A60" t="inlineStr">
        <is>
          <t>incredible value for money, heart rate tracking for better fitness monitoring, 4. **review and revise**: regularly revisit topics you' ve studied to reinforce your understanding and retention. 5. **join study groups**: collaborate with peers to discuss difficult concepts and share insights. 6. **stay healthy**: prioritize sleep, nutrition, and exercise to maintain your physical and mental well-being.</t>
        </is>
      </c>
      <c r="B60" t="inlineStr">
        <is>
          <t>POSITIVE</t>
        </is>
      </c>
      <c r="C60">
        <f>IF(B60="NEUTRAL","TS","OS")</f>
        <v/>
      </c>
      <c r="D60" t="n">
        <v>5</v>
      </c>
      <c r="E60">
        <f>IF(C60="TS",IF(D60=3,"Consistent",IF(OR(D60=2,D60=4),"Partially Consistent","Inconsistent")),IF(D60=3,"Inconsistent",IF(AND(D60=5,B60="POSITIVE"),"Consistent",IF(AND(D60=1,B60="NEGATIVE"),"Consistent",IF(AND(D60=4,B60="POSITIVE"),"Partially Consistent",IF(AND(D60=2,B60="NEGATIVE"),"Partially Consistent","Inconsistent"))))))</f>
        <v/>
      </c>
      <c r="F60">
        <f>IF(C60="TS","High","Low")</f>
        <v/>
      </c>
      <c r="G60">
        <f>IF(AND(B60="NEUTRAL",F60="Low"),"LOW",IF(AND(C60="TS",F60="High",D60=3),"HIGH",IF(AND(C60="TS",F60="High",OR(D60=2,D60=4)),"MODERATE",IF(AND(C60="TS",F60="High",OR(D60=1,D60=5)),"LOW",IF(AND(C60="OS",E60="Consistent",OR(D60=1,D60=5)),"MODERATE",IF(AND(C60="OS",E60="Partially Consistent",OR(D60=2,D60=4)),"MODERATE","LOW"))))))</f>
        <v/>
      </c>
      <c r="H60" t="inlineStr"/>
      <c r="I60" t="inlineStr"/>
      <c r="J60" t="inlineStr"/>
      <c r="K60" t="inlineStr"/>
      <c r="L60" t="inlineStr"/>
      <c r="M60" t="inlineStr">
        <is>
          <t>https://www.lazada.com.ph/products/pdp-i4665460902-s26890279439.html</t>
        </is>
      </c>
      <c r="N60" t="n">
        <v>2</v>
      </c>
    </row>
    <row r="61">
      <c r="A61" t="inlineStr">
        <is>
          <t>compatibility: sleek and stylish design, battery life: incredible value for money, hindi maganda pgkaka package ng item, walang bubble wrap which is very unsafe. tsambahan nlang kung dadating na maayos.</t>
        </is>
      </c>
      <c r="B61" t="inlineStr">
        <is>
          <t>NEUTRAL</t>
        </is>
      </c>
      <c r="C61">
        <f>IF(B61="NEUTRAL","TS","OS")</f>
        <v/>
      </c>
      <c r="D61" t="n">
        <v>4</v>
      </c>
      <c r="E61">
        <f>IF(C61="TS",IF(D61=3,"Consistent",IF(OR(D61=2,D61=4),"Partially Consistent","Inconsistent")),IF(D61=3,"Inconsistent",IF(AND(D61=5,B61="POSITIVE"),"Consistent",IF(AND(D61=1,B61="NEGATIVE"),"Consistent",IF(AND(D61=4,B61="POSITIVE"),"Partially Consistent",IF(AND(D61=2,B61="NEGATIVE"),"Partially Consistent","Inconsistent"))))))</f>
        <v/>
      </c>
      <c r="F61">
        <f>IF(C61="TS","High","Low")</f>
        <v/>
      </c>
      <c r="G61">
        <f>IF(AND(B61="NEUTRAL",F61="Low"),"LOW",IF(AND(C61="TS",F61="High",D61=3),"HIGH",IF(AND(C61="TS",F61="High",OR(D61=2,D61=4)),"MODERATE",IF(AND(C61="TS",F61="High",OR(D61=1,D61=5)),"LOW",IF(AND(C61="OS",E61="Consistent",OR(D61=1,D61=5)),"MODERATE",IF(AND(C61="OS",E61="Partially Consistent",OR(D61=2,D61=4)),"MODERATE","LOW"))))))</f>
        <v/>
      </c>
      <c r="H61" t="inlineStr"/>
      <c r="I61" t="inlineStr"/>
      <c r="J61" t="inlineStr"/>
      <c r="K61" t="inlineStr"/>
      <c r="L61" t="inlineStr"/>
      <c r="M61" t="inlineStr">
        <is>
          <t>https://www.lazada.com.ph/products/pdp-i4665460902-s26890279439.html</t>
        </is>
      </c>
      <c r="N61" t="n">
        <v>2</v>
      </c>
    </row>
    <row r="62">
      <c r="A62" t="inlineStr">
        <is>
          <t>original product. no issues!</t>
        </is>
      </c>
      <c r="B62" t="inlineStr">
        <is>
          <t>NEGATIVE</t>
        </is>
      </c>
      <c r="C62">
        <f>IF(B62="NEUTRAL","TS","OS")</f>
        <v/>
      </c>
      <c r="D62" t="n">
        <v>5</v>
      </c>
      <c r="E62">
        <f>IF(C62="TS",IF(D62=3,"Consistent",IF(OR(D62=2,D62=4),"Partially Consistent","Inconsistent")),IF(D62=3,"Inconsistent",IF(AND(D62=5,B62="POSITIVE"),"Consistent",IF(AND(D62=1,B62="NEGATIVE"),"Consistent",IF(AND(D62=4,B62="POSITIVE"),"Partially Consistent",IF(AND(D62=2,B62="NEGATIVE"),"Partially Consistent","Inconsistent"))))))</f>
        <v/>
      </c>
      <c r="F62">
        <f>IF(C62="TS","High","Low")</f>
        <v/>
      </c>
      <c r="G62">
        <f>IF(AND(B62="NEUTRAL",F62="Low"),"LOW",IF(AND(C62="TS",F62="High",D62=3),"HIGH",IF(AND(C62="TS",F62="High",OR(D62=2,D62=4)),"MODERATE",IF(AND(C62="TS",F62="High",OR(D62=1,D62=5)),"LOW",IF(AND(C62="OS",E62="Consistent",OR(D62=1,D62=5)),"MODERATE",IF(AND(C62="OS",E62="Partially Consistent",OR(D62=2,D62=4)),"MODERATE","LOW"))))))</f>
        <v/>
      </c>
      <c r="H62" t="inlineStr"/>
      <c r="I62" t="inlineStr"/>
      <c r="J62" t="inlineStr"/>
      <c r="K62" t="inlineStr"/>
      <c r="L62" t="inlineStr"/>
      <c r="M62" t="inlineStr">
        <is>
          <t>https://www.lazada.com.ph/products/pdp-i4665460902-s26890279439.html</t>
        </is>
      </c>
      <c r="N62" t="n">
        <v>2</v>
      </c>
    </row>
    <row r="63">
      <c r="A63" t="inlineStr">
        <is>
          <t>very fast delivery and super legit! ! ! connected on my iphone agad</t>
        </is>
      </c>
      <c r="B63" t="inlineStr">
        <is>
          <t>POSITIVE</t>
        </is>
      </c>
      <c r="C63">
        <f>IF(B63="NEUTRAL","TS","OS")</f>
        <v/>
      </c>
      <c r="D63" t="n">
        <v>5</v>
      </c>
      <c r="E63">
        <f>IF(C63="TS",IF(D63=3,"Consistent",IF(OR(D63=2,D63=4),"Partially Consistent","Inconsistent")),IF(D63=3,"Inconsistent",IF(AND(D63=5,B63="POSITIVE"),"Consistent",IF(AND(D63=1,B63="NEGATIVE"),"Consistent",IF(AND(D63=4,B63="POSITIVE"),"Partially Consistent",IF(AND(D63=2,B63="NEGATIVE"),"Partially Consistent","Inconsistent"))))))</f>
        <v/>
      </c>
      <c r="F63">
        <f>IF(C63="TS","High","Low")</f>
        <v/>
      </c>
      <c r="G63">
        <f>IF(AND(B63="NEUTRAL",F63="Low"),"LOW",IF(AND(C63="TS",F63="High",D63=3),"HIGH",IF(AND(C63="TS",F63="High",OR(D63=2,D63=4)),"MODERATE",IF(AND(C63="TS",F63="High",OR(D63=1,D63=5)),"LOW",IF(AND(C63="OS",E63="Consistent",OR(D63=1,D63=5)),"MODERATE",IF(AND(C63="OS",E63="Partially Consistent",OR(D63=2,D63=4)),"MODERATE","LOW"))))))</f>
        <v/>
      </c>
      <c r="H63" t="inlineStr"/>
      <c r="I63" t="inlineStr"/>
      <c r="J63" t="inlineStr"/>
      <c r="K63" t="inlineStr"/>
      <c r="L63" t="inlineStr"/>
      <c r="M63" t="inlineStr">
        <is>
          <t>https://www.lazada.com.ph/products/pdp-i4665460902-s26890279439.html</t>
        </is>
      </c>
      <c r="N63" t="n">
        <v>2</v>
      </c>
    </row>
    <row r="64">
      <c r="A64" t="inlineStr">
        <is>
          <t>legit and bought it at a lower price. also shipping is quick and reliable. thank you!</t>
        </is>
      </c>
      <c r="B64" t="inlineStr">
        <is>
          <t>POSITIVE</t>
        </is>
      </c>
      <c r="C64">
        <f>IF(B64="NEUTRAL","TS","OS")</f>
        <v/>
      </c>
      <c r="D64" t="n">
        <v>5</v>
      </c>
      <c r="E64">
        <f>IF(C64="TS",IF(D64=3,"Consistent",IF(OR(D64=2,D64=4),"Partially Consistent","Inconsistent")),IF(D64=3,"Inconsistent",IF(AND(D64=5,B64="POSITIVE"),"Consistent",IF(AND(D64=1,B64="NEGATIVE"),"Consistent",IF(AND(D64=4,B64="POSITIVE"),"Partially Consistent",IF(AND(D64=2,B64="NEGATIVE"),"Partially Consistent","Inconsistent"))))))</f>
        <v/>
      </c>
      <c r="F64">
        <f>IF(C64="TS","High","Low")</f>
        <v/>
      </c>
      <c r="G64">
        <f>IF(AND(B64="NEUTRAL",F64="Low"),"LOW",IF(AND(C64="TS",F64="High",D64=3),"HIGH",IF(AND(C64="TS",F64="High",OR(D64=2,D64=4)),"MODERATE",IF(AND(C64="TS",F64="High",OR(D64=1,D64=5)),"LOW",IF(AND(C64="OS",E64="Consistent",OR(D64=1,D64=5)),"MODERATE",IF(AND(C64="OS",E64="Partially Consistent",OR(D64=2,D64=4)),"MODERATE","LOW"))))))</f>
        <v/>
      </c>
      <c r="H64" t="inlineStr"/>
      <c r="I64" t="inlineStr"/>
      <c r="J64" t="inlineStr"/>
      <c r="K64" t="inlineStr"/>
      <c r="L64" t="inlineStr"/>
      <c r="M64" t="inlineStr">
        <is>
          <t>https://www.lazada.com.ph/products/pdp-i4665460902-s26890279439.html</t>
        </is>
      </c>
      <c r="N64" t="n">
        <v>2</v>
      </c>
    </row>
    <row r="65">
      <c r="A65" t="inlineStr">
        <is>
          <t>compatibility: incredible value for money,</t>
        </is>
      </c>
      <c r="B65" t="inlineStr">
        <is>
          <t>NEGATIVE</t>
        </is>
      </c>
      <c r="C65">
        <f>IF(B65="NEUTRAL","TS","OS")</f>
        <v/>
      </c>
      <c r="D65" t="n">
        <v>5</v>
      </c>
      <c r="E65">
        <f>IF(C65="TS",IF(D65=3,"Consistent",IF(OR(D65=2,D65=4),"Partially Consistent","Inconsistent")),IF(D65=3,"Inconsistent",IF(AND(D65=5,B65="POSITIVE"),"Consistent",IF(AND(D65=1,B65="NEGATIVE"),"Consistent",IF(AND(D65=4,B65="POSITIVE"),"Partially Consistent",IF(AND(D65=2,B65="NEGATIVE"),"Partially Consistent","Inconsistent"))))))</f>
        <v/>
      </c>
      <c r="F65">
        <f>IF(C65="TS","High","Low")</f>
        <v/>
      </c>
      <c r="G65">
        <f>IF(AND(B65="NEUTRAL",F65="Low"),"LOW",IF(AND(C65="TS",F65="High",D65=3),"HIGH",IF(AND(C65="TS",F65="High",OR(D65=2,D65=4)),"MODERATE",IF(AND(C65="TS",F65="High",OR(D65=1,D65=5)),"LOW",IF(AND(C65="OS",E65="Consistent",OR(D65=1,D65=5)),"MODERATE",IF(AND(C65="OS",E65="Partially Consistent",OR(D65=2,D65=4)),"MODERATE","LOW"))))))</f>
        <v/>
      </c>
      <c r="H65" t="inlineStr"/>
      <c r="I65" t="inlineStr"/>
      <c r="J65" t="inlineStr"/>
      <c r="K65" t="inlineStr"/>
      <c r="L65" t="inlineStr"/>
      <c r="M65" t="inlineStr">
        <is>
          <t>https://www.lazada.com.ph/products/pdp-i4665460902-s26890279439.html</t>
        </is>
      </c>
      <c r="N65" t="n">
        <v>2</v>
      </c>
    </row>
    <row r="66">
      <c r="A66" t="inlineStr">
        <is>
          <t>receive the package less than 24 hours. great service!</t>
        </is>
      </c>
      <c r="B66" t="inlineStr">
        <is>
          <t>NEGATIVE</t>
        </is>
      </c>
      <c r="C66">
        <f>IF(B66="NEUTRAL","TS","OS")</f>
        <v/>
      </c>
      <c r="D66" t="n">
        <v>5</v>
      </c>
      <c r="E66">
        <f>IF(C66="TS",IF(D66=3,"Consistent",IF(OR(D66=2,D66=4),"Partially Consistent","Inconsistent")),IF(D66=3,"Inconsistent",IF(AND(D66=5,B66="POSITIVE"),"Consistent",IF(AND(D66=1,B66="NEGATIVE"),"Consistent",IF(AND(D66=4,B66="POSITIVE"),"Partially Consistent",IF(AND(D66=2,B66="NEGATIVE"),"Partially Consistent","Inconsistent"))))))</f>
        <v/>
      </c>
      <c r="F66">
        <f>IF(C66="TS","High","Low")</f>
        <v/>
      </c>
      <c r="G66">
        <f>IF(AND(B66="NEUTRAL",F66="Low"),"LOW",IF(AND(C66="TS",F66="High",D66=3),"HIGH",IF(AND(C66="TS",F66="High",OR(D66=2,D66=4)),"MODERATE",IF(AND(C66="TS",F66="High",OR(D66=1,D66=5)),"LOW",IF(AND(C66="OS",E66="Consistent",OR(D66=1,D66=5)),"MODERATE",IF(AND(C66="OS",E66="Partially Consistent",OR(D66=2,D66=4)),"MODERATE","LOW"))))))</f>
        <v/>
      </c>
      <c r="H66" t="inlineStr"/>
      <c r="I66" t="inlineStr"/>
      <c r="J66" t="inlineStr"/>
      <c r="K66" t="inlineStr"/>
      <c r="L66" t="inlineStr"/>
      <c r="M66" t="inlineStr">
        <is>
          <t>https://www.lazada.com.ph/products/pdp-i4665460902-s26890279439.html</t>
        </is>
      </c>
      <c r="N66" t="n">
        <v>2</v>
      </c>
    </row>
    <row r="67">
      <c r="A67" t="inlineStr">
        <is>
          <t>fall detection feature for added safety, battery life: good water resistance: good</t>
        </is>
      </c>
      <c r="B67" t="inlineStr">
        <is>
          <t>NEUTRAL</t>
        </is>
      </c>
      <c r="C67">
        <f>IF(B67="NEUTRAL","TS","OS")</f>
        <v/>
      </c>
      <c r="D67" t="n">
        <v>5</v>
      </c>
      <c r="E67">
        <f>IF(C67="TS",IF(D67=3,"Consistent",IF(OR(D67=2,D67=4),"Partially Consistent","Inconsistent")),IF(D67=3,"Inconsistent",IF(AND(D67=5,B67="POSITIVE"),"Consistent",IF(AND(D67=1,B67="NEGATIVE"),"Consistent",IF(AND(D67=4,B67="POSITIVE"),"Partially Consistent",IF(AND(D67=2,B67="NEGATIVE"),"Partially Consistent","Inconsistent"))))))</f>
        <v/>
      </c>
      <c r="F67">
        <f>IF(C67="TS","High","Low")</f>
        <v/>
      </c>
      <c r="G67">
        <f>IF(AND(B67="NEUTRAL",F67="Low"),"LOW",IF(AND(C67="TS",F67="High",D67=3),"HIGH",IF(AND(C67="TS",F67="High",OR(D67=2,D67=4)),"MODERATE",IF(AND(C67="TS",F67="High",OR(D67=1,D67=5)),"LOW",IF(AND(C67="OS",E67="Consistent",OR(D67=1,D67=5)),"MODERATE",IF(AND(C67="OS",E67="Partially Consistent",OR(D67=2,D67=4)),"MODERATE","LOW"))))))</f>
        <v/>
      </c>
      <c r="H67" t="inlineStr"/>
      <c r="I67" t="inlineStr"/>
      <c r="J67" t="inlineStr"/>
      <c r="K67" t="inlineStr"/>
      <c r="L67" t="inlineStr"/>
      <c r="M67" t="inlineStr">
        <is>
          <t>https://www.lazada.com.ph/products/pdp-i4665460902-s26890279439.html</t>
        </is>
      </c>
      <c r="N67" t="n">
        <v>2</v>
      </c>
    </row>
    <row r="68">
      <c r="A68" t="inlineStr">
        <is>
          <t>compatibility: intelligent and personalized watchos 11,</t>
        </is>
      </c>
      <c r="B68" t="inlineStr">
        <is>
          <t>NEGATIVE</t>
        </is>
      </c>
      <c r="C68">
        <f>IF(B68="NEUTRAL","TS","OS")</f>
        <v/>
      </c>
      <c r="D68" t="n">
        <v>5</v>
      </c>
      <c r="E68">
        <f>IF(C68="TS",IF(D68=3,"Consistent",IF(OR(D68=2,D68=4),"Partially Consistent","Inconsistent")),IF(D68=3,"Inconsistent",IF(AND(D68=5,B68="POSITIVE"),"Consistent",IF(AND(D68=1,B68="NEGATIVE"),"Consistent",IF(AND(D68=4,B68="POSITIVE"),"Partially Consistent",IF(AND(D68=2,B68="NEGATIVE"),"Partially Consistent","Inconsistent"))))))</f>
        <v/>
      </c>
      <c r="F68">
        <f>IF(C68="TS","High","Low")</f>
        <v/>
      </c>
      <c r="G68">
        <f>IF(AND(B68="NEUTRAL",F68="Low"),"LOW",IF(AND(C68="TS",F68="High",D68=3),"HIGH",IF(AND(C68="TS",F68="High",OR(D68=2,D68=4)),"MODERATE",IF(AND(C68="TS",F68="High",OR(D68=1,D68=5)),"LOW",IF(AND(C68="OS",E68="Consistent",OR(D68=1,D68=5)),"MODERATE",IF(AND(C68="OS",E68="Partially Consistent",OR(D68=2,D68=4)),"MODERATE","LOW"))))))</f>
        <v/>
      </c>
      <c r="H68" t="inlineStr"/>
      <c r="I68" t="inlineStr"/>
      <c r="J68" t="inlineStr"/>
      <c r="K68" t="inlineStr"/>
      <c r="L68" t="inlineStr"/>
      <c r="M68" t="inlineStr">
        <is>
          <t>https://www.lazada.com.ph/products/pdp-i4665460902-s26890279439.html</t>
        </is>
      </c>
      <c r="N68" t="n">
        <v>2</v>
      </c>
    </row>
    <row r="69">
      <c r="A69" t="inlineStr">
        <is>
          <t>legit. thank you beyond the box. kinabukasan nareceive ko agad.</t>
        </is>
      </c>
      <c r="B69" t="inlineStr">
        <is>
          <t>POSITIVE</t>
        </is>
      </c>
      <c r="C69">
        <f>IF(B69="NEUTRAL","TS","OS")</f>
        <v/>
      </c>
      <c r="D69" t="n">
        <v>5</v>
      </c>
      <c r="E69">
        <f>IF(C69="TS",IF(D69=3,"Consistent",IF(OR(D69=2,D69=4),"Partially Consistent","Inconsistent")),IF(D69=3,"Inconsistent",IF(AND(D69=5,B69="POSITIVE"),"Consistent",IF(AND(D69=1,B69="NEGATIVE"),"Consistent",IF(AND(D69=4,B69="POSITIVE"),"Partially Consistent",IF(AND(D69=2,B69="NEGATIVE"),"Partially Consistent","Inconsistent"))))))</f>
        <v/>
      </c>
      <c r="F69">
        <f>IF(C69="TS","High","Low")</f>
        <v/>
      </c>
      <c r="G69">
        <f>IF(AND(B69="NEUTRAL",F69="Low"),"LOW",IF(AND(C69="TS",F69="High",D69=3),"HIGH",IF(AND(C69="TS",F69="High",OR(D69=2,D69=4)),"MODERATE",IF(AND(C69="TS",F69="High",OR(D69=1,D69=5)),"LOW",IF(AND(C69="OS",E69="Consistent",OR(D69=1,D69=5)),"MODERATE",IF(AND(C69="OS",E69="Partially Consistent",OR(D69=2,D69=4)),"MODERATE","LOW"))))))</f>
        <v/>
      </c>
      <c r="H69" t="inlineStr"/>
      <c r="I69" t="inlineStr"/>
      <c r="J69" t="inlineStr"/>
      <c r="K69" t="inlineStr"/>
      <c r="L69" t="inlineStr"/>
      <c r="M69" t="inlineStr">
        <is>
          <t>https://www.lazada.com.ph/products/pdp-i4665460902-s26890279439.html</t>
        </is>
      </c>
      <c r="N69" t="n">
        <v>2</v>
      </c>
    </row>
    <row r="70">
      <c r="A70" t="inlineStr">
        <is>
          <t>compatibility: fits well on my wrist, easy to sync with my iphone battery life: reliable battery life, battery lasts long, easy to charge</t>
        </is>
      </c>
      <c r="B70" t="inlineStr">
        <is>
          <t>NEUTRAL</t>
        </is>
      </c>
      <c r="C70">
        <f>IF(B70="NEUTRAL","TS","OS")</f>
        <v/>
      </c>
      <c r="D70" t="n">
        <v>5</v>
      </c>
      <c r="E70">
        <f>IF(C70="TS",IF(D70=3,"Consistent",IF(OR(D70=2,D70=4),"Partially Consistent","Inconsistent")),IF(D70=3,"Inconsistent",IF(AND(D70=5,B70="POSITIVE"),"Consistent",IF(AND(D70=1,B70="NEGATIVE"),"Consistent",IF(AND(D70=4,B70="POSITIVE"),"Partially Consistent",IF(AND(D70=2,B70="NEGATIVE"),"Partially Consistent","Inconsistent"))))))</f>
        <v/>
      </c>
      <c r="F70">
        <f>IF(C70="TS","High","Low")</f>
        <v/>
      </c>
      <c r="G70">
        <f>IF(AND(B70="NEUTRAL",F70="Low"),"LOW",IF(AND(C70="TS",F70="High",D70=3),"HIGH",IF(AND(C70="TS",F70="High",OR(D70=2,D70=4)),"MODERATE",IF(AND(C70="TS",F70="High",OR(D70=1,D70=5)),"LOW",IF(AND(C70="OS",E70="Consistent",OR(D70=1,D70=5)),"MODERATE",IF(AND(C70="OS",E70="Partially Consistent",OR(D70=2,D70=4)),"MODERATE","LOW"))))))</f>
        <v/>
      </c>
      <c r="H70" t="inlineStr"/>
      <c r="I70" t="inlineStr"/>
      <c r="J70" t="inlineStr"/>
      <c r="K70" t="inlineStr"/>
      <c r="L70" t="inlineStr"/>
      <c r="M70" t="inlineStr">
        <is>
          <t>https://www.lazada.com.ph/products/pdp-i4665460902-s26890279439.html</t>
        </is>
      </c>
      <c r="N70" t="n">
        <v>2</v>
      </c>
    </row>
    <row r="71">
      <c r="A71" t="inlineStr">
        <is>
          <t>incredible value for money, enhanced workout metrics for better performance, compatible with android devices, heart rate tracking for better fitness monitoring, stay connected and motivated all day, long-lasting battery life, fall detection feature for added safety, sleek and stylish design,</t>
        </is>
      </c>
      <c r="B71" t="inlineStr">
        <is>
          <t>NEUTRAL</t>
        </is>
      </c>
      <c r="C71">
        <f>IF(B71="NEUTRAL","TS","OS")</f>
        <v/>
      </c>
      <c r="D71" t="n">
        <v>5</v>
      </c>
      <c r="E71">
        <f>IF(C71="TS",IF(D71=3,"Consistent",IF(OR(D71=2,D71=4),"Partially Consistent","Inconsistent")),IF(D71=3,"Inconsistent",IF(AND(D71=5,B71="POSITIVE"),"Consistent",IF(AND(D71=1,B71="NEGATIVE"),"Consistent",IF(AND(D71=4,B71="POSITIVE"),"Partially Consistent",IF(AND(D71=2,B71="NEGATIVE"),"Partially Consistent","Inconsistent"))))))</f>
        <v/>
      </c>
      <c r="F71">
        <f>IF(C71="TS","High","Low")</f>
        <v/>
      </c>
      <c r="G71">
        <f>IF(AND(B71="NEUTRAL",F71="Low"),"LOW",IF(AND(C71="TS",F71="High",D71=3),"HIGH",IF(AND(C71="TS",F71="High",OR(D71=2,D71=4)),"MODERATE",IF(AND(C71="TS",F71="High",OR(D71=1,D71=5)),"LOW",IF(AND(C71="OS",E71="Consistent",OR(D71=1,D71=5)),"MODERATE",IF(AND(C71="OS",E71="Partially Consistent",OR(D71=2,D71=4)),"MODERATE","LOW"))))))</f>
        <v/>
      </c>
      <c r="H71" t="inlineStr"/>
      <c r="I71" t="inlineStr"/>
      <c r="J71" t="inlineStr"/>
      <c r="K71" t="inlineStr"/>
      <c r="L71" t="inlineStr"/>
      <c r="M71" t="inlineStr">
        <is>
          <t>https://www.lazada.com.ph/products/pdp-i4665460902-s26890279439.html</t>
        </is>
      </c>
      <c r="N71" t="n">
        <v>2</v>
      </c>
    </row>
    <row r="72">
      <c r="A72" t="inlineStr">
        <is>
          <t>track your health with ease, long-lasting battery life, heart rate tracking for better fitness monitoring,</t>
        </is>
      </c>
      <c r="B72" t="inlineStr">
        <is>
          <t>NEUTRAL</t>
        </is>
      </c>
      <c r="C72">
        <f>IF(B72="NEUTRAL","TS","OS")</f>
        <v/>
      </c>
      <c r="D72" t="n">
        <v>5</v>
      </c>
      <c r="E72">
        <f>IF(C72="TS",IF(D72=3,"Consistent",IF(OR(D72=2,D72=4),"Partially Consistent","Inconsistent")),IF(D72=3,"Inconsistent",IF(AND(D72=5,B72="POSITIVE"),"Consistent",IF(AND(D72=1,B72="NEGATIVE"),"Consistent",IF(AND(D72=4,B72="POSITIVE"),"Partially Consistent",IF(AND(D72=2,B72="NEGATIVE"),"Partially Consistent","Inconsistent"))))))</f>
        <v/>
      </c>
      <c r="F72">
        <f>IF(C72="TS","High","Low")</f>
        <v/>
      </c>
      <c r="G72">
        <f>IF(AND(B72="NEUTRAL",F72="Low"),"LOW",IF(AND(C72="TS",F72="High",D72=3),"HIGH",IF(AND(C72="TS",F72="High",OR(D72=2,D72=4)),"MODERATE",IF(AND(C72="TS",F72="High",OR(D72=1,D72=5)),"LOW",IF(AND(C72="OS",E72="Consistent",OR(D72=1,D72=5)),"MODERATE",IF(AND(C72="OS",E72="Partially Consistent",OR(D72=2,D72=4)),"MODERATE","LOW"))))))</f>
        <v/>
      </c>
      <c r="H72" t="inlineStr"/>
      <c r="I72" t="inlineStr"/>
      <c r="J72" t="inlineStr"/>
      <c r="K72" t="inlineStr"/>
      <c r="L72" t="inlineStr"/>
      <c r="M72" t="inlineStr">
        <is>
          <t>https://www.lazada.com.ph/products/pdp-i4665460902-s26890279439.html</t>
        </is>
      </c>
      <c r="N72" t="n">
        <v>2</v>
      </c>
    </row>
    <row r="73">
      <c r="A73" t="inlineStr">
        <is>
          <t>stay connected and motivated all day,</t>
        </is>
      </c>
      <c r="B73" t="inlineStr">
        <is>
          <t>POSITIVE</t>
        </is>
      </c>
      <c r="C73">
        <f>IF(B73="NEUTRAL","TS","OS")</f>
        <v/>
      </c>
      <c r="D73" t="n">
        <v>5</v>
      </c>
      <c r="E73">
        <f>IF(C73="TS",IF(D73=3,"Consistent",IF(OR(D73=2,D73=4),"Partially Consistent","Inconsistent")),IF(D73=3,"Inconsistent",IF(AND(D73=5,B73="POSITIVE"),"Consistent",IF(AND(D73=1,B73="NEGATIVE"),"Consistent",IF(AND(D73=4,B73="POSITIVE"),"Partially Consistent",IF(AND(D73=2,B73="NEGATIVE"),"Partially Consistent","Inconsistent"))))))</f>
        <v/>
      </c>
      <c r="F73">
        <f>IF(C73="TS","High","Low")</f>
        <v/>
      </c>
      <c r="G73">
        <f>IF(AND(B73="NEUTRAL",F73="Low"),"LOW",IF(AND(C73="TS",F73="High",D73=3),"HIGH",IF(AND(C73="TS",F73="High",OR(D73=2,D73=4)),"MODERATE",IF(AND(C73="TS",F73="High",OR(D73=1,D73=5)),"LOW",IF(AND(C73="OS",E73="Consistent",OR(D73=1,D73=5)),"MODERATE",IF(AND(C73="OS",E73="Partially Consistent",OR(D73=2,D73=4)),"MODERATE","LOW"))))))</f>
        <v/>
      </c>
      <c r="H73" t="inlineStr"/>
      <c r="I73" t="inlineStr"/>
      <c r="J73" t="inlineStr"/>
      <c r="K73" t="inlineStr"/>
      <c r="L73" t="inlineStr"/>
      <c r="M73" t="inlineStr">
        <is>
          <t>https://www.lazada.com.ph/products/pdp-i4665460902-s26890279439.html</t>
        </is>
      </c>
      <c r="N73" t="n">
        <v>2</v>
      </c>
    </row>
    <row r="74">
      <c r="A74" t="inlineStr">
        <is>
          <t>ang gandaa, thank u! heart rate tracking for better fitness monitoring, intelligent and personalized watchos 11</t>
        </is>
      </c>
      <c r="B74" t="inlineStr">
        <is>
          <t>POSITIVE</t>
        </is>
      </c>
      <c r="C74">
        <f>IF(B74="NEUTRAL","TS","OS")</f>
        <v/>
      </c>
      <c r="D74" t="n">
        <v>5</v>
      </c>
      <c r="E74">
        <f>IF(C74="TS",IF(D74=3,"Consistent",IF(OR(D74=2,D74=4),"Partially Consistent","Inconsistent")),IF(D74=3,"Inconsistent",IF(AND(D74=5,B74="POSITIVE"),"Consistent",IF(AND(D74=1,B74="NEGATIVE"),"Consistent",IF(AND(D74=4,B74="POSITIVE"),"Partially Consistent",IF(AND(D74=2,B74="NEGATIVE"),"Partially Consistent","Inconsistent"))))))</f>
        <v/>
      </c>
      <c r="F74">
        <f>IF(C74="TS","High","Low")</f>
        <v/>
      </c>
      <c r="G74">
        <f>IF(AND(B74="NEUTRAL",F74="Low"),"LOW",IF(AND(C74="TS",F74="High",D74=3),"HIGH",IF(AND(C74="TS",F74="High",OR(D74=2,D74=4)),"MODERATE",IF(AND(C74="TS",F74="High",OR(D74=1,D74=5)),"LOW",IF(AND(C74="OS",E74="Consistent",OR(D74=1,D74=5)),"MODERATE",IF(AND(C74="OS",E74="Partially Consistent",OR(D74=2,D74=4)),"MODERATE","LOW"))))))</f>
        <v/>
      </c>
      <c r="H74" t="inlineStr"/>
      <c r="I74" t="inlineStr"/>
      <c r="J74" t="inlineStr"/>
      <c r="K74" t="inlineStr"/>
      <c r="L74" t="inlineStr"/>
      <c r="M74" t="inlineStr">
        <is>
          <t>https://www.lazada.com.ph/products/pdp-i4665460902-s26890279439.html</t>
        </is>
      </c>
      <c r="N74" t="n">
        <v>2</v>
      </c>
    </row>
    <row r="75">
      <c r="A75" t="inlineStr">
        <is>
          <t>legit</t>
        </is>
      </c>
      <c r="B75" t="inlineStr">
        <is>
          <t>POSITIVE</t>
        </is>
      </c>
      <c r="C75">
        <f>IF(B75="NEUTRAL","TS","OS")</f>
        <v/>
      </c>
      <c r="D75" t="n">
        <v>5</v>
      </c>
      <c r="E75">
        <f>IF(C75="TS",IF(D75=3,"Consistent",IF(OR(D75=2,D75=4),"Partially Consistent","Inconsistent")),IF(D75=3,"Inconsistent",IF(AND(D75=5,B75="POSITIVE"),"Consistent",IF(AND(D75=1,B75="NEGATIVE"),"Consistent",IF(AND(D75=4,B75="POSITIVE"),"Partially Consistent",IF(AND(D75=2,B75="NEGATIVE"),"Partially Consistent","Inconsistent"))))))</f>
        <v/>
      </c>
      <c r="F75">
        <f>IF(C75="TS","High","Low")</f>
        <v/>
      </c>
      <c r="G75">
        <f>IF(AND(B75="NEUTRAL",F75="Low"),"LOW",IF(AND(C75="TS",F75="High",D75=3),"HIGH",IF(AND(C75="TS",F75="High",OR(D75=2,D75=4)),"MODERATE",IF(AND(C75="TS",F75="High",OR(D75=1,D75=5)),"LOW",IF(AND(C75="OS",E75="Consistent",OR(D75=1,D75=5)),"MODERATE",IF(AND(C75="OS",E75="Partially Consistent",OR(D75=2,D75=4)),"MODERATE","LOW"))))))</f>
        <v/>
      </c>
      <c r="H75" t="inlineStr"/>
      <c r="I75" t="inlineStr"/>
      <c r="J75" t="inlineStr"/>
      <c r="K75" t="inlineStr"/>
      <c r="L75" t="inlineStr"/>
      <c r="M75" t="inlineStr">
        <is>
          <t>https://www.lazada.com.ph/products/pdp-i4665460902-s26890279439.html</t>
        </is>
      </c>
      <c r="N75" t="n">
        <v>2</v>
      </c>
    </row>
    <row r="76">
      <c r="A76" t="inlineStr">
        <is>
          <t>stay connected and motivated all day, track your health with ease, incredible value for money,</t>
        </is>
      </c>
      <c r="B76" t="inlineStr">
        <is>
          <t>POSITIVE</t>
        </is>
      </c>
      <c r="C76">
        <f>IF(B76="NEUTRAL","TS","OS")</f>
        <v/>
      </c>
      <c r="D76" t="n">
        <v>5</v>
      </c>
      <c r="E76">
        <f>IF(C76="TS",IF(D76=3,"Consistent",IF(OR(D76=2,D76=4),"Partially Consistent","Inconsistent")),IF(D76=3,"Inconsistent",IF(AND(D76=5,B76="POSITIVE"),"Consistent",IF(AND(D76=1,B76="NEGATIVE"),"Consistent",IF(AND(D76=4,B76="POSITIVE"),"Partially Consistent",IF(AND(D76=2,B76="NEGATIVE"),"Partially Consistent","Inconsistent"))))))</f>
        <v/>
      </c>
      <c r="F76">
        <f>IF(C76="TS","High","Low")</f>
        <v/>
      </c>
      <c r="G76">
        <f>IF(AND(B76="NEUTRAL",F76="Low"),"LOW",IF(AND(C76="TS",F76="High",D76=3),"HIGH",IF(AND(C76="TS",F76="High",OR(D76=2,D76=4)),"MODERATE",IF(AND(C76="TS",F76="High",OR(D76=1,D76=5)),"LOW",IF(AND(C76="OS",E76="Consistent",OR(D76=1,D76=5)),"MODERATE",IF(AND(C76="OS",E76="Partially Consistent",OR(D76=2,D76=4)),"MODERATE","LOW"))))))</f>
        <v/>
      </c>
      <c r="H76" t="inlineStr"/>
      <c r="I76" t="inlineStr"/>
      <c r="J76" t="inlineStr"/>
      <c r="K76" t="inlineStr"/>
      <c r="L76" t="inlineStr"/>
      <c r="M76" t="inlineStr">
        <is>
          <t>https://www.lazada.com.ph/products/pdp-i4665460902-s26890279439.html</t>
        </is>
      </c>
      <c r="N76" t="n">
        <v>2</v>
      </c>
    </row>
    <row r="77">
      <c r="A77" t="inlineStr">
        <is>
          <t>the supplier is known and reputable distributor of apple products. works as expected. excellent quality. fast delivery, well-packaged.</t>
        </is>
      </c>
      <c r="B77" t="inlineStr">
        <is>
          <t>POSITIVE</t>
        </is>
      </c>
      <c r="C77">
        <f>IF(B77="NEUTRAL","TS","OS")</f>
        <v/>
      </c>
      <c r="D77" t="n">
        <v>5</v>
      </c>
      <c r="E77">
        <f>IF(C77="TS",IF(D77=3,"Consistent",IF(OR(D77=2,D77=4),"Partially Consistent","Inconsistent")),IF(D77=3,"Inconsistent",IF(AND(D77=5,B77="POSITIVE"),"Consistent",IF(AND(D77=1,B77="NEGATIVE"),"Consistent",IF(AND(D77=4,B77="POSITIVE"),"Partially Consistent",IF(AND(D77=2,B77="NEGATIVE"),"Partially Consistent","Inconsistent"))))))</f>
        <v/>
      </c>
      <c r="F77">
        <f>IF(C77="TS","High","Low")</f>
        <v/>
      </c>
      <c r="G77">
        <f>IF(AND(B77="NEUTRAL",F77="Low"),"LOW",IF(AND(C77="TS",F77="High",D77=3),"HIGH",IF(AND(C77="TS",F77="High",OR(D77=2,D77=4)),"MODERATE",IF(AND(C77="TS",F77="High",OR(D77=1,D77=5)),"LOW",IF(AND(C77="OS",E77="Consistent",OR(D77=1,D77=5)),"MODERATE",IF(AND(C77="OS",E77="Partially Consistent",OR(D77=2,D77=4)),"MODERATE","LOW"))))))</f>
        <v/>
      </c>
      <c r="H77" t="inlineStr"/>
      <c r="I77" t="inlineStr"/>
      <c r="J77" t="inlineStr"/>
      <c r="K77" t="inlineStr"/>
      <c r="L77" t="inlineStr"/>
      <c r="M77" t="inlineStr">
        <is>
          <t>https://www.lazada.com.ph/products/pdp-i4665460902-s26890279439.html</t>
        </is>
      </c>
      <c r="N77" t="n">
        <v>2</v>
      </c>
    </row>
    <row r="78">
      <c r="A78" t="inlineStr">
        <is>
          <t>mabilis po ba talaga na lowbatt ang apple watch? got it earlier at 50% then nakaka ilang mins palang ako nag bbrowse, down to 45% kaagad siya. also, matagal ba siya mag charge talaga?</t>
        </is>
      </c>
      <c r="B78" t="inlineStr">
        <is>
          <t>NEGATIVE</t>
        </is>
      </c>
      <c r="C78">
        <f>IF(B78="NEUTRAL","TS","OS")</f>
        <v/>
      </c>
      <c r="D78" t="n">
        <v>5</v>
      </c>
      <c r="E78">
        <f>IF(C78="TS",IF(D78=3,"Consistent",IF(OR(D78=2,D78=4),"Partially Consistent","Inconsistent")),IF(D78=3,"Inconsistent",IF(AND(D78=5,B78="POSITIVE"),"Consistent",IF(AND(D78=1,B78="NEGATIVE"),"Consistent",IF(AND(D78=4,B78="POSITIVE"),"Partially Consistent",IF(AND(D78=2,B78="NEGATIVE"),"Partially Consistent","Inconsistent"))))))</f>
        <v/>
      </c>
      <c r="F78">
        <f>IF(C78="TS","High","Low")</f>
        <v/>
      </c>
      <c r="G78">
        <f>IF(AND(B78="NEUTRAL",F78="Low"),"LOW",IF(AND(C78="TS",F78="High",D78=3),"HIGH",IF(AND(C78="TS",F78="High",OR(D78=2,D78=4)),"MODERATE",IF(AND(C78="TS",F78="High",OR(D78=1,D78=5)),"LOW",IF(AND(C78="OS",E78="Consistent",OR(D78=1,D78=5)),"MODERATE",IF(AND(C78="OS",E78="Partially Consistent",OR(D78=2,D78=4)),"MODERATE","LOW"))))))</f>
        <v/>
      </c>
      <c r="H78" t="inlineStr"/>
      <c r="I78" t="inlineStr"/>
      <c r="J78" t="inlineStr"/>
      <c r="K78" t="inlineStr"/>
      <c r="L78" t="inlineStr"/>
      <c r="M78" t="inlineStr">
        <is>
          <t>https://www.lazada.com.ph/products/pdp-i4665460902-s26890279439.html</t>
        </is>
      </c>
      <c r="N78" t="n">
        <v>2</v>
      </c>
    </row>
    <row r="79">
      <c r="A79" t="inlineStr">
        <is>
          <t>long-lasting battery life, fall detection feature for added safety, compatible with android devices,</t>
        </is>
      </c>
      <c r="B79" t="inlineStr">
        <is>
          <t>NEUTRAL</t>
        </is>
      </c>
      <c r="C79">
        <f>IF(B79="NEUTRAL","TS","OS")</f>
        <v/>
      </c>
      <c r="D79" t="n">
        <v>5</v>
      </c>
      <c r="E79">
        <f>IF(C79="TS",IF(D79=3,"Consistent",IF(OR(D79=2,D79=4),"Partially Consistent","Inconsistent")),IF(D79=3,"Inconsistent",IF(AND(D79=5,B79="POSITIVE"),"Consistent",IF(AND(D79=1,B79="NEGATIVE"),"Consistent",IF(AND(D79=4,B79="POSITIVE"),"Partially Consistent",IF(AND(D79=2,B79="NEGATIVE"),"Partially Consistent","Inconsistent"))))))</f>
        <v/>
      </c>
      <c r="F79">
        <f>IF(C79="TS","High","Low")</f>
        <v/>
      </c>
      <c r="G79">
        <f>IF(AND(B79="NEUTRAL",F79="Low"),"LOW",IF(AND(C79="TS",F79="High",D79=3),"HIGH",IF(AND(C79="TS",F79="High",OR(D79=2,D79=4)),"MODERATE",IF(AND(C79="TS",F79="High",OR(D79=1,D79=5)),"LOW",IF(AND(C79="OS",E79="Consistent",OR(D79=1,D79=5)),"MODERATE",IF(AND(C79="OS",E79="Partially Consistent",OR(D79=2,D79=4)),"MODERATE","LOW"))))))</f>
        <v/>
      </c>
      <c r="H79" t="inlineStr"/>
      <c r="I79" t="inlineStr"/>
      <c r="J79" t="inlineStr"/>
      <c r="K79" t="inlineStr"/>
      <c r="L79" t="inlineStr"/>
      <c r="M79" t="inlineStr">
        <is>
          <t>https://www.lazada.com.ph/products/pdp-i4665460902-s26890279439.html</t>
        </is>
      </c>
      <c r="N79" t="n">
        <v>2</v>
      </c>
    </row>
    <row r="80">
      <c r="A80" t="inlineStr">
        <is>
          <t>sleek and stylish design, fall detection feature for added safety, incredible value for money, enhanced workout metrics for better performance!</t>
        </is>
      </c>
      <c r="B80" t="inlineStr">
        <is>
          <t>NEGATIVE</t>
        </is>
      </c>
      <c r="C80">
        <f>IF(B80="NEUTRAL","TS","OS")</f>
        <v/>
      </c>
      <c r="D80" t="n">
        <v>5</v>
      </c>
      <c r="E80">
        <f>IF(C80="TS",IF(D80=3,"Consistent",IF(OR(D80=2,D80=4),"Partially Consistent","Inconsistent")),IF(D80=3,"Inconsistent",IF(AND(D80=5,B80="POSITIVE"),"Consistent",IF(AND(D80=1,B80="NEGATIVE"),"Consistent",IF(AND(D80=4,B80="POSITIVE"),"Partially Consistent",IF(AND(D80=2,B80="NEGATIVE"),"Partially Consistent","Inconsistent"))))))</f>
        <v/>
      </c>
      <c r="F80">
        <f>IF(C80="TS","High","Low")</f>
        <v/>
      </c>
      <c r="G80">
        <f>IF(AND(B80="NEUTRAL",F80="Low"),"LOW",IF(AND(C80="TS",F80="High",D80=3),"HIGH",IF(AND(C80="TS",F80="High",OR(D80=2,D80=4)),"MODERATE",IF(AND(C80="TS",F80="High",OR(D80=1,D80=5)),"LOW",IF(AND(C80="OS",E80="Consistent",OR(D80=1,D80=5)),"MODERATE",IF(AND(C80="OS",E80="Partially Consistent",OR(D80=2,D80=4)),"MODERATE","LOW"))))))</f>
        <v/>
      </c>
      <c r="H80" t="inlineStr"/>
      <c r="I80" t="inlineStr"/>
      <c r="J80" t="inlineStr"/>
      <c r="K80" t="inlineStr"/>
      <c r="L80" t="inlineStr"/>
      <c r="M80" t="inlineStr">
        <is>
          <t>https://www.lazada.com.ph/products/pdp-i4665460902-s26890279439.html</t>
        </is>
      </c>
      <c r="N80" t="n">
        <v>2</v>
      </c>
    </row>
    <row r="81">
      <c r="A81" t="inlineStr">
        <is>
          <t>enhanced workout metrics for better performance, intelligent and personalized watchos 11, nabili ko lang to ng 10k+ super sulit! thank u so much beyond the box!</t>
        </is>
      </c>
      <c r="B81" t="inlineStr">
        <is>
          <t>POSITIVE</t>
        </is>
      </c>
      <c r="C81">
        <f>IF(B81="NEUTRAL","TS","OS")</f>
        <v/>
      </c>
      <c r="D81" t="n">
        <v>5</v>
      </c>
      <c r="E81">
        <f>IF(C81="TS",IF(D81=3,"Consistent",IF(OR(D81=2,D81=4),"Partially Consistent","Inconsistent")),IF(D81=3,"Inconsistent",IF(AND(D81=5,B81="POSITIVE"),"Consistent",IF(AND(D81=1,B81="NEGATIVE"),"Consistent",IF(AND(D81=4,B81="POSITIVE"),"Partially Consistent",IF(AND(D81=2,B81="NEGATIVE"),"Partially Consistent","Inconsistent"))))))</f>
        <v/>
      </c>
      <c r="F81">
        <f>IF(C81="TS","High","Low")</f>
        <v/>
      </c>
      <c r="G81">
        <f>IF(AND(B81="NEUTRAL",F81="Low"),"LOW",IF(AND(C81="TS",F81="High",D81=3),"HIGH",IF(AND(C81="TS",F81="High",OR(D81=2,D81=4)),"MODERATE",IF(AND(C81="TS",F81="High",OR(D81=1,D81=5)),"LOW",IF(AND(C81="OS",E81="Consistent",OR(D81=1,D81=5)),"MODERATE",IF(AND(C81="OS",E81="Partially Consistent",OR(D81=2,D81=4)),"MODERATE","LOW"))))))</f>
        <v/>
      </c>
      <c r="H81" t="inlineStr"/>
      <c r="I81" t="inlineStr"/>
      <c r="J81" t="inlineStr"/>
      <c r="K81" t="inlineStr"/>
      <c r="L81" t="inlineStr"/>
      <c r="M81" t="inlineStr">
        <is>
          <t>https://www.lazada.com.ph/products/pdp-i4665460902-s26890279439.html</t>
        </is>
      </c>
      <c r="N81" t="n">
        <v>2</v>
      </c>
    </row>
    <row r="82">
      <c r="A82" t="inlineStr">
        <is>
          <t>edit: after almost 3weeks of usage. i observed since the first time i used the watch that the battery discharges even when not in use. for instance it just got fully charged to 100% but after taking it off from the charger it discharges up to 95% instantly within seconds. updating my rating to 3 stars from 5 for the product. ordered: 10/22 received: 10/23 i got my apple watch in less than 24hrs from check out. beyond the box sold it cheaper compared to other apple stores. i was doubtful at first because there is only 1 written review, but i trusted. received the item sealed, brand new and in good condition. tested it and was working as expected, was able to pair it with my iphone with no issues. i also checked, and product is authentic and has warranty. my only concern was i asked for a receipt but they didnt include it.</t>
        </is>
      </c>
      <c r="B82" t="inlineStr">
        <is>
          <t>NEUTRAL</t>
        </is>
      </c>
      <c r="C82">
        <f>IF(B82="NEUTRAL","TS","OS")</f>
        <v/>
      </c>
      <c r="D82" t="n">
        <v>3</v>
      </c>
      <c r="E82">
        <f>IF(C82="TS",IF(D82=3,"Consistent",IF(OR(D82=2,D82=4),"Partially Consistent","Inconsistent")),IF(D82=3,"Inconsistent",IF(AND(D82=5,B82="POSITIVE"),"Consistent",IF(AND(D82=1,B82="NEGATIVE"),"Consistent",IF(AND(D82=4,B82="POSITIVE"),"Partially Consistent",IF(AND(D82=2,B82="NEGATIVE"),"Partially Consistent","Inconsistent"))))))</f>
        <v/>
      </c>
      <c r="F82">
        <f>IF(C82="TS","High","Low")</f>
        <v/>
      </c>
      <c r="G82">
        <f>IF(AND(B82="NEUTRAL",F82="Low"),"LOW",IF(AND(C82="TS",F82="High",D82=3),"HIGH",IF(AND(C82="TS",F82="High",OR(D82=2,D82=4)),"MODERATE",IF(AND(C82="TS",F82="High",OR(D82=1,D82=5)),"LOW",IF(AND(C82="OS",E82="Consistent",OR(D82=1,D82=5)),"MODERATE",IF(AND(C82="OS",E82="Partially Consistent",OR(D82=2,D82=4)),"MODERATE","LOW"))))))</f>
        <v/>
      </c>
      <c r="H82" t="inlineStr"/>
      <c r="I82" t="inlineStr"/>
      <c r="J82" t="inlineStr"/>
      <c r="K82" t="inlineStr"/>
      <c r="L82" t="inlineStr"/>
      <c r="M82" t="inlineStr">
        <is>
          <t>https://www.lazada.com.ph/products/pdp-i4665460902-s26890279439.html</t>
        </is>
      </c>
      <c r="N82" t="n">
        <v>2</v>
      </c>
    </row>
    <row r="83">
      <c r="A83" t="inlineStr">
        <is>
          <t>edit: after almost 3weeks of usage. i observed since the first time i used the watch that the battery discharges even when not in use. for instance it just got fully charged to 100% but after taking it off from the charger it discharges up to 95% instantly within seconds. updating my rating to 3 stars from 5 for the product. ordered: 10/22 received: 10/23 i got my apple watch in less than 24hrs from check out. beyond the box sold it cheaper compared to other apple stores. i was doubtful at first because there is only 1 written review, but i trusted. received the item sealed, brand new and in good condition. tested it and was working as expected, was able to pair it with my iphone with no issues. i also checked, and product is authentic and has warranty. my only concern was i asked for a receipt but they didnt include it.</t>
        </is>
      </c>
      <c r="B83" t="inlineStr">
        <is>
          <t>NEUTRAL</t>
        </is>
      </c>
      <c r="C83">
        <f>IF(B83="NEUTRAL","TS","OS")</f>
        <v/>
      </c>
      <c r="D83" t="n">
        <v>3</v>
      </c>
      <c r="E83">
        <f>IF(C83="TS",IF(D83=3,"Consistent",IF(OR(D83=2,D83=4),"Partially Consistent","Inconsistent")),IF(D83=3,"Inconsistent",IF(AND(D83=5,B83="POSITIVE"),"Consistent",IF(AND(D83=1,B83="NEGATIVE"),"Consistent",IF(AND(D83=4,B83="POSITIVE"),"Partially Consistent",IF(AND(D83=2,B83="NEGATIVE"),"Partially Consistent","Inconsistent"))))))</f>
        <v/>
      </c>
      <c r="F83">
        <f>IF(C83="TS","High","Low")</f>
        <v/>
      </c>
      <c r="G83">
        <f>IF(AND(B83="NEUTRAL",F83="Low"),"LOW",IF(AND(C83="TS",F83="High",D83=3),"HIGH",IF(AND(C83="TS",F83="High",OR(D83=2,D83=4)),"MODERATE",IF(AND(C83="TS",F83="High",OR(D83=1,D83=5)),"LOW",IF(AND(C83="OS",E83="Consistent",OR(D83=1,D83=5)),"MODERATE",IF(AND(C83="OS",E83="Partially Consistent",OR(D83=2,D83=4)),"MODERATE","LOW"))))))</f>
        <v/>
      </c>
      <c r="H83" t="inlineStr"/>
      <c r="I83" t="inlineStr"/>
      <c r="J83" t="inlineStr"/>
      <c r="K83" t="inlineStr"/>
      <c r="L83" t="inlineStr"/>
      <c r="M83" t="inlineStr">
        <is>
          <t>https://www.lazada.com.ph/products/pdp-i4665460902-s26890279439.html</t>
        </is>
      </c>
      <c r="N83" t="n">
        <v>2</v>
      </c>
    </row>
    <row r="84">
      <c r="A84" t="inlineStr">
        <is>
          <t>legit apple product sealed. my 2nd purchase same model and color for my cousin! sleek design, perfect for on-the-go, seamless integration with apple ecosystem,</t>
        </is>
      </c>
      <c r="B84" t="inlineStr">
        <is>
          <t>POSITIVE</t>
        </is>
      </c>
      <c r="C84">
        <f>IF(B84="NEUTRAL","TS","OS")</f>
        <v/>
      </c>
      <c r="D84" t="n">
        <v>5</v>
      </c>
      <c r="E84">
        <f>IF(C84="TS",IF(D84=3,"Consistent",IF(OR(D84=2,D84=4),"Partially Consistent","Inconsistent")),IF(D84=3,"Inconsistent",IF(AND(D84=5,B84="POSITIVE"),"Consistent",IF(AND(D84=1,B84="NEGATIVE"),"Consistent",IF(AND(D84=4,B84="POSITIVE"),"Partially Consistent",IF(AND(D84=2,B84="NEGATIVE"),"Partially Consistent","Inconsistent"))))))</f>
        <v/>
      </c>
      <c r="F84">
        <f>IF(C84="TS","High","Low")</f>
        <v/>
      </c>
      <c r="G84">
        <f>IF(AND(B84="NEUTRAL",F84="Low"),"LOW",IF(AND(C84="TS",F84="High",D84=3),"HIGH",IF(AND(C84="TS",F84="High",OR(D84=2,D84=4)),"MODERATE",IF(AND(C84="TS",F84="High",OR(D84=1,D84=5)),"LOW",IF(AND(C84="OS",E84="Consistent",OR(D84=1,D84=5)),"MODERATE",IF(AND(C84="OS",E84="Partially Consistent",OR(D84=2,D84=4)),"MODERATE","LOW"))))))</f>
        <v/>
      </c>
      <c r="H84" t="inlineStr"/>
      <c r="I84" t="inlineStr"/>
      <c r="J84" t="inlineStr"/>
      <c r="K84" t="inlineStr"/>
      <c r="L84" t="inlineStr"/>
      <c r="M84" t="inlineStr">
        <is>
          <t>https://www.lazada.com.ph/products/pdp-i2343919680-s10661362761.html</t>
        </is>
      </c>
      <c r="N84" t="n">
        <v>3</v>
      </c>
    </row>
    <row r="85">
      <c r="A85" t="inlineStr">
        <is>
          <t>long-lasting battery life, impressive camera quality</t>
        </is>
      </c>
      <c r="B85" t="inlineStr">
        <is>
          <t>NEUTRAL</t>
        </is>
      </c>
      <c r="C85">
        <f>IF(B85="NEUTRAL","TS","OS")</f>
        <v/>
      </c>
      <c r="D85" t="n">
        <v>5</v>
      </c>
      <c r="E85">
        <f>IF(C85="TS",IF(D85=3,"Consistent",IF(OR(D85=2,D85=4),"Partially Consistent","Inconsistent")),IF(D85=3,"Inconsistent",IF(AND(D85=5,B85="POSITIVE"),"Consistent",IF(AND(D85=1,B85="NEGATIVE"),"Consistent",IF(AND(D85=4,B85="POSITIVE"),"Partially Consistent",IF(AND(D85=2,B85="NEGATIVE"),"Partially Consistent","Inconsistent"))))))</f>
        <v/>
      </c>
      <c r="F85">
        <f>IF(C85="TS","High","Low")</f>
        <v/>
      </c>
      <c r="G85">
        <f>IF(AND(B85="NEUTRAL",F85="Low"),"LOW",IF(AND(C85="TS",F85="High",D85=3),"HIGH",IF(AND(C85="TS",F85="High",OR(D85=2,D85=4)),"MODERATE",IF(AND(C85="TS",F85="High",OR(D85=1,D85=5)),"LOW",IF(AND(C85="OS",E85="Consistent",OR(D85=1,D85=5)),"MODERATE",IF(AND(C85="OS",E85="Partially Consistent",OR(D85=2,D85=4)),"MODERATE","LOW"))))))</f>
        <v/>
      </c>
      <c r="H85" t="inlineStr"/>
      <c r="I85" t="inlineStr"/>
      <c r="J85" t="inlineStr"/>
      <c r="K85" t="inlineStr"/>
      <c r="L85" t="inlineStr"/>
      <c r="M85" t="inlineStr">
        <is>
          <t>https://www.lazada.com.ph/products/pdp-i2343919680-s10661362761.html</t>
        </is>
      </c>
      <c r="N85" t="n">
        <v>3</v>
      </c>
    </row>
    <row r="86">
      <c r="A86" t="inlineStr">
        <is>
          <t>legit! delivered right on time as committed. packed well. super steal for only 14k something. just finished setting it up now. installing kids apps. our toddler kid will surely love this! thank you!</t>
        </is>
      </c>
      <c r="B86" t="inlineStr">
        <is>
          <t>POSITIVE</t>
        </is>
      </c>
      <c r="C86">
        <f>IF(B86="NEUTRAL","TS","OS")</f>
        <v/>
      </c>
      <c r="D86" t="n">
        <v>5</v>
      </c>
      <c r="E86">
        <f>IF(C86="TS",IF(D86=3,"Consistent",IF(OR(D86=2,D86=4),"Partially Consistent","Inconsistent")),IF(D86=3,"Inconsistent",IF(AND(D86=5,B86="POSITIVE"),"Consistent",IF(AND(D86=1,B86="NEGATIVE"),"Consistent",IF(AND(D86=4,B86="POSITIVE"),"Partially Consistent",IF(AND(D86=2,B86="NEGATIVE"),"Partially Consistent","Inconsistent"))))))</f>
        <v/>
      </c>
      <c r="F86">
        <f>IF(C86="TS","High","Low")</f>
        <v/>
      </c>
      <c r="G86">
        <f>IF(AND(B86="NEUTRAL",F86="Low"),"LOW",IF(AND(C86="TS",F86="High",D86=3),"HIGH",IF(AND(C86="TS",F86="High",OR(D86=2,D86=4)),"MODERATE",IF(AND(C86="TS",F86="High",OR(D86=1,D86=5)),"LOW",IF(AND(C86="OS",E86="Consistent",OR(D86=1,D86=5)),"MODERATE",IF(AND(C86="OS",E86="Partially Consistent",OR(D86=2,D86=4)),"MODERATE","LOW"))))))</f>
        <v/>
      </c>
      <c r="H86" t="inlineStr"/>
      <c r="I86" t="inlineStr"/>
      <c r="J86" t="inlineStr"/>
      <c r="K86" t="inlineStr"/>
      <c r="L86" t="inlineStr"/>
      <c r="M86" t="inlineStr">
        <is>
          <t>https://www.lazada.com.ph/products/pdp-i2343919680-s10661362761.html</t>
        </is>
      </c>
      <c r="N86" t="n">
        <v>3</v>
      </c>
    </row>
    <row r="87">
      <c r="A87" t="inlineStr">
        <is>
          <t>storage capacity: 64gb battery life: 10/10 super tagal ma lowbatt screen quality: 10/10 legit super solid, i got it for 14, 500 only. matagal ma lowbatt, and very smoky for playing games. i tried playing infinity nikki and it' s smooth. i' m using it to watch movies while working, casual gaming and doing notes. everything is worth it.</t>
        </is>
      </c>
      <c r="B87" t="inlineStr">
        <is>
          <t>POSITIVE</t>
        </is>
      </c>
      <c r="C87">
        <f>IF(B87="NEUTRAL","TS","OS")</f>
        <v/>
      </c>
      <c r="D87" t="n">
        <v>5</v>
      </c>
      <c r="E87">
        <f>IF(C87="TS",IF(D87=3,"Consistent",IF(OR(D87=2,D87=4),"Partially Consistent","Inconsistent")),IF(D87=3,"Inconsistent",IF(AND(D87=5,B87="POSITIVE"),"Consistent",IF(AND(D87=1,B87="NEGATIVE"),"Consistent",IF(AND(D87=4,B87="POSITIVE"),"Partially Consistent",IF(AND(D87=2,B87="NEGATIVE"),"Partially Consistent","Inconsistent"))))))</f>
        <v/>
      </c>
      <c r="F87">
        <f>IF(C87="TS","High","Low")</f>
        <v/>
      </c>
      <c r="G87">
        <f>IF(AND(B87="NEUTRAL",F87="Low"),"LOW",IF(AND(C87="TS",F87="High",D87=3),"HIGH",IF(AND(C87="TS",F87="High",OR(D87=2,D87=4)),"MODERATE",IF(AND(C87="TS",F87="High",OR(D87=1,D87=5)),"LOW",IF(AND(C87="OS",E87="Consistent",OR(D87=1,D87=5)),"MODERATE",IF(AND(C87="OS",E87="Partially Consistent",OR(D87=2,D87=4)),"MODERATE","LOW"))))))</f>
        <v/>
      </c>
      <c r="H87" t="inlineStr"/>
      <c r="I87" t="inlineStr"/>
      <c r="J87" t="inlineStr"/>
      <c r="K87" t="inlineStr"/>
      <c r="L87" t="inlineStr"/>
      <c r="M87" t="inlineStr">
        <is>
          <t>https://www.lazada.com.ph/products/pdp-i2343919680-s10661362761.html</t>
        </is>
      </c>
      <c r="N87" t="n">
        <v>3</v>
      </c>
    </row>
    <row r="88">
      <c r="A88" t="inlineStr">
        <is>
          <t>reliable wi-fi and lte connectivity, fast and efficient performance, easy to use with ipados 15, large storage capacity for all your needs,</t>
        </is>
      </c>
      <c r="B88" t="inlineStr">
        <is>
          <t>POSITIVE</t>
        </is>
      </c>
      <c r="C88">
        <f>IF(B88="NEUTRAL","TS","OS")</f>
        <v/>
      </c>
      <c r="D88" t="n">
        <v>5</v>
      </c>
      <c r="E88">
        <f>IF(C88="TS",IF(D88=3,"Consistent",IF(OR(D88=2,D88=4),"Partially Consistent","Inconsistent")),IF(D88=3,"Inconsistent",IF(AND(D88=5,B88="POSITIVE"),"Consistent",IF(AND(D88=1,B88="NEGATIVE"),"Consistent",IF(AND(D88=4,B88="POSITIVE"),"Partially Consistent",IF(AND(D88=2,B88="NEGATIVE"),"Partially Consistent","Inconsistent"))))))</f>
        <v/>
      </c>
      <c r="F88">
        <f>IF(C88="TS","High","Low")</f>
        <v/>
      </c>
      <c r="G88">
        <f>IF(AND(B88="NEUTRAL",F88="Low"),"LOW",IF(AND(C88="TS",F88="High",D88=3),"HIGH",IF(AND(C88="TS",F88="High",OR(D88=2,D88=4)),"MODERATE",IF(AND(C88="TS",F88="High",OR(D88=1,D88=5)),"LOW",IF(AND(C88="OS",E88="Consistent",OR(D88=1,D88=5)),"MODERATE",IF(AND(C88="OS",E88="Partially Consistent",OR(D88=2,D88=4)),"MODERATE","LOW"))))))</f>
        <v/>
      </c>
      <c r="H88" t="inlineStr"/>
      <c r="I88" t="inlineStr"/>
      <c r="J88" t="inlineStr"/>
      <c r="K88" t="inlineStr"/>
      <c r="L88" t="inlineStr"/>
      <c r="M88" t="inlineStr">
        <is>
          <t>https://www.lazada.com.ph/products/pdp-i2343919680-s10661362761.html</t>
        </is>
      </c>
      <c r="N88" t="n">
        <v>3</v>
      </c>
    </row>
    <row r="89">
      <c r="A89" t="inlineStr">
        <is>
          <t>legiteasy to use, sleek design, perfect for on-the-go, seamless integration with apple ecosystem,</t>
        </is>
      </c>
      <c r="B89" t="inlineStr">
        <is>
          <t>POSITIVE</t>
        </is>
      </c>
      <c r="C89">
        <f>IF(B89="NEUTRAL","TS","OS")</f>
        <v/>
      </c>
      <c r="D89" t="n">
        <v>5</v>
      </c>
      <c r="E89">
        <f>IF(C89="TS",IF(D89=3,"Consistent",IF(OR(D89=2,D89=4),"Partially Consistent","Inconsistent")),IF(D89=3,"Inconsistent",IF(AND(D89=5,B89="POSITIVE"),"Consistent",IF(AND(D89=1,B89="NEGATIVE"),"Consistent",IF(AND(D89=4,B89="POSITIVE"),"Partially Consistent",IF(AND(D89=2,B89="NEGATIVE"),"Partially Consistent","Inconsistent"))))))</f>
        <v/>
      </c>
      <c r="F89">
        <f>IF(C89="TS","High","Low")</f>
        <v/>
      </c>
      <c r="G89">
        <f>IF(AND(B89="NEUTRAL",F89="Low"),"LOW",IF(AND(C89="TS",F89="High",D89=3),"HIGH",IF(AND(C89="TS",F89="High",OR(D89=2,D89=4)),"MODERATE",IF(AND(C89="TS",F89="High",OR(D89=1,D89=5)),"LOW",IF(AND(C89="OS",E89="Consistent",OR(D89=1,D89=5)),"MODERATE",IF(AND(C89="OS",E89="Partially Consistent",OR(D89=2,D89=4)),"MODERATE","LOW"))))))</f>
        <v/>
      </c>
      <c r="H89" t="inlineStr"/>
      <c r="I89" t="inlineStr"/>
      <c r="J89" t="inlineStr"/>
      <c r="K89" t="inlineStr"/>
      <c r="L89" t="inlineStr"/>
      <c r="M89" t="inlineStr">
        <is>
          <t>https://www.lazada.com.ph/products/pdp-i2343919680-s10661362761.html</t>
        </is>
      </c>
      <c r="N89" t="n">
        <v>3</v>
      </c>
    </row>
    <row r="90">
      <c r="A90" t="inlineStr">
        <is>
          <t>reliable wi-fi and lte connectivity, easy to use with ipados 15, sleek design, perfect for on-the-go, high-resolution display for immersive viewing, high-resolution display for immersive viewing, impressive camera quality, long-lasting battery life, seamless integration with apple ecosystem, battery life: fast and efficient performance,</t>
        </is>
      </c>
      <c r="B90" t="inlineStr">
        <is>
          <t>NEUTRAL</t>
        </is>
      </c>
      <c r="C90">
        <f>IF(B90="NEUTRAL","TS","OS")</f>
        <v/>
      </c>
      <c r="D90" t="n">
        <v>5</v>
      </c>
      <c r="E90">
        <f>IF(C90="TS",IF(D90=3,"Consistent",IF(OR(D90=2,D90=4),"Partially Consistent","Inconsistent")),IF(D90=3,"Inconsistent",IF(AND(D90=5,B90="POSITIVE"),"Consistent",IF(AND(D90=1,B90="NEGATIVE"),"Consistent",IF(AND(D90=4,B90="POSITIVE"),"Partially Consistent",IF(AND(D90=2,B90="NEGATIVE"),"Partially Consistent","Inconsistent"))))))</f>
        <v/>
      </c>
      <c r="F90">
        <f>IF(C90="TS","High","Low")</f>
        <v/>
      </c>
      <c r="G90">
        <f>IF(AND(B90="NEUTRAL",F90="Low"),"LOW",IF(AND(C90="TS",F90="High",D90=3),"HIGH",IF(AND(C90="TS",F90="High",OR(D90=2,D90=4)),"MODERATE",IF(AND(C90="TS",F90="High",OR(D90=1,D90=5)),"LOW",IF(AND(C90="OS",E90="Consistent",OR(D90=1,D90=5)),"MODERATE",IF(AND(C90="OS",E90="Partially Consistent",OR(D90=2,D90=4)),"MODERATE","LOW"))))))</f>
        <v/>
      </c>
      <c r="H90" t="inlineStr"/>
      <c r="I90" t="inlineStr"/>
      <c r="J90" t="inlineStr"/>
      <c r="K90" t="inlineStr"/>
      <c r="L90" t="inlineStr"/>
      <c r="M90" t="inlineStr">
        <is>
          <t>https://www.lazada.com.ph/products/pdp-i2343919680-s10661362761.html</t>
        </is>
      </c>
      <c r="N90" t="n">
        <v>3</v>
      </c>
    </row>
    <row r="91">
      <c r="A91" t="inlineStr">
        <is>
          <t>storage capacity: 64 easy to use with ipados 15, sleek design, perfect for on-the-go, seamless integration with apple ecosystem, easy to use with ipados 15,</t>
        </is>
      </c>
      <c r="B91" t="inlineStr">
        <is>
          <t>POSITIVE</t>
        </is>
      </c>
      <c r="C91">
        <f>IF(B91="NEUTRAL","TS","OS")</f>
        <v/>
      </c>
      <c r="D91" t="n">
        <v>5</v>
      </c>
      <c r="E91">
        <f>IF(C91="TS",IF(D91=3,"Consistent",IF(OR(D91=2,D91=4),"Partially Consistent","Inconsistent")),IF(D91=3,"Inconsistent",IF(AND(D91=5,B91="POSITIVE"),"Consistent",IF(AND(D91=1,B91="NEGATIVE"),"Consistent",IF(AND(D91=4,B91="POSITIVE"),"Partially Consistent",IF(AND(D91=2,B91="NEGATIVE"),"Partially Consistent","Inconsistent"))))))</f>
        <v/>
      </c>
      <c r="F91">
        <f>IF(C91="TS","High","Low")</f>
        <v/>
      </c>
      <c r="G91">
        <f>IF(AND(B91="NEUTRAL",F91="Low"),"LOW",IF(AND(C91="TS",F91="High",D91=3),"HIGH",IF(AND(C91="TS",F91="High",OR(D91=2,D91=4)),"MODERATE",IF(AND(C91="TS",F91="High",OR(D91=1,D91=5)),"LOW",IF(AND(C91="OS",E91="Consistent",OR(D91=1,D91=5)),"MODERATE",IF(AND(C91="OS",E91="Partially Consistent",OR(D91=2,D91=4)),"MODERATE","LOW"))))))</f>
        <v/>
      </c>
      <c r="H91" t="inlineStr"/>
      <c r="I91" t="inlineStr"/>
      <c r="J91" t="inlineStr"/>
      <c r="K91" t="inlineStr"/>
      <c r="L91" t="inlineStr"/>
      <c r="M91" t="inlineStr">
        <is>
          <t>https://www.lazada.com.ph/products/pdp-i2343919680-s10661362761.html</t>
        </is>
      </c>
      <c r="N91" t="n">
        <v>3</v>
      </c>
    </row>
    <row r="92">
      <c r="A92" t="inlineStr">
        <is>
          <t>long-lasting battery life, got it for less than p14k. legit seller, thank you!</t>
        </is>
      </c>
      <c r="B92" t="inlineStr">
        <is>
          <t>POSITIVE</t>
        </is>
      </c>
      <c r="C92">
        <f>IF(B92="NEUTRAL","TS","OS")</f>
        <v/>
      </c>
      <c r="D92" t="n">
        <v>5</v>
      </c>
      <c r="E92">
        <f>IF(C92="TS",IF(D92=3,"Consistent",IF(OR(D92=2,D92=4),"Partially Consistent","Inconsistent")),IF(D92=3,"Inconsistent",IF(AND(D92=5,B92="POSITIVE"),"Consistent",IF(AND(D92=1,B92="NEGATIVE"),"Consistent",IF(AND(D92=4,B92="POSITIVE"),"Partially Consistent",IF(AND(D92=2,B92="NEGATIVE"),"Partially Consistent","Inconsistent"))))))</f>
        <v/>
      </c>
      <c r="F92">
        <f>IF(C92="TS","High","Low")</f>
        <v/>
      </c>
      <c r="G92">
        <f>IF(AND(B92="NEUTRAL",F92="Low"),"LOW",IF(AND(C92="TS",F92="High",D92=3),"HIGH",IF(AND(C92="TS",F92="High",OR(D92=2,D92=4)),"MODERATE",IF(AND(C92="TS",F92="High",OR(D92=1,D92=5)),"LOW",IF(AND(C92="OS",E92="Consistent",OR(D92=1,D92=5)),"MODERATE",IF(AND(C92="OS",E92="Partially Consistent",OR(D92=2,D92=4)),"MODERATE","LOW"))))))</f>
        <v/>
      </c>
      <c r="H92" t="inlineStr"/>
      <c r="I92" t="inlineStr"/>
      <c r="J92" t="inlineStr"/>
      <c r="K92" t="inlineStr"/>
      <c r="L92" t="inlineStr"/>
      <c r="M92" t="inlineStr">
        <is>
          <t>https://www.lazada.com.ph/products/pdp-i2343919680-s10661362761.html</t>
        </is>
      </c>
      <c r="N92" t="n">
        <v>3</v>
      </c>
    </row>
    <row r="93">
      <c r="A93" t="inlineStr">
        <is>
          <t>battery life: 10 storage capacity: 10 screen quality: 10</t>
        </is>
      </c>
      <c r="B93" t="inlineStr">
        <is>
          <t>NEUTRAL</t>
        </is>
      </c>
      <c r="C93">
        <f>IF(B93="NEUTRAL","TS","OS")</f>
        <v/>
      </c>
      <c r="D93" t="n">
        <v>5</v>
      </c>
      <c r="E93">
        <f>IF(C93="TS",IF(D93=3,"Consistent",IF(OR(D93=2,D93=4),"Partially Consistent","Inconsistent")),IF(D93=3,"Inconsistent",IF(AND(D93=5,B93="POSITIVE"),"Consistent",IF(AND(D93=1,B93="NEGATIVE"),"Consistent",IF(AND(D93=4,B93="POSITIVE"),"Partially Consistent",IF(AND(D93=2,B93="NEGATIVE"),"Partially Consistent","Inconsistent"))))))</f>
        <v/>
      </c>
      <c r="F93">
        <f>IF(C93="TS","High","Low")</f>
        <v/>
      </c>
      <c r="G93">
        <f>IF(AND(B93="NEUTRAL",F93="Low"),"LOW",IF(AND(C93="TS",F93="High",D93=3),"HIGH",IF(AND(C93="TS",F93="High",OR(D93=2,D93=4)),"MODERATE",IF(AND(C93="TS",F93="High",OR(D93=1,D93=5)),"LOW",IF(AND(C93="OS",E93="Consistent",OR(D93=1,D93=5)),"MODERATE",IF(AND(C93="OS",E93="Partially Consistent",OR(D93=2,D93=4)),"MODERATE","LOW"))))))</f>
        <v/>
      </c>
      <c r="H93" t="inlineStr"/>
      <c r="I93" t="inlineStr"/>
      <c r="J93" t="inlineStr"/>
      <c r="K93" t="inlineStr"/>
      <c r="L93" t="inlineStr"/>
      <c r="M93" t="inlineStr">
        <is>
          <t>https://www.lazada.com.ph/products/pdp-i2343919680-s10661362761.html</t>
        </is>
      </c>
      <c r="N93" t="n">
        <v>3</v>
      </c>
    </row>
    <row r="94">
      <c r="A94" t="inlineStr">
        <is>
          <t>bilis lang dumating. 11 evening na checkout dumating agad ng 13. sealed ang box. no damage. ayos na ayos gamitin. legit! sulit pa dahil sa sale and voucher. enjoy ang bunso namin.</t>
        </is>
      </c>
      <c r="B94" t="inlineStr">
        <is>
          <t>POSITIVE</t>
        </is>
      </c>
      <c r="C94">
        <f>IF(B94="NEUTRAL","TS","OS")</f>
        <v/>
      </c>
      <c r="D94" t="n">
        <v>5</v>
      </c>
      <c r="E94">
        <f>IF(C94="TS",IF(D94=3,"Consistent",IF(OR(D94=2,D94=4),"Partially Consistent","Inconsistent")),IF(D94=3,"Inconsistent",IF(AND(D94=5,B94="POSITIVE"),"Consistent",IF(AND(D94=1,B94="NEGATIVE"),"Consistent",IF(AND(D94=4,B94="POSITIVE"),"Partially Consistent",IF(AND(D94=2,B94="NEGATIVE"),"Partially Consistent","Inconsistent"))))))</f>
        <v/>
      </c>
      <c r="F94">
        <f>IF(C94="TS","High","Low")</f>
        <v/>
      </c>
      <c r="G94">
        <f>IF(AND(B94="NEUTRAL",F94="Low"),"LOW",IF(AND(C94="TS",F94="High",D94=3),"HIGH",IF(AND(C94="TS",F94="High",OR(D94=2,D94=4)),"MODERATE",IF(AND(C94="TS",F94="High",OR(D94=1,D94=5)),"LOW",IF(AND(C94="OS",E94="Consistent",OR(D94=1,D94=5)),"MODERATE",IF(AND(C94="OS",E94="Partially Consistent",OR(D94=2,D94=4)),"MODERATE","LOW"))))))</f>
        <v/>
      </c>
      <c r="H94" t="inlineStr"/>
      <c r="I94" t="inlineStr"/>
      <c r="J94" t="inlineStr"/>
      <c r="K94" t="inlineStr"/>
      <c r="L94" t="inlineStr"/>
      <c r="M94" t="inlineStr">
        <is>
          <t>https://www.lazada.com.ph/products/pdp-i2343919680-s10661362761.html</t>
        </is>
      </c>
      <c r="N94" t="n">
        <v>3</v>
      </c>
    </row>
    <row r="95">
      <c r="A95" t="inlineStr">
        <is>
          <t>the ipad 9th generation is a fantastic device that strikes a perfect balance between performance, versatility, and affordability. as an everyday tablet user, ive been thoroughly impressed with its capabilities. **performance: ** powered by the a13 bionic chip, the ipad 9th gen delivers smooth and responsive performance, whether im multitasking, playing graphics-intensive games, or streaming videos. apps open quickly, and theres no noticeable lag, making it a joy to use. **display: ** the 10. 2-inch retina display is vibrant and sharp, with excellent color accuracy and brightness. whether im watching movies, browsing photos, or reading ebooks, everything looks stunning. the true tone feature adjusts the screens color temperature based on ambient lighting, which is a nice touch for comfortable viewing. **camera and audio: ** the 12mp ultra wide front camera with center stage is a gam</t>
        </is>
      </c>
      <c r="B95" t="inlineStr">
        <is>
          <t>NEUTRAL</t>
        </is>
      </c>
      <c r="C95">
        <f>IF(B95="NEUTRAL","TS","OS")</f>
        <v/>
      </c>
      <c r="D95" t="n">
        <v>5</v>
      </c>
      <c r="E95">
        <f>IF(C95="TS",IF(D95=3,"Consistent",IF(OR(D95=2,D95=4),"Partially Consistent","Inconsistent")),IF(D95=3,"Inconsistent",IF(AND(D95=5,B95="POSITIVE"),"Consistent",IF(AND(D95=1,B95="NEGATIVE"),"Consistent",IF(AND(D95=4,B95="POSITIVE"),"Partially Consistent",IF(AND(D95=2,B95="NEGATIVE"),"Partially Consistent","Inconsistent"))))))</f>
        <v/>
      </c>
      <c r="F95">
        <f>IF(C95="TS","High","Low")</f>
        <v/>
      </c>
      <c r="G95">
        <f>IF(AND(B95="NEUTRAL",F95="Low"),"LOW",IF(AND(C95="TS",F95="High",D95=3),"HIGH",IF(AND(C95="TS",F95="High",OR(D95=2,D95=4)),"MODERATE",IF(AND(C95="TS",F95="High",OR(D95=1,D95=5)),"LOW",IF(AND(C95="OS",E95="Consistent",OR(D95=1,D95=5)),"MODERATE",IF(AND(C95="OS",E95="Partially Consistent",OR(D95=2,D95=4)),"MODERATE","LOW"))))))</f>
        <v/>
      </c>
      <c r="H95" t="inlineStr"/>
      <c r="I95" t="inlineStr"/>
      <c r="J95" t="inlineStr"/>
      <c r="K95" t="inlineStr"/>
      <c r="L95" t="inlineStr"/>
      <c r="M95" t="inlineStr">
        <is>
          <t>https://www.lazada.com.ph/products/pdp-i2343919680-s10661362761.html</t>
        </is>
      </c>
      <c r="N95" t="n">
        <v>3</v>
      </c>
    </row>
    <row r="96">
      <c r="A96" t="inlineStr">
        <is>
          <t>sealed talaga bought this as a gift thanks seller screen quality storage capacity battery life</t>
        </is>
      </c>
      <c r="B96" t="inlineStr">
        <is>
          <t>POSITIVE</t>
        </is>
      </c>
      <c r="C96">
        <f>IF(B96="NEUTRAL","TS","OS")</f>
        <v/>
      </c>
      <c r="D96" t="n">
        <v>5</v>
      </c>
      <c r="E96">
        <f>IF(C96="TS",IF(D96=3,"Consistent",IF(OR(D96=2,D96=4),"Partially Consistent","Inconsistent")),IF(D96=3,"Inconsistent",IF(AND(D96=5,B96="POSITIVE"),"Consistent",IF(AND(D96=1,B96="NEGATIVE"),"Consistent",IF(AND(D96=4,B96="POSITIVE"),"Partially Consistent",IF(AND(D96=2,B96="NEGATIVE"),"Partially Consistent","Inconsistent"))))))</f>
        <v/>
      </c>
      <c r="F96">
        <f>IF(C96="TS","High","Low")</f>
        <v/>
      </c>
      <c r="G96">
        <f>IF(AND(B96="NEUTRAL",F96="Low"),"LOW",IF(AND(C96="TS",F96="High",D96=3),"HIGH",IF(AND(C96="TS",F96="High",OR(D96=2,D96=4)),"MODERATE",IF(AND(C96="TS",F96="High",OR(D96=1,D96=5)),"LOW",IF(AND(C96="OS",E96="Consistent",OR(D96=1,D96=5)),"MODERATE",IF(AND(C96="OS",E96="Partially Consistent",OR(D96=2,D96=4)),"MODERATE","LOW"))))))</f>
        <v/>
      </c>
      <c r="H96" t="inlineStr"/>
      <c r="I96" t="inlineStr"/>
      <c r="J96" t="inlineStr"/>
      <c r="K96" t="inlineStr"/>
      <c r="L96" t="inlineStr"/>
      <c r="M96" t="inlineStr">
        <is>
          <t>https://www.lazada.com.ph/products/pdp-i2343919680-s10661362761.html</t>
        </is>
      </c>
      <c r="N96" t="n">
        <v>3</v>
      </c>
    </row>
    <row r="97">
      <c r="A97" t="inlineStr">
        <is>
          <t>in fairness ang ganda at legit 100% nakuha ko under ng lazpaylater 6 months to pay, vongga keriii! ! ! naolllllll</t>
        </is>
      </c>
      <c r="B97" t="inlineStr">
        <is>
          <t>POSITIVE</t>
        </is>
      </c>
      <c r="C97">
        <f>IF(B97="NEUTRAL","TS","OS")</f>
        <v/>
      </c>
      <c r="D97" t="n">
        <v>5</v>
      </c>
      <c r="E97">
        <f>IF(C97="TS",IF(D97=3,"Consistent",IF(OR(D97=2,D97=4),"Partially Consistent","Inconsistent")),IF(D97=3,"Inconsistent",IF(AND(D97=5,B97="POSITIVE"),"Consistent",IF(AND(D97=1,B97="NEGATIVE"),"Consistent",IF(AND(D97=4,B97="POSITIVE"),"Partially Consistent",IF(AND(D97=2,B97="NEGATIVE"),"Partially Consistent","Inconsistent"))))))</f>
        <v/>
      </c>
      <c r="F97">
        <f>IF(C97="TS","High","Low")</f>
        <v/>
      </c>
      <c r="G97">
        <f>IF(AND(B97="NEUTRAL",F97="Low"),"LOW",IF(AND(C97="TS",F97="High",D97=3),"HIGH",IF(AND(C97="TS",F97="High",OR(D97=2,D97=4)),"MODERATE",IF(AND(C97="TS",F97="High",OR(D97=1,D97=5)),"LOW",IF(AND(C97="OS",E97="Consistent",OR(D97=1,D97=5)),"MODERATE",IF(AND(C97="OS",E97="Partially Consistent",OR(D97=2,D97=4)),"MODERATE","LOW"))))))</f>
        <v/>
      </c>
      <c r="H97" t="inlineStr"/>
      <c r="I97" t="inlineStr"/>
      <c r="J97" t="inlineStr"/>
      <c r="K97" t="inlineStr"/>
      <c r="L97" t="inlineStr"/>
      <c r="M97" t="inlineStr">
        <is>
          <t>https://www.lazada.com.ph/products/pdp-i2343919680-s10661362761.html</t>
        </is>
      </c>
      <c r="N97" t="n">
        <v>3</v>
      </c>
    </row>
    <row r="98">
      <c r="A98" t="inlineStr">
        <is>
          <t>reliable wi-fi and lte connectivity, seamless integration with apple ecosystem, large storage capacity for all your needs,</t>
        </is>
      </c>
      <c r="B98" t="inlineStr">
        <is>
          <t>NEUTRAL</t>
        </is>
      </c>
      <c r="C98">
        <f>IF(B98="NEUTRAL","TS","OS")</f>
        <v/>
      </c>
      <c r="D98" t="n">
        <v>5</v>
      </c>
      <c r="E98">
        <f>IF(C98="TS",IF(D98=3,"Consistent",IF(OR(D98=2,D98=4),"Partially Consistent","Inconsistent")),IF(D98=3,"Inconsistent",IF(AND(D98=5,B98="POSITIVE"),"Consistent",IF(AND(D98=1,B98="NEGATIVE"),"Consistent",IF(AND(D98=4,B98="POSITIVE"),"Partially Consistent",IF(AND(D98=2,B98="NEGATIVE"),"Partially Consistent","Inconsistent"))))))</f>
        <v/>
      </c>
      <c r="F98">
        <f>IF(C98="TS","High","Low")</f>
        <v/>
      </c>
      <c r="G98">
        <f>IF(AND(B98="NEUTRAL",F98="Low"),"LOW",IF(AND(C98="TS",F98="High",D98=3),"HIGH",IF(AND(C98="TS",F98="High",OR(D98=2,D98=4)),"MODERATE",IF(AND(C98="TS",F98="High",OR(D98=1,D98=5)),"LOW",IF(AND(C98="OS",E98="Consistent",OR(D98=1,D98=5)),"MODERATE",IF(AND(C98="OS",E98="Partially Consistent",OR(D98=2,D98=4)),"MODERATE","LOW"))))))</f>
        <v/>
      </c>
      <c r="H98" t="inlineStr"/>
      <c r="I98" t="inlineStr"/>
      <c r="J98" t="inlineStr"/>
      <c r="K98" t="inlineStr"/>
      <c r="L98" t="inlineStr"/>
      <c r="M98" t="inlineStr">
        <is>
          <t>https://www.lazada.com.ph/products/pdp-i2343919680-s10661362761.html</t>
        </is>
      </c>
      <c r="N98" t="n">
        <v>3</v>
      </c>
    </row>
    <row r="99">
      <c r="A99" t="inlineStr">
        <is>
          <t>seamless integration with apple ecosystem, reliable wi-fi and lte connectivity, easy to use with ipados 15,</t>
        </is>
      </c>
      <c r="B99" t="inlineStr">
        <is>
          <t>POSITIVE</t>
        </is>
      </c>
      <c r="C99">
        <f>IF(B99="NEUTRAL","TS","OS")</f>
        <v/>
      </c>
      <c r="D99" t="n">
        <v>5</v>
      </c>
      <c r="E99">
        <f>IF(C99="TS",IF(D99=3,"Consistent",IF(OR(D99=2,D99=4),"Partially Consistent","Inconsistent")),IF(D99=3,"Inconsistent",IF(AND(D99=5,B99="POSITIVE"),"Consistent",IF(AND(D99=1,B99="NEGATIVE"),"Consistent",IF(AND(D99=4,B99="POSITIVE"),"Partially Consistent",IF(AND(D99=2,B99="NEGATIVE"),"Partially Consistent","Inconsistent"))))))</f>
        <v/>
      </c>
      <c r="F99">
        <f>IF(C99="TS","High","Low")</f>
        <v/>
      </c>
      <c r="G99">
        <f>IF(AND(B99="NEUTRAL",F99="Low"),"LOW",IF(AND(C99="TS",F99="High",D99=3),"HIGH",IF(AND(C99="TS",F99="High",OR(D99=2,D99=4)),"MODERATE",IF(AND(C99="TS",F99="High",OR(D99=1,D99=5)),"LOW",IF(AND(C99="OS",E99="Consistent",OR(D99=1,D99=5)),"MODERATE",IF(AND(C99="OS",E99="Partially Consistent",OR(D99=2,D99=4)),"MODERATE","LOW"))))))</f>
        <v/>
      </c>
      <c r="H99" t="inlineStr"/>
      <c r="I99" t="inlineStr"/>
      <c r="J99" t="inlineStr"/>
      <c r="K99" t="inlineStr"/>
      <c r="L99" t="inlineStr"/>
      <c r="M99" t="inlineStr">
        <is>
          <t>https://www.lazada.com.ph/products/pdp-i2343919680-s10661362761.html</t>
        </is>
      </c>
      <c r="N99" t="n">
        <v>3</v>
      </c>
    </row>
    <row r="100">
      <c r="A100" t="inlineStr">
        <is>
          <t>high-resolution display for immersive viewing, reliable wi-fi and lte connectivity, screen quality: 1000000000</t>
        </is>
      </c>
      <c r="B100" t="inlineStr">
        <is>
          <t>NEUTRAL</t>
        </is>
      </c>
      <c r="C100">
        <f>IF(B100="NEUTRAL","TS","OS")</f>
        <v/>
      </c>
      <c r="D100" t="n">
        <v>5</v>
      </c>
      <c r="E100">
        <f>IF(C100="TS",IF(D100=3,"Consistent",IF(OR(D100=2,D100=4),"Partially Consistent","Inconsistent")),IF(D100=3,"Inconsistent",IF(AND(D100=5,B100="POSITIVE"),"Consistent",IF(AND(D100=1,B100="NEGATIVE"),"Consistent",IF(AND(D100=4,B100="POSITIVE"),"Partially Consistent",IF(AND(D100=2,B100="NEGATIVE"),"Partially Consistent","Inconsistent"))))))</f>
        <v/>
      </c>
      <c r="F100">
        <f>IF(C100="TS","High","Low")</f>
        <v/>
      </c>
      <c r="G100">
        <f>IF(AND(B100="NEUTRAL",F100="Low"),"LOW",IF(AND(C100="TS",F100="High",D100=3),"HIGH",IF(AND(C100="TS",F100="High",OR(D100=2,D100=4)),"MODERATE",IF(AND(C100="TS",F100="High",OR(D100=1,D100=5)),"LOW",IF(AND(C100="OS",E100="Consistent",OR(D100=1,D100=5)),"MODERATE",IF(AND(C100="OS",E100="Partially Consistent",OR(D100=2,D100=4)),"MODERATE","LOW"))))))</f>
        <v/>
      </c>
      <c r="H100" t="inlineStr"/>
      <c r="I100" t="inlineStr"/>
      <c r="J100" t="inlineStr"/>
      <c r="K100" t="inlineStr"/>
      <c r="L100" t="inlineStr"/>
      <c r="M100" t="inlineStr">
        <is>
          <t>https://www.lazada.com.ph/products/pdp-i2343919680-s10661362761.html</t>
        </is>
      </c>
      <c r="N100" t="n">
        <v>3</v>
      </c>
    </row>
    <row r="101">
      <c r="A101" t="inlineStr">
        <is>
          <t>screen quality: solid ang quality. sulit sulit sulit sulit sulit sulit sulit sulit sulit sulit sulit sulit</t>
        </is>
      </c>
      <c r="B101" t="inlineStr">
        <is>
          <t>POSITIVE</t>
        </is>
      </c>
      <c r="C101">
        <f>IF(B101="NEUTRAL","TS","OS")</f>
        <v/>
      </c>
      <c r="D101" t="n">
        <v>5</v>
      </c>
      <c r="E101">
        <f>IF(C101="TS",IF(D101=3,"Consistent",IF(OR(D101=2,D101=4),"Partially Consistent","Inconsistent")),IF(D101=3,"Inconsistent",IF(AND(D101=5,B101="POSITIVE"),"Consistent",IF(AND(D101=1,B101="NEGATIVE"),"Consistent",IF(AND(D101=4,B101="POSITIVE"),"Partially Consistent",IF(AND(D101=2,B101="NEGATIVE"),"Partially Consistent","Inconsistent"))))))</f>
        <v/>
      </c>
      <c r="F101">
        <f>IF(C101="TS","High","Low")</f>
        <v/>
      </c>
      <c r="G101">
        <f>IF(AND(B101="NEUTRAL",F101="Low"),"LOW",IF(AND(C101="TS",F101="High",D101=3),"HIGH",IF(AND(C101="TS",F101="High",OR(D101=2,D101=4)),"MODERATE",IF(AND(C101="TS",F101="High",OR(D101=1,D101=5)),"LOW",IF(AND(C101="OS",E101="Consistent",OR(D101=1,D101=5)),"MODERATE",IF(AND(C101="OS",E101="Partially Consistent",OR(D101=2,D101=4)),"MODERATE","LOW"))))))</f>
        <v/>
      </c>
      <c r="H101" t="inlineStr"/>
      <c r="I101" t="inlineStr"/>
      <c r="J101" t="inlineStr"/>
      <c r="K101" t="inlineStr"/>
      <c r="L101" t="inlineStr"/>
      <c r="M101" t="inlineStr">
        <is>
          <t>https://www.lazada.com.ph/products/pdp-i2343919680-s10661362761.html</t>
        </is>
      </c>
      <c r="N101" t="n">
        <v>3</v>
      </c>
    </row>
    <row r="102">
      <c r="A102" t="inlineStr">
        <is>
          <t>high-resolution display for immersive viewing, sleek design, perfect for on-the-go, battery life: vvjj screen quality: gho happy ang anak ko, thanks</t>
        </is>
      </c>
      <c r="B102" t="inlineStr">
        <is>
          <t>NEUTRAL</t>
        </is>
      </c>
      <c r="C102">
        <f>IF(B102="NEUTRAL","TS","OS")</f>
        <v/>
      </c>
      <c r="D102" t="n">
        <v>5</v>
      </c>
      <c r="E102">
        <f>IF(C102="TS",IF(D102=3,"Consistent",IF(OR(D102=2,D102=4),"Partially Consistent","Inconsistent")),IF(D102=3,"Inconsistent",IF(AND(D102=5,B102="POSITIVE"),"Consistent",IF(AND(D102=1,B102="NEGATIVE"),"Consistent",IF(AND(D102=4,B102="POSITIVE"),"Partially Consistent",IF(AND(D102=2,B102="NEGATIVE"),"Partially Consistent","Inconsistent"))))))</f>
        <v/>
      </c>
      <c r="F102">
        <f>IF(C102="TS","High","Low")</f>
        <v/>
      </c>
      <c r="G102">
        <f>IF(AND(B102="NEUTRAL",F102="Low"),"LOW",IF(AND(C102="TS",F102="High",D102=3),"HIGH",IF(AND(C102="TS",F102="High",OR(D102=2,D102=4)),"MODERATE",IF(AND(C102="TS",F102="High",OR(D102=1,D102=5)),"LOW",IF(AND(C102="OS",E102="Consistent",OR(D102=1,D102=5)),"MODERATE",IF(AND(C102="OS",E102="Partially Consistent",OR(D102=2,D102=4)),"MODERATE","LOW"))))))</f>
        <v/>
      </c>
      <c r="H102" t="inlineStr"/>
      <c r="I102" t="inlineStr"/>
      <c r="J102" t="inlineStr"/>
      <c r="K102" t="inlineStr"/>
      <c r="L102" t="inlineStr"/>
      <c r="M102" t="inlineStr">
        <is>
          <t>https://www.lazada.com.ph/products/pdp-i2343919680-s10661362761.html</t>
        </is>
      </c>
      <c r="N102" t="n">
        <v>3</v>
      </c>
    </row>
    <row r="103">
      <c r="A103" t="inlineStr">
        <is>
          <t>screen quality: impressive camera quality, easy to use with ipados 15 thank yiu very muchh yeet yrtdrgghbb</t>
        </is>
      </c>
      <c r="B103" t="inlineStr">
        <is>
          <t>POSITIVE</t>
        </is>
      </c>
      <c r="C103">
        <f>IF(B103="NEUTRAL","TS","OS")</f>
        <v/>
      </c>
      <c r="D103" t="n">
        <v>5</v>
      </c>
      <c r="E103">
        <f>IF(C103="TS",IF(D103=3,"Consistent",IF(OR(D103=2,D103=4),"Partially Consistent","Inconsistent")),IF(D103=3,"Inconsistent",IF(AND(D103=5,B103="POSITIVE"),"Consistent",IF(AND(D103=1,B103="NEGATIVE"),"Consistent",IF(AND(D103=4,B103="POSITIVE"),"Partially Consistent",IF(AND(D103=2,B103="NEGATIVE"),"Partially Consistent","Inconsistent"))))))</f>
        <v/>
      </c>
      <c r="F103">
        <f>IF(C103="TS","High","Low")</f>
        <v/>
      </c>
      <c r="G103">
        <f>IF(AND(B103="NEUTRAL",F103="Low"),"LOW",IF(AND(C103="TS",F103="High",D103=3),"HIGH",IF(AND(C103="TS",F103="High",OR(D103=2,D103=4)),"MODERATE",IF(AND(C103="TS",F103="High",OR(D103=1,D103=5)),"LOW",IF(AND(C103="OS",E103="Consistent",OR(D103=1,D103=5)),"MODERATE",IF(AND(C103="OS",E103="Partially Consistent",OR(D103=2,D103=4)),"MODERATE","LOW"))))))</f>
        <v/>
      </c>
      <c r="H103" t="inlineStr"/>
      <c r="I103" t="inlineStr"/>
      <c r="J103" t="inlineStr"/>
      <c r="K103" t="inlineStr"/>
      <c r="L103" t="inlineStr"/>
      <c r="M103" t="inlineStr">
        <is>
          <t>https://www.lazada.com.ph/products/pdp-i2343919680-s10661362761.html</t>
        </is>
      </c>
      <c r="N103" t="n">
        <v>3</v>
      </c>
    </row>
    <row r="104">
      <c r="A104" t="inlineStr">
        <is>
          <t>good packaging, good item, nakuha ko ng sale nakarating ng maayos maganda ang packaging. .</t>
        </is>
      </c>
      <c r="B104" t="inlineStr">
        <is>
          <t>POSITIVE</t>
        </is>
      </c>
      <c r="C104">
        <f>IF(B104="NEUTRAL","TS","OS")</f>
        <v/>
      </c>
      <c r="D104" t="n">
        <v>4</v>
      </c>
      <c r="E104">
        <f>IF(C104="TS",IF(D104=3,"Consistent",IF(OR(D104=2,D104=4),"Partially Consistent","Inconsistent")),IF(D104=3,"Inconsistent",IF(AND(D104=5,B104="POSITIVE"),"Consistent",IF(AND(D104=1,B104="NEGATIVE"),"Consistent",IF(AND(D104=4,B104="POSITIVE"),"Partially Consistent",IF(AND(D104=2,B104="NEGATIVE"),"Partially Consistent","Inconsistent"))))))</f>
        <v/>
      </c>
      <c r="F104">
        <f>IF(C104="TS","High","Low")</f>
        <v/>
      </c>
      <c r="G104">
        <f>IF(AND(B104="NEUTRAL",F104="Low"),"LOW",IF(AND(C104="TS",F104="High",D104=3),"HIGH",IF(AND(C104="TS",F104="High",OR(D104=2,D104=4)),"MODERATE",IF(AND(C104="TS",F104="High",OR(D104=1,D104=5)),"LOW",IF(AND(C104="OS",E104="Consistent",OR(D104=1,D104=5)),"MODERATE",IF(AND(C104="OS",E104="Partially Consistent",OR(D104=2,D104=4)),"MODERATE","LOW"))))))</f>
        <v/>
      </c>
      <c r="H104" t="inlineStr"/>
      <c r="I104" t="inlineStr"/>
      <c r="J104" t="inlineStr"/>
      <c r="K104" t="inlineStr"/>
      <c r="L104" t="inlineStr"/>
      <c r="M104" t="inlineStr">
        <is>
          <t>https://www.lazada.com.ph/products/pdp-i2343919680-s10661362761.html</t>
        </is>
      </c>
      <c r="N104" t="n">
        <v>3</v>
      </c>
    </row>
    <row r="105">
      <c r="A105" t="inlineStr">
        <is>
          <t>delivery was late but they promised a voucher and they did give me one after delivery. the item is very good though yung box may scratch. overall very satisfied. with all the vouchers, got this for only $13k.</t>
        </is>
      </c>
      <c r="B105" t="inlineStr">
        <is>
          <t>NEUTRAL</t>
        </is>
      </c>
      <c r="C105">
        <f>IF(B105="NEUTRAL","TS","OS")</f>
        <v/>
      </c>
      <c r="D105" t="n">
        <v>4</v>
      </c>
      <c r="E105">
        <f>IF(C105="TS",IF(D105=3,"Consistent",IF(OR(D105=2,D105=4),"Partially Consistent","Inconsistent")),IF(D105=3,"Inconsistent",IF(AND(D105=5,B105="POSITIVE"),"Consistent",IF(AND(D105=1,B105="NEGATIVE"),"Consistent",IF(AND(D105=4,B105="POSITIVE"),"Partially Consistent",IF(AND(D105=2,B105="NEGATIVE"),"Partially Consistent","Inconsistent"))))))</f>
        <v/>
      </c>
      <c r="F105">
        <f>IF(C105="TS","High","Low")</f>
        <v/>
      </c>
      <c r="G105">
        <f>IF(AND(B105="NEUTRAL",F105="Low"),"LOW",IF(AND(C105="TS",F105="High",D105=3),"HIGH",IF(AND(C105="TS",F105="High",OR(D105=2,D105=4)),"MODERATE",IF(AND(C105="TS",F105="High",OR(D105=1,D105=5)),"LOW",IF(AND(C105="OS",E105="Consistent",OR(D105=1,D105=5)),"MODERATE",IF(AND(C105="OS",E105="Partially Consistent",OR(D105=2,D105=4)),"MODERATE","LOW"))))))</f>
        <v/>
      </c>
      <c r="H105" t="inlineStr"/>
      <c r="I105" t="inlineStr"/>
      <c r="J105" t="inlineStr"/>
      <c r="K105" t="inlineStr"/>
      <c r="L105" t="inlineStr"/>
      <c r="M105" t="inlineStr">
        <is>
          <t>https://www.lazada.com.ph/products/pdp-i2343919680-s10661362761.html</t>
        </is>
      </c>
      <c r="N105" t="n">
        <v>3</v>
      </c>
    </row>
    <row r="106">
      <c r="A106" t="inlineStr">
        <is>
          <t>functionality: works well and legit quality: affordable for the price material: plastic and doesn' t have a screen protector so any metal can scratch the screen if not careful. 4 stars because i didn' t like a bit about the packaging. i don' t know who should be blamed, may yupi po kase' yong box when i opened but the ipad is okay naman. i guess let' s be careful po next time sa paghandle.</t>
        </is>
      </c>
      <c r="B106" t="inlineStr">
        <is>
          <t>NEUTRAL</t>
        </is>
      </c>
      <c r="C106">
        <f>IF(B106="NEUTRAL","TS","OS")</f>
        <v/>
      </c>
      <c r="D106" t="n">
        <v>4</v>
      </c>
      <c r="E106">
        <f>IF(C106="TS",IF(D106=3,"Consistent",IF(OR(D106=2,D106=4),"Partially Consistent","Inconsistent")),IF(D106=3,"Inconsistent",IF(AND(D106=5,B106="POSITIVE"),"Consistent",IF(AND(D106=1,B106="NEGATIVE"),"Consistent",IF(AND(D106=4,B106="POSITIVE"),"Partially Consistent",IF(AND(D106=2,B106="NEGATIVE"),"Partially Consistent","Inconsistent"))))))</f>
        <v/>
      </c>
      <c r="F106">
        <f>IF(C106="TS","High","Low")</f>
        <v/>
      </c>
      <c r="G106">
        <f>IF(AND(B106="NEUTRAL",F106="Low"),"LOW",IF(AND(C106="TS",F106="High",D106=3),"HIGH",IF(AND(C106="TS",F106="High",OR(D106=2,D106=4)),"MODERATE",IF(AND(C106="TS",F106="High",OR(D106=1,D106=5)),"LOW",IF(AND(C106="OS",E106="Consistent",OR(D106=1,D106=5)),"MODERATE",IF(AND(C106="OS",E106="Partially Consistent",OR(D106=2,D106=4)),"MODERATE","LOW"))))))</f>
        <v/>
      </c>
      <c r="H106" t="inlineStr"/>
      <c r="I106" t="inlineStr"/>
      <c r="J106" t="inlineStr"/>
      <c r="K106" t="inlineStr"/>
      <c r="L106" t="inlineStr"/>
      <c r="M106" t="inlineStr">
        <is>
          <t>https://www.lazada.com.ph/products/pdp-i2343919680-s10661362761.html</t>
        </is>
      </c>
      <c r="N106" t="n">
        <v>3</v>
      </c>
    </row>
    <row r="107">
      <c r="A107" t="inlineStr">
        <is>
          <t>looks legit. working. however, there were dents on the ipad box when i received the package. hopefully they improve how they prepare their package.</t>
        </is>
      </c>
      <c r="B107" t="inlineStr">
        <is>
          <t>NEUTRAL</t>
        </is>
      </c>
      <c r="C107">
        <f>IF(B107="NEUTRAL","TS","OS")</f>
        <v/>
      </c>
      <c r="D107" t="n">
        <v>4</v>
      </c>
      <c r="E107">
        <f>IF(C107="TS",IF(D107=3,"Consistent",IF(OR(D107=2,D107=4),"Partially Consistent","Inconsistent")),IF(D107=3,"Inconsistent",IF(AND(D107=5,B107="POSITIVE"),"Consistent",IF(AND(D107=1,B107="NEGATIVE"),"Consistent",IF(AND(D107=4,B107="POSITIVE"),"Partially Consistent",IF(AND(D107=2,B107="NEGATIVE"),"Partially Consistent","Inconsistent"))))))</f>
        <v/>
      </c>
      <c r="F107">
        <f>IF(C107="TS","High","Low")</f>
        <v/>
      </c>
      <c r="G107">
        <f>IF(AND(B107="NEUTRAL",F107="Low"),"LOW",IF(AND(C107="TS",F107="High",D107=3),"HIGH",IF(AND(C107="TS",F107="High",OR(D107=2,D107=4)),"MODERATE",IF(AND(C107="TS",F107="High",OR(D107=1,D107=5)),"LOW",IF(AND(C107="OS",E107="Consistent",OR(D107=1,D107=5)),"MODERATE",IF(AND(C107="OS",E107="Partially Consistent",OR(D107=2,D107=4)),"MODERATE","LOW"))))))</f>
        <v/>
      </c>
      <c r="H107" t="inlineStr"/>
      <c r="I107" t="inlineStr"/>
      <c r="J107" t="inlineStr"/>
      <c r="K107" t="inlineStr"/>
      <c r="L107" t="inlineStr"/>
      <c r="M107" t="inlineStr">
        <is>
          <t>https://www.lazada.com.ph/products/pdp-i2343919680-s10661362761.html</t>
        </is>
      </c>
      <c r="N107" t="n">
        <v>3</v>
      </c>
    </row>
    <row r="108">
      <c r="A108" t="inlineStr">
        <is>
          <t>functionality: nagha hang po siya kapag nago open ng file huhu okay naman po siya over all pero yun lang po problema yung nagha hang po sya and pati yung keyboard pag ginagamit sa pagsearch sa pdfs.</t>
        </is>
      </c>
      <c r="B108" t="inlineStr">
        <is>
          <t>NEUTRAL</t>
        </is>
      </c>
      <c r="C108">
        <f>IF(B108="NEUTRAL","TS","OS")</f>
        <v/>
      </c>
      <c r="D108" t="n">
        <v>4</v>
      </c>
      <c r="E108">
        <f>IF(C108="TS",IF(D108=3,"Consistent",IF(OR(D108=2,D108=4),"Partially Consistent","Inconsistent")),IF(D108=3,"Inconsistent",IF(AND(D108=5,B108="POSITIVE"),"Consistent",IF(AND(D108=1,B108="NEGATIVE"),"Consistent",IF(AND(D108=4,B108="POSITIVE"),"Partially Consistent",IF(AND(D108=2,B108="NEGATIVE"),"Partially Consistent","Inconsistent"))))))</f>
        <v/>
      </c>
      <c r="F108">
        <f>IF(C108="TS","High","Low")</f>
        <v/>
      </c>
      <c r="G108">
        <f>IF(AND(B108="NEUTRAL",F108="Low"),"LOW",IF(AND(C108="TS",F108="High",D108=3),"HIGH",IF(AND(C108="TS",F108="High",OR(D108=2,D108=4)),"MODERATE",IF(AND(C108="TS",F108="High",OR(D108=1,D108=5)),"LOW",IF(AND(C108="OS",E108="Consistent",OR(D108=1,D108=5)),"MODERATE",IF(AND(C108="OS",E108="Partially Consistent",OR(D108=2,D108=4)),"MODERATE","LOW"))))))</f>
        <v/>
      </c>
      <c r="H108" t="inlineStr"/>
      <c r="I108" t="inlineStr"/>
      <c r="J108" t="inlineStr"/>
      <c r="K108" t="inlineStr"/>
      <c r="L108" t="inlineStr"/>
      <c r="M108" t="inlineStr">
        <is>
          <t>https://www.lazada.com.ph/products/pdp-i2343919680-s10661362761.html</t>
        </is>
      </c>
      <c r="N108" t="n">
        <v>3</v>
      </c>
    </row>
    <row r="109">
      <c r="A109" t="inlineStr">
        <is>
          <t>mostly ng mga nabili ko na gadgets online may ksamang resibo na pag ship plang ng product. dito khit nagrequest na ko, puro" will send it tomorrow" ang reply. ok nman ung product, legit nmn.</t>
        </is>
      </c>
      <c r="B109" t="inlineStr">
        <is>
          <t>POSITIVE</t>
        </is>
      </c>
      <c r="C109">
        <f>IF(B109="NEUTRAL","TS","OS")</f>
        <v/>
      </c>
      <c r="D109" t="n">
        <v>4</v>
      </c>
      <c r="E109">
        <f>IF(C109="TS",IF(D109=3,"Consistent",IF(OR(D109=2,D109=4),"Partially Consistent","Inconsistent")),IF(D109=3,"Inconsistent",IF(AND(D109=5,B109="POSITIVE"),"Consistent",IF(AND(D109=1,B109="NEGATIVE"),"Consistent",IF(AND(D109=4,B109="POSITIVE"),"Partially Consistent",IF(AND(D109=2,B109="NEGATIVE"),"Partially Consistent","Inconsistent"))))))</f>
        <v/>
      </c>
      <c r="F109">
        <f>IF(C109="TS","High","Low")</f>
        <v/>
      </c>
      <c r="G109">
        <f>IF(AND(B109="NEUTRAL",F109="Low"),"LOW",IF(AND(C109="TS",F109="High",D109=3),"HIGH",IF(AND(C109="TS",F109="High",OR(D109=2,D109=4)),"MODERATE",IF(AND(C109="TS",F109="High",OR(D109=1,D109=5)),"LOW",IF(AND(C109="OS",E109="Consistent",OR(D109=1,D109=5)),"MODERATE",IF(AND(C109="OS",E109="Partially Consistent",OR(D109=2,D109=4)),"MODERATE","LOW"))))))</f>
        <v/>
      </c>
      <c r="H109" t="inlineStr"/>
      <c r="I109" t="inlineStr"/>
      <c r="J109" t="inlineStr"/>
      <c r="K109" t="inlineStr"/>
      <c r="L109" t="inlineStr"/>
      <c r="M109" t="inlineStr">
        <is>
          <t>https://www.lazada.com.ph/products/pdp-i2343919680-s10661362761.html</t>
        </is>
      </c>
      <c r="N109" t="n">
        <v>3</v>
      </c>
    </row>
    <row r="110">
      <c r="A110" t="inlineStr">
        <is>
          <t>it is genuine and original. very fast shipping, received my order onky just for two days thank you and god bless!</t>
        </is>
      </c>
      <c r="B110" t="inlineStr">
        <is>
          <t>POSITIVE</t>
        </is>
      </c>
      <c r="C110">
        <f>IF(B110="NEUTRAL","TS","OS")</f>
        <v/>
      </c>
      <c r="D110" t="n">
        <v>4</v>
      </c>
      <c r="E110">
        <f>IF(C110="TS",IF(D110=3,"Consistent",IF(OR(D110=2,D110=4),"Partially Consistent","Inconsistent")),IF(D110=3,"Inconsistent",IF(AND(D110=5,B110="POSITIVE"),"Consistent",IF(AND(D110=1,B110="NEGATIVE"),"Consistent",IF(AND(D110=4,B110="POSITIVE"),"Partially Consistent",IF(AND(D110=2,B110="NEGATIVE"),"Partially Consistent","Inconsistent"))))))</f>
        <v/>
      </c>
      <c r="F110">
        <f>IF(C110="TS","High","Low")</f>
        <v/>
      </c>
      <c r="G110">
        <f>IF(AND(B110="NEUTRAL",F110="Low"),"LOW",IF(AND(C110="TS",F110="High",D110=3),"HIGH",IF(AND(C110="TS",F110="High",OR(D110=2,D110=4)),"MODERATE",IF(AND(C110="TS",F110="High",OR(D110=1,D110=5)),"LOW",IF(AND(C110="OS",E110="Consistent",OR(D110=1,D110=5)),"MODERATE",IF(AND(C110="OS",E110="Partially Consistent",OR(D110=2,D110=4)),"MODERATE","LOW"))))))</f>
        <v/>
      </c>
      <c r="H110" t="inlineStr"/>
      <c r="I110" t="inlineStr"/>
      <c r="J110" t="inlineStr"/>
      <c r="K110" t="inlineStr"/>
      <c r="L110" t="inlineStr"/>
      <c r="M110" t="inlineStr">
        <is>
          <t>https://www.lazada.com.ph/products/pdp-i2343919680-s10661362761.html</t>
        </is>
      </c>
      <c r="N110" t="n">
        <v>3</v>
      </c>
    </row>
    <row r="111">
      <c r="A111" t="inlineStr">
        <is>
          <t>item is legit checked with apple. very good buy because it was the cheapest in lazmall. item came in another box. should' ve had more protection.</t>
        </is>
      </c>
      <c r="B111" t="inlineStr">
        <is>
          <t>POSITIVE</t>
        </is>
      </c>
      <c r="C111">
        <f>IF(B111="NEUTRAL","TS","OS")</f>
        <v/>
      </c>
      <c r="D111" t="n">
        <v>4</v>
      </c>
      <c r="E111">
        <f>IF(C111="TS",IF(D111=3,"Consistent",IF(OR(D111=2,D111=4),"Partially Consistent","Inconsistent")),IF(D111=3,"Inconsistent",IF(AND(D111=5,B111="POSITIVE"),"Consistent",IF(AND(D111=1,B111="NEGATIVE"),"Consistent",IF(AND(D111=4,B111="POSITIVE"),"Partially Consistent",IF(AND(D111=2,B111="NEGATIVE"),"Partially Consistent","Inconsistent"))))))</f>
        <v/>
      </c>
      <c r="F111">
        <f>IF(C111="TS","High","Low")</f>
        <v/>
      </c>
      <c r="G111">
        <f>IF(AND(B111="NEUTRAL",F111="Low"),"LOW",IF(AND(C111="TS",F111="High",D111=3),"HIGH",IF(AND(C111="TS",F111="High",OR(D111=2,D111=4)),"MODERATE",IF(AND(C111="TS",F111="High",OR(D111=1,D111=5)),"LOW",IF(AND(C111="OS",E111="Consistent",OR(D111=1,D111=5)),"MODERATE",IF(AND(C111="OS",E111="Partially Consistent",OR(D111=2,D111=4)),"MODERATE","LOW"))))))</f>
        <v/>
      </c>
      <c r="H111" t="inlineStr"/>
      <c r="I111" t="inlineStr"/>
      <c r="J111" t="inlineStr"/>
      <c r="K111" t="inlineStr"/>
      <c r="L111" t="inlineStr"/>
      <c r="M111" t="inlineStr">
        <is>
          <t>https://www.lazada.com.ph/products/pdp-i2343919680-s10661362761.html</t>
        </is>
      </c>
      <c r="N111" t="n">
        <v>3</v>
      </c>
    </row>
    <row r="112">
      <c r="A112" t="inlineStr">
        <is>
          <t>yes original apple product. thank you</t>
        </is>
      </c>
      <c r="B112" t="inlineStr">
        <is>
          <t>POSITIVE</t>
        </is>
      </c>
      <c r="C112">
        <f>IF(B112="NEUTRAL","TS","OS")</f>
        <v/>
      </c>
      <c r="D112" t="n">
        <v>4</v>
      </c>
      <c r="E112">
        <f>IF(C112="TS",IF(D112=3,"Consistent",IF(OR(D112=2,D112=4),"Partially Consistent","Inconsistent")),IF(D112=3,"Inconsistent",IF(AND(D112=5,B112="POSITIVE"),"Consistent",IF(AND(D112=1,B112="NEGATIVE"),"Consistent",IF(AND(D112=4,B112="POSITIVE"),"Partially Consistent",IF(AND(D112=2,B112="NEGATIVE"),"Partially Consistent","Inconsistent"))))))</f>
        <v/>
      </c>
      <c r="F112">
        <f>IF(C112="TS","High","Low")</f>
        <v/>
      </c>
      <c r="G112">
        <f>IF(AND(B112="NEUTRAL",F112="Low"),"LOW",IF(AND(C112="TS",F112="High",D112=3),"HIGH",IF(AND(C112="TS",F112="High",OR(D112=2,D112=4)),"MODERATE",IF(AND(C112="TS",F112="High",OR(D112=1,D112=5)),"LOW",IF(AND(C112="OS",E112="Consistent",OR(D112=1,D112=5)),"MODERATE",IF(AND(C112="OS",E112="Partially Consistent",OR(D112=2,D112=4)),"MODERATE","LOW"))))))</f>
        <v/>
      </c>
      <c r="H112" t="inlineStr"/>
      <c r="I112" t="inlineStr"/>
      <c r="J112" t="inlineStr"/>
      <c r="K112" t="inlineStr"/>
      <c r="L112" t="inlineStr"/>
      <c r="M112" t="inlineStr">
        <is>
          <t>https://www.lazada.com.ph/products/pdp-i2343919680-s10661362761.html</t>
        </is>
      </c>
      <c r="N112" t="n">
        <v>3</v>
      </c>
    </row>
    <row r="113">
      <c r="A113" t="inlineStr">
        <is>
          <t>okay na siya, a bit laggy lang</t>
        </is>
      </c>
      <c r="B113" t="inlineStr">
        <is>
          <t>NEUTRAL</t>
        </is>
      </c>
      <c r="C113">
        <f>IF(B113="NEUTRAL","TS","OS")</f>
        <v/>
      </c>
      <c r="D113" t="n">
        <v>4</v>
      </c>
      <c r="E113">
        <f>IF(C113="TS",IF(D113=3,"Consistent",IF(OR(D113=2,D113=4),"Partially Consistent","Inconsistent")),IF(D113=3,"Inconsistent",IF(AND(D113=5,B113="POSITIVE"),"Consistent",IF(AND(D113=1,B113="NEGATIVE"),"Consistent",IF(AND(D113=4,B113="POSITIVE"),"Partially Consistent",IF(AND(D113=2,B113="NEGATIVE"),"Partially Consistent","Inconsistent"))))))</f>
        <v/>
      </c>
      <c r="F113">
        <f>IF(C113="TS","High","Low")</f>
        <v/>
      </c>
      <c r="G113">
        <f>IF(AND(B113="NEUTRAL",F113="Low"),"LOW",IF(AND(C113="TS",F113="High",D113=3),"HIGH",IF(AND(C113="TS",F113="High",OR(D113=2,D113=4)),"MODERATE",IF(AND(C113="TS",F113="High",OR(D113=1,D113=5)),"LOW",IF(AND(C113="OS",E113="Consistent",OR(D113=1,D113=5)),"MODERATE",IF(AND(C113="OS",E113="Partially Consistent",OR(D113=2,D113=4)),"MODERATE","LOW"))))))</f>
        <v/>
      </c>
      <c r="H113" t="inlineStr"/>
      <c r="I113" t="inlineStr"/>
      <c r="J113" t="inlineStr"/>
      <c r="K113" t="inlineStr"/>
      <c r="L113" t="inlineStr"/>
      <c r="M113" t="inlineStr">
        <is>
          <t>https://www.lazada.com.ph/products/pdp-i2343919680-s10661362761.html</t>
        </is>
      </c>
      <c r="N113" t="n">
        <v>3</v>
      </c>
    </row>
    <row r="114">
      <c r="A114" t="inlineStr">
        <is>
          <t>overrated. apple are control freaks when it comes to adding applications to the ipad. doesn' t have a back button. smooth operator. clear screen. no indication when charging.</t>
        </is>
      </c>
      <c r="B114" t="inlineStr">
        <is>
          <t>NEUTRAL</t>
        </is>
      </c>
      <c r="C114">
        <f>IF(B114="NEUTRAL","TS","OS")</f>
        <v/>
      </c>
      <c r="D114" t="n">
        <v>4</v>
      </c>
      <c r="E114">
        <f>IF(C114="TS",IF(D114=3,"Consistent",IF(OR(D114=2,D114=4),"Partially Consistent","Inconsistent")),IF(D114=3,"Inconsistent",IF(AND(D114=5,B114="POSITIVE"),"Consistent",IF(AND(D114=1,B114="NEGATIVE"),"Consistent",IF(AND(D114=4,B114="POSITIVE"),"Partially Consistent",IF(AND(D114=2,B114="NEGATIVE"),"Partially Consistent","Inconsistent"))))))</f>
        <v/>
      </c>
      <c r="F114">
        <f>IF(C114="TS","High","Low")</f>
        <v/>
      </c>
      <c r="G114">
        <f>IF(AND(B114="NEUTRAL",F114="Low"),"LOW",IF(AND(C114="TS",F114="High",D114=3),"HIGH",IF(AND(C114="TS",F114="High",OR(D114=2,D114=4)),"MODERATE",IF(AND(C114="TS",F114="High",OR(D114=1,D114=5)),"LOW",IF(AND(C114="OS",E114="Consistent",OR(D114=1,D114=5)),"MODERATE",IF(AND(C114="OS",E114="Partially Consistent",OR(D114=2,D114=4)),"MODERATE","LOW"))))))</f>
        <v/>
      </c>
      <c r="H114" t="inlineStr"/>
      <c r="I114" t="inlineStr"/>
      <c r="J114" t="inlineStr"/>
      <c r="K114" t="inlineStr"/>
      <c r="L114" t="inlineStr"/>
      <c r="M114" t="inlineStr">
        <is>
          <t>https://www.lazada.com.ph/products/pdp-i2343919680-s10661362761.html</t>
        </is>
      </c>
      <c r="N114" t="n">
        <v>3</v>
      </c>
    </row>
    <row r="115">
      <c r="A115" t="inlineStr">
        <is>
          <t>quality: refurbished the item is working just fine. however, the screen has some dust inside the screen which means it has been opened before. also, the unit is overheating when charging, thus it stopped charging and says charging will resume once it returned to its normal temperature. i should' ve ordered from apple store. i hope it will lasts kahit repaired/refurbished unit. not a good idea to buy the gadget online.</t>
        </is>
      </c>
      <c r="B115" t="inlineStr">
        <is>
          <t>NEUTRAL</t>
        </is>
      </c>
      <c r="C115">
        <f>IF(B115="NEUTRAL","TS","OS")</f>
        <v/>
      </c>
      <c r="D115" t="n">
        <v>2</v>
      </c>
      <c r="E115">
        <f>IF(C115="TS",IF(D115=3,"Consistent",IF(OR(D115=2,D115=4),"Partially Consistent","Inconsistent")),IF(D115=3,"Inconsistent",IF(AND(D115=5,B115="POSITIVE"),"Consistent",IF(AND(D115=1,B115="NEGATIVE"),"Consistent",IF(AND(D115=4,B115="POSITIVE"),"Partially Consistent",IF(AND(D115=2,B115="NEGATIVE"),"Partially Consistent","Inconsistent"))))))</f>
        <v/>
      </c>
      <c r="F115">
        <f>IF(C115="TS","High","Low")</f>
        <v/>
      </c>
      <c r="G115">
        <f>IF(AND(B115="NEUTRAL",F115="Low"),"LOW",IF(AND(C115="TS",F115="High",D115=3),"HIGH",IF(AND(C115="TS",F115="High",OR(D115=2,D115=4)),"MODERATE",IF(AND(C115="TS",F115="High",OR(D115=1,D115=5)),"LOW",IF(AND(C115="OS",E115="Consistent",OR(D115=1,D115=5)),"MODERATE",IF(AND(C115="OS",E115="Partially Consistent",OR(D115=2,D115=4)),"MODERATE","LOW"))))))</f>
        <v/>
      </c>
      <c r="H115" t="inlineStr"/>
      <c r="I115" t="inlineStr"/>
      <c r="J115" t="inlineStr"/>
      <c r="K115" t="inlineStr"/>
      <c r="L115" t="inlineStr"/>
      <c r="M115" t="inlineStr">
        <is>
          <t>https://www.lazada.com.ph/products/pdp-i2343919680-s10661362761.html</t>
        </is>
      </c>
      <c r="N115" t="n">
        <v>3</v>
      </c>
    </row>
    <row r="116">
      <c r="A116" t="inlineStr">
        <is>
          <t>packaging was bad the box is damaged</t>
        </is>
      </c>
      <c r="B116" t="inlineStr">
        <is>
          <t>NEGATIVE</t>
        </is>
      </c>
      <c r="C116">
        <f>IF(B116="NEUTRAL","TS","OS")</f>
        <v/>
      </c>
      <c r="D116" t="n">
        <v>1</v>
      </c>
      <c r="E116">
        <f>IF(C116="TS",IF(D116=3,"Consistent",IF(OR(D116=2,D116=4),"Partially Consistent","Inconsistent")),IF(D116=3,"Inconsistent",IF(AND(D116=5,B116="POSITIVE"),"Consistent",IF(AND(D116=1,B116="NEGATIVE"),"Consistent",IF(AND(D116=4,B116="POSITIVE"),"Partially Consistent",IF(AND(D116=2,B116="NEGATIVE"),"Partially Consistent","Inconsistent"))))))</f>
        <v/>
      </c>
      <c r="F116">
        <f>IF(C116="TS","High","Low")</f>
        <v/>
      </c>
      <c r="G116">
        <f>IF(AND(B116="NEUTRAL",F116="Low"),"LOW",IF(AND(C116="TS",F116="High",D116=3),"HIGH",IF(AND(C116="TS",F116="High",OR(D116=2,D116=4)),"MODERATE",IF(AND(C116="TS",F116="High",OR(D116=1,D116=5)),"LOW",IF(AND(C116="OS",E116="Consistent",OR(D116=1,D116=5)),"MODERATE",IF(AND(C116="OS",E116="Partially Consistent",OR(D116=2,D116=4)),"MODERATE","LOW"))))))</f>
        <v/>
      </c>
      <c r="H116" t="inlineStr"/>
      <c r="I116" t="inlineStr"/>
      <c r="J116" t="inlineStr"/>
      <c r="K116" t="inlineStr"/>
      <c r="L116" t="inlineStr"/>
      <c r="M116" t="inlineStr">
        <is>
          <t>https://www.lazada.com.ph/products/pdp-i2343919680-s10661362761.html</t>
        </is>
      </c>
      <c r="N116" t="n">
        <v>3</v>
      </c>
    </row>
    <row r="117">
      <c r="A117" t="inlineStr">
        <is>
          <t>i bought 2 ipads for my kids. ung isang ipad mabilis malowbat. i contacted the seller until now pala pang reply. bili na lang kayo sa ibang seller kasi pag may issue ang item nyo hindi kayo papansinin ng seller na to</t>
        </is>
      </c>
      <c r="B117" t="inlineStr">
        <is>
          <t>NEGATIVE</t>
        </is>
      </c>
      <c r="C117">
        <f>IF(B117="NEUTRAL","TS","OS")</f>
        <v/>
      </c>
      <c r="D117" t="n">
        <v>1</v>
      </c>
      <c r="E117">
        <f>IF(C117="TS",IF(D117=3,"Consistent",IF(OR(D117=2,D117=4),"Partially Consistent","Inconsistent")),IF(D117=3,"Inconsistent",IF(AND(D117=5,B117="POSITIVE"),"Consistent",IF(AND(D117=1,B117="NEGATIVE"),"Consistent",IF(AND(D117=4,B117="POSITIVE"),"Partially Consistent",IF(AND(D117=2,B117="NEGATIVE"),"Partially Consistent","Inconsistent"))))))</f>
        <v/>
      </c>
      <c r="F117">
        <f>IF(C117="TS","High","Low")</f>
        <v/>
      </c>
      <c r="G117">
        <f>IF(AND(B117="NEUTRAL",F117="Low"),"LOW",IF(AND(C117="TS",F117="High",D117=3),"HIGH",IF(AND(C117="TS",F117="High",OR(D117=2,D117=4)),"MODERATE",IF(AND(C117="TS",F117="High",OR(D117=1,D117=5)),"LOW",IF(AND(C117="OS",E117="Consistent",OR(D117=1,D117=5)),"MODERATE",IF(AND(C117="OS",E117="Partially Consistent",OR(D117=2,D117=4)),"MODERATE","LOW"))))))</f>
        <v/>
      </c>
      <c r="H117" t="inlineStr"/>
      <c r="I117" t="inlineStr"/>
      <c r="J117" t="inlineStr"/>
      <c r="K117" t="inlineStr"/>
      <c r="L117" t="inlineStr"/>
      <c r="M117" t="inlineStr">
        <is>
          <t>https://www.lazada.com.ph/products/pdp-i2343919680-s10661362761.html</t>
        </is>
      </c>
      <c r="N117" t="n">
        <v>3</v>
      </c>
    </row>
    <row r="118">
      <c r="A118" t="inlineStr">
        <is>
          <t>packaging was bad the box is damaged</t>
        </is>
      </c>
      <c r="B118" t="inlineStr">
        <is>
          <t>NEGATIVE</t>
        </is>
      </c>
      <c r="C118">
        <f>IF(B118="NEUTRAL","TS","OS")</f>
        <v/>
      </c>
      <c r="D118" t="n">
        <v>1</v>
      </c>
      <c r="E118">
        <f>IF(C118="TS",IF(D118=3,"Consistent",IF(OR(D118=2,D118=4),"Partially Consistent","Inconsistent")),IF(D118=3,"Inconsistent",IF(AND(D118=5,B118="POSITIVE"),"Consistent",IF(AND(D118=1,B118="NEGATIVE"),"Consistent",IF(AND(D118=4,B118="POSITIVE"),"Partially Consistent",IF(AND(D118=2,B118="NEGATIVE"),"Partially Consistent","Inconsistent"))))))</f>
        <v/>
      </c>
      <c r="F118">
        <f>IF(C118="TS","High","Low")</f>
        <v/>
      </c>
      <c r="G118">
        <f>IF(AND(B118="NEUTRAL",F118="Low"),"LOW",IF(AND(C118="TS",F118="High",D118=3),"HIGH",IF(AND(C118="TS",F118="High",OR(D118=2,D118=4)),"MODERATE",IF(AND(C118="TS",F118="High",OR(D118=1,D118=5)),"LOW",IF(AND(C118="OS",E118="Consistent",OR(D118=1,D118=5)),"MODERATE",IF(AND(C118="OS",E118="Partially Consistent",OR(D118=2,D118=4)),"MODERATE","LOW"))))))</f>
        <v/>
      </c>
      <c r="H118" t="inlineStr"/>
      <c r="I118" t="inlineStr"/>
      <c r="J118" t="inlineStr"/>
      <c r="K118" t="inlineStr"/>
      <c r="L118" t="inlineStr"/>
      <c r="M118" t="inlineStr">
        <is>
          <t>https://www.lazada.com.ph/products/pdp-i2343919680-s10661362761.html</t>
        </is>
      </c>
      <c r="N118" t="n">
        <v>3</v>
      </c>
    </row>
    <row r="119">
      <c r="A119" t="inlineStr">
        <is>
          <t>i bought 2 ipads for my kids. ung isang ipad mabilis malowbat. i contacted the seller until now pala pang reply. bili na lang kayo sa ibang seller kasi pag may issue ang item nyo hindi kayo papansinin ng seller na to</t>
        </is>
      </c>
      <c r="B119" t="inlineStr">
        <is>
          <t>NEGATIVE</t>
        </is>
      </c>
      <c r="C119">
        <f>IF(B119="NEUTRAL","TS","OS")</f>
        <v/>
      </c>
      <c r="D119" t="n">
        <v>1</v>
      </c>
      <c r="E119">
        <f>IF(C119="TS",IF(D119=3,"Consistent",IF(OR(D119=2,D119=4),"Partially Consistent","Inconsistent")),IF(D119=3,"Inconsistent",IF(AND(D119=5,B119="POSITIVE"),"Consistent",IF(AND(D119=1,B119="NEGATIVE"),"Consistent",IF(AND(D119=4,B119="POSITIVE"),"Partially Consistent",IF(AND(D119=2,B119="NEGATIVE"),"Partially Consistent","Inconsistent"))))))</f>
        <v/>
      </c>
      <c r="F119">
        <f>IF(C119="TS","High","Low")</f>
        <v/>
      </c>
      <c r="G119">
        <f>IF(AND(B119="NEUTRAL",F119="Low"),"LOW",IF(AND(C119="TS",F119="High",D119=3),"HIGH",IF(AND(C119="TS",F119="High",OR(D119=2,D119=4)),"MODERATE",IF(AND(C119="TS",F119="High",OR(D119=1,D119=5)),"LOW",IF(AND(C119="OS",E119="Consistent",OR(D119=1,D119=5)),"MODERATE",IF(AND(C119="OS",E119="Partially Consistent",OR(D119=2,D119=4)),"MODERATE","LOW"))))))</f>
        <v/>
      </c>
      <c r="H119" t="inlineStr"/>
      <c r="I119" t="inlineStr"/>
      <c r="J119" t="inlineStr"/>
      <c r="K119" t="inlineStr"/>
      <c r="L119" t="inlineStr"/>
      <c r="M119" t="inlineStr">
        <is>
          <t>https://www.lazada.com.ph/products/pdp-i2343919680-s10661362761.html</t>
        </is>
      </c>
      <c r="N119" t="n">
        <v>3</v>
      </c>
    </row>
    <row r="120">
      <c r="A120" t="inlineStr">
        <is>
          <t>the device works fine but the powerbrick that comes with it overheats and refuses to charge. made this review after almost a month of use to make sure i was reviewing the device properly.</t>
        </is>
      </c>
      <c r="B120" t="inlineStr">
        <is>
          <t>NEUTRAL</t>
        </is>
      </c>
      <c r="C120">
        <f>IF(B120="NEUTRAL","TS","OS")</f>
        <v/>
      </c>
      <c r="D120" t="n">
        <v>3</v>
      </c>
      <c r="E120">
        <f>IF(C120="TS",IF(D120=3,"Consistent",IF(OR(D120=2,D120=4),"Partially Consistent","Inconsistent")),IF(D120=3,"Inconsistent",IF(AND(D120=5,B120="POSITIVE"),"Consistent",IF(AND(D120=1,B120="NEGATIVE"),"Consistent",IF(AND(D120=4,B120="POSITIVE"),"Partially Consistent",IF(AND(D120=2,B120="NEGATIVE"),"Partially Consistent","Inconsistent"))))))</f>
        <v/>
      </c>
      <c r="F120">
        <f>IF(C120="TS","High","Low")</f>
        <v/>
      </c>
      <c r="G120">
        <f>IF(AND(B120="NEUTRAL",F120="Low"),"LOW",IF(AND(C120="TS",F120="High",D120=3),"HIGH",IF(AND(C120="TS",F120="High",OR(D120=2,D120=4)),"MODERATE",IF(AND(C120="TS",F120="High",OR(D120=1,D120=5)),"LOW",IF(AND(C120="OS",E120="Consistent",OR(D120=1,D120=5)),"MODERATE",IF(AND(C120="OS",E120="Partially Consistent",OR(D120=2,D120=4)),"MODERATE","LOW"))))))</f>
        <v/>
      </c>
      <c r="H120" t="inlineStr"/>
      <c r="I120" t="inlineStr"/>
      <c r="J120" t="inlineStr"/>
      <c r="K120" t="inlineStr"/>
      <c r="L120" t="inlineStr"/>
      <c r="M120" t="inlineStr">
        <is>
          <t>https://www.lazada.com.ph/products/pdp-i2343919680-s10661362761.html</t>
        </is>
      </c>
      <c r="N120" t="n">
        <v>3</v>
      </c>
    </row>
    <row r="121">
      <c r="A121" t="inlineStr">
        <is>
          <t>yung unit ko may alikabok sa loob ng screen irereturn ko sana kaso hindi pa pala guaranteed na marerefund kaya kineep ko nalang. pero okay naman performance.</t>
        </is>
      </c>
      <c r="B121" t="inlineStr">
        <is>
          <t>NEUTRAL</t>
        </is>
      </c>
      <c r="C121">
        <f>IF(B121="NEUTRAL","TS","OS")</f>
        <v/>
      </c>
      <c r="D121" t="n">
        <v>3</v>
      </c>
      <c r="E121">
        <f>IF(C121="TS",IF(D121=3,"Consistent",IF(OR(D121=2,D121=4),"Partially Consistent","Inconsistent")),IF(D121=3,"Inconsistent",IF(AND(D121=5,B121="POSITIVE"),"Consistent",IF(AND(D121=1,B121="NEGATIVE"),"Consistent",IF(AND(D121=4,B121="POSITIVE"),"Partially Consistent",IF(AND(D121=2,B121="NEGATIVE"),"Partially Consistent","Inconsistent"))))))</f>
        <v/>
      </c>
      <c r="F121">
        <f>IF(C121="TS","High","Low")</f>
        <v/>
      </c>
      <c r="G121">
        <f>IF(AND(B121="NEUTRAL",F121="Low"),"LOW",IF(AND(C121="TS",F121="High",D121=3),"HIGH",IF(AND(C121="TS",F121="High",OR(D121=2,D121=4)),"MODERATE",IF(AND(C121="TS",F121="High",OR(D121=1,D121=5)),"LOW",IF(AND(C121="OS",E121="Consistent",OR(D121=1,D121=5)),"MODERATE",IF(AND(C121="OS",E121="Partially Consistent",OR(D121=2,D121=4)),"MODERATE","LOW"))))))</f>
        <v/>
      </c>
      <c r="H121" t="inlineStr"/>
      <c r="I121" t="inlineStr"/>
      <c r="J121" t="inlineStr"/>
      <c r="K121" t="inlineStr"/>
      <c r="L121" t="inlineStr"/>
      <c r="M121" t="inlineStr">
        <is>
          <t>https://www.lazada.com.ph/products/pdp-i2343919680-s10661362761.html</t>
        </is>
      </c>
      <c r="N121" t="n">
        <v>3</v>
      </c>
    </row>
    <row r="122">
      <c r="A122" t="inlineStr">
        <is>
          <t>storage capacity: large storage capacity for all your needs, screen quality: high-resolution display for immersive viewing, fast and efficient performance, seamless integration with apple ecosystem, seamless integration with apple ecosystem, reliable wi-fi and lte connectivity,</t>
        </is>
      </c>
      <c r="B122" t="inlineStr">
        <is>
          <t>NEUTRAL</t>
        </is>
      </c>
      <c r="C122">
        <f>IF(B122="NEUTRAL","TS","OS")</f>
        <v/>
      </c>
      <c r="D122" t="n">
        <v>3</v>
      </c>
      <c r="E122">
        <f>IF(C122="TS",IF(D122=3,"Consistent",IF(OR(D122=2,D122=4),"Partially Consistent","Inconsistent")),IF(D122=3,"Inconsistent",IF(AND(D122=5,B122="POSITIVE"),"Consistent",IF(AND(D122=1,B122="NEGATIVE"),"Consistent",IF(AND(D122=4,B122="POSITIVE"),"Partially Consistent",IF(AND(D122=2,B122="NEGATIVE"),"Partially Consistent","Inconsistent"))))))</f>
        <v/>
      </c>
      <c r="F122">
        <f>IF(C122="TS","High","Low")</f>
        <v/>
      </c>
      <c r="G122">
        <f>IF(AND(B122="NEUTRAL",F122="Low"),"LOW",IF(AND(C122="TS",F122="High",D122=3),"HIGH",IF(AND(C122="TS",F122="High",OR(D122=2,D122=4)),"MODERATE",IF(AND(C122="TS",F122="High",OR(D122=1,D122=5)),"LOW",IF(AND(C122="OS",E122="Consistent",OR(D122=1,D122=5)),"MODERATE",IF(AND(C122="OS",E122="Partially Consistent",OR(D122=2,D122=4)),"MODERATE","LOW"))))))</f>
        <v/>
      </c>
      <c r="H122" t="inlineStr"/>
      <c r="I122" t="inlineStr"/>
      <c r="J122" t="inlineStr"/>
      <c r="K122" t="inlineStr"/>
      <c r="L122" t="inlineStr"/>
      <c r="M122" t="inlineStr">
        <is>
          <t>https://www.lazada.com.ph/products/pdp-i2343919680-s10661362761.html</t>
        </is>
      </c>
      <c r="N122" t="n">
        <v>3</v>
      </c>
    </row>
    <row r="123">
      <c r="A123" t="inlineStr">
        <is>
          <t>long-lasting battery life, reliable wi-fi and lte connectivity, impressive camera quality,</t>
        </is>
      </c>
      <c r="B123" t="inlineStr">
        <is>
          <t>NEUTRAL</t>
        </is>
      </c>
      <c r="C123">
        <f>IF(B123="NEUTRAL","TS","OS")</f>
        <v/>
      </c>
      <c r="D123" t="n">
        <v>3</v>
      </c>
      <c r="E123">
        <f>IF(C123="TS",IF(D123=3,"Consistent",IF(OR(D123=2,D123=4),"Partially Consistent","Inconsistent")),IF(D123=3,"Inconsistent",IF(AND(D123=5,B123="POSITIVE"),"Consistent",IF(AND(D123=1,B123="NEGATIVE"),"Consistent",IF(AND(D123=4,B123="POSITIVE"),"Partially Consistent",IF(AND(D123=2,B123="NEGATIVE"),"Partially Consistent","Inconsistent"))))))</f>
        <v/>
      </c>
      <c r="F123">
        <f>IF(C123="TS","High","Low")</f>
        <v/>
      </c>
      <c r="G123">
        <f>IF(AND(B123="NEUTRAL",F123="Low"),"LOW",IF(AND(C123="TS",F123="High",D123=3),"HIGH",IF(AND(C123="TS",F123="High",OR(D123=2,D123=4)),"MODERATE",IF(AND(C123="TS",F123="High",OR(D123=1,D123=5)),"LOW",IF(AND(C123="OS",E123="Consistent",OR(D123=1,D123=5)),"MODERATE",IF(AND(C123="OS",E123="Partially Consistent",OR(D123=2,D123=4)),"MODERATE","LOW"))))))</f>
        <v/>
      </c>
      <c r="H123" t="inlineStr"/>
      <c r="I123" t="inlineStr"/>
      <c r="J123" t="inlineStr"/>
      <c r="K123" t="inlineStr"/>
      <c r="L123" t="inlineStr"/>
      <c r="M123" t="inlineStr">
        <is>
          <t>https://www.lazada.com.ph/products/pdp-i2343919680-s10661362761.html</t>
        </is>
      </c>
      <c r="N12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2025-05-24T03:46:29Z</dcterms:created>
  <dcterms:modified xsi:type="dcterms:W3CDTF">2025-05-24T03:46:29Z</dcterms:modified>
</cp:coreProperties>
</file>