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All_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<sst xmlns="http://schemas.openxmlformats.org/spreadsheetml/2006/main" count="883" uniqueCount="190">
  <si>
    <t>Review</t>
  </si>
  <si>
    <t>Sentiment</t>
  </si>
  <si>
    <t>Sidedness</t>
  </si>
  <si>
    <t>Star Rating</t>
  </si>
  <si>
    <t>Consistency</t>
  </si>
  <si>
    <t>Info Diversity</t>
  </si>
  <si>
    <t>PERCEIVED HELPFULNESS</t>
  </si>
  <si>
    <t>PD_F</t>
  </si>
  <si>
    <t>PD_F_TMP</t>
  </si>
  <si>
    <t>MAN_UI</t>
  </si>
  <si>
    <t>SPM</t>
  </si>
  <si>
    <t>CREDIBILITY</t>
  </si>
  <si>
    <t>Product_URL</t>
  </si>
  <si>
    <t>Product_Number</t>
  </si>
  <si>
    <t>effectiveness: nakakatanggal ng talaga ng lansa at ng oil nakakalinis talaga at mabula din 2nd order kuna din nagustuhan din ng mga suki ko. order ulit ako sana may freebies na kahit sticker hehehe leaves dishes sparkling clean, value for money, convenient and easy to use,</t>
  </si>
  <si>
    <t>POSITIVE</t>
  </si>
  <si>
    <t/>
  </si>
  <si>
    <t>https://www.lazada.com.ph/products/pdp-i4358944057-s24446312395.html</t>
  </si>
  <si>
    <t>easy to make and very practical to use. it has a very nice scent and a few drops goes a long way</t>
  </si>
  <si>
    <t>effectiveness: 10 scent: 10leaves dishes sparkling clean, eco-friendly packaging, versatile scent options,</t>
  </si>
  <si>
    <t>efficient cleaning power, value for money, versatile scent options, effectiveness: superb scent: nice eco-friendliness:</t>
  </si>
  <si>
    <t>hnd daw nakakalinis ung calamamsi ng mga sebo unlike sa lemon na ready to kix din. . gusto ko ngang isauli kasi simula nung feedback na un hnd na nasundan ung bumili.</t>
  </si>
  <si>
    <t>NEGATIVE</t>
  </si>
  <si>
    <t>great for everyday use, leaves dishes sparkling clean, versatile scent options, eco-friendliness: goods scent: fresh</t>
  </si>
  <si>
    <t>leaves dishes sparkling clean, refreshing citrus scent, gentle on hands, versatile scent options,</t>
  </si>
  <si>
    <t>great for everyday use, efficient cleaning power, very good. mabula, mabango, abot kaya.</t>
  </si>
  <si>
    <t>effectiveness: ok scent: ok eco-friendliness: ok matagal ko na to ginagamit. . mabango sya. . . . . . , . . . . . . . . . . . . . . . . 98thahhshshdjxjcjcj</t>
  </si>
  <si>
    <t>Low</t>
  </si>
  <si>
    <t>versatile scent options, refreshing citrus scent, convenient and easy to use, value for money, scent: lemon</t>
  </si>
  <si>
    <t>great for everyday use, value for money, eco-friendly packaging, gentle on hands, scent: mabango effectiveness: mabula at madaling gawin</t>
  </si>
  <si>
    <t>thanks to the seller/store to updated my questions. . thanks also to the rider to keep my parcel safe to deliver! five (5) stars i highly recommend this store/shop</t>
  </si>
  <si>
    <t>efficient cleaning power, convenient and easy to use, leaves dishes sparkling clean, mabula, mabango sulit ang pera. . be careful sa fake</t>
  </si>
  <si>
    <t>great for everyday use, efficient cleaning power, effectiveness: effective di nalalayo sa brand na joy scent: mabango</t>
  </si>
  <si>
    <t>i have been using this dishwashing liquid. it is cheap and easy to make. this yielded ip to 6 liters and is more than enough to use for for household cleaning activities.</t>
  </si>
  <si>
    <t>effectiveness: 9 scent: 10 eco-friendliness: 9 value for money, refreshing citrus scent, great for everyday use,</t>
  </si>
  <si>
    <t>gentle on hands, convenient and easy to use, versatile scent options, leaves dishes sparkling clean,</t>
  </si>
  <si>
    <t>effectiveness: refreshing citrus scent, very good scent: very good eco-friendliness: very good</t>
  </si>
  <si>
    <t>long-lasting freshness, gentle on hands, convenient and easy to use, great for everyday use,</t>
  </si>
  <si>
    <t>effectiveness: 10 leaves dishes sparkling clean, scent: 10 good nice scent perfect eco-friendliness: 9refreshing citrus scent, and</t>
  </si>
  <si>
    <t>mwdyo natagaln sa deliver sanay aq sa inio na mabilis lng pro ok lng nmn. nagawa kna man na ang bngo bagong labas lng ata ng flavor na ito blueberry splash salamat po seller at sa lazada ganon din kay kuya rider</t>
  </si>
  <si>
    <t>NEUTRAL</t>
  </si>
  <si>
    <t>hindi man binalot ng maayos ni seller kahit nilagyan man lang ng karton or sana kahit sinulat na lang yung word na fragile sa labas.</t>
  </si>
  <si>
    <t>wala nmn damage o anumng sira sa parcel madaming beses nako s2 nag orxer try nio po. . maraming salmat seller at kay lazada ganon din s inyong rider.</t>
  </si>
  <si>
    <t>effectiveness: nnnnnn scent: nnnnnn eco-friendliness: nnnnnn</t>
  </si>
  <si>
    <t>great for everyday use, versatile scent options,</t>
  </si>
  <si>
    <t>medyo natagalan ang deliver nasanay kz a mabilis lng ewan kun nagkaponlema sa pag pick up. pero ok lng nagawa kna ang bango ni aat malapot naman salamat selle at s lazada ganon din kay kiya rider</t>
  </si>
  <si>
    <t>ang bilis lang dumating. . thank u po. . will order again pag nau os ko na to. .</t>
  </si>
  <si>
    <t>scent: the same as pwd id it was a good day for you guys to come over and</t>
  </si>
  <si>
    <t>ayun na nga nagkalat ang liquid soap medyo madami nasayang. i don' t know if the delivery or the seller is the one responsible. anyways i hope that they check it very well before sending it at also asked the delivery to handle it with care since matusok lang ng onti magkakalat na madami masasayang dahil liquid sya.</t>
  </si>
  <si>
    <t>thank you seller and sa rider</t>
  </si>
  <si>
    <t>value for money, gentle on hands, versatile scent options, efficient cleaning power, eco-friendly packaging,</t>
  </si>
  <si>
    <t>value for money, convenient and easy to use, great for everyday use, xkkzksjxksksjdjxnsjsjx</t>
  </si>
  <si>
    <t>effectiveness: good scent: good eco-friendliness: good great for everyday use, convenient and easy to use. but i was disappointed the items are not complete instead of 6pcs. pack of fave dishwashing liquid i already received 5pcs. only. i pay the said amount but they didn' t give me the complete items i ordered. i keep on chatting with them but they always keep on getting my details only.</t>
  </si>
  <si>
    <t>great for everyday use, eco-friendly packaging, efficient cleaning power, affordable price</t>
  </si>
  <si>
    <t>effectiveness: leaves dishes sparkling clean, scent: versatile scent options, eco-friendliness: yes mabango. di naman nakapit amoy pag banlaw</t>
  </si>
  <si>
    <t>ayos nmn po ang parcel wala damage o anumang sira. . madaming beses nko nag order d2 itoy subok kna po. . salamat seller at sa lazada ganon din sa inyong rider</t>
  </si>
  <si>
    <t>quality: 9 value for money: 9 packaging: 9 okay na okay xa</t>
  </si>
  <si>
    <t>great for everyday use,</t>
  </si>
  <si>
    <t>ang tagal dumating. .</t>
  </si>
  <si>
    <t>ang tagal dumating. . nakakayamot. .</t>
  </si>
  <si>
    <t>wrong item. i ordered lemon but you sent me calamansi. next time please double check the order before packing</t>
  </si>
  <si>
    <t>late delivery driver tag on first day of delivery customer request for redelivery didn' t inform me for that, and i didn' t request for redelivery</t>
  </si>
  <si>
    <t>kulang po ung order ko na dumating dapat 18l po ung kalamansi. . 6l lang po ang dumating</t>
  </si>
  <si>
    <t>ano ba yan seller. . hnd nyo binalot ng maayos. . dapat nilagyan nyo ng carton. . natapon</t>
  </si>
  <si>
    <t>eco-friendliness: convenient and easy to use, great for everyday use,</t>
  </si>
  <si>
    <t>leaves dishes sparkling clean,</t>
  </si>
  <si>
    <t>i received the item kanina. di ko agad nabuksan kasi umalis kami. ang order ko po is 6liters and 1 liters. ang dumating 3liters lang pumapatak na 60pesos lang ang item na pinadala nyo. ang tagal din ng deliver.</t>
  </si>
  <si>
    <t>ung deliver po skin mali, , 18 liters po ing inorder co e 6 liters lang po ang dumating. antibac po</t>
  </si>
  <si>
    <t>di mabango.</t>
  </si>
  <si>
    <t>nag iiba na timpla niyo lumabnaw na tapos hndi po pasyadong green. . yan yung dati natira malamnaw din tapos dumating ngayon malabnaw na maputla pa hay</t>
  </si>
  <si>
    <t>mabango pero masyadong maaksaya bago makalinis ng hugasin. . saglit lng nmn naubos ang 3l</t>
  </si>
  <si>
    <t>hindi na tulad ng dti malabnaw. n. hhnap nko ng ibang seller.</t>
  </si>
  <si>
    <t>wrong flavor ung isa, i ordered 1 lemon and 1 calamansi, dumating po 2 calamansi flavor</t>
  </si>
  <si>
    <t>ok</t>
  </si>
  <si>
    <t>pag tumagal ang baho nya</t>
  </si>
  <si>
    <t>efficient cleaning power,</t>
  </si>
  <si>
    <t>bt mlbnaw n xa kht konti lng ung tubig</t>
  </si>
  <si>
    <t>effectiveness: 30% scent: yes i used 2 liters instead of 2. 5 nag sigurado akong mag bawas ng tubig, hindi pa rin effective. pwedi sa walang mantika.</t>
  </si>
  <si>
    <t>long-lasting freshness, great for everyday use scent: mabango</t>
  </si>
  <si>
    <t>long-lasting freshness, long-lasting freshness, long-lasting freshness, long-lasting freshness, long-lasting freshness,</t>
  </si>
  <si>
    <t>2 items bakit isa lng dumating</t>
  </si>
  <si>
    <t>nabutas ung plastic</t>
  </si>
  <si>
    <t>ang labnaw hindi manlang lumapot 4. 5 litera na nilagay ko tubig tulok at bulok ang fave easymix</t>
  </si>
  <si>
    <t>tagal mag response</t>
  </si>
  <si>
    <t>disappointed aq sa pinadala nyo sakin butas ang binigay nyo. maging responsible sana kau sa pagbabalot lagyan nyo ng bubbles wrap para safe ang product nyo! !</t>
  </si>
  <si>
    <t>sira na ang packaging pagdating. late na nga dumating ganon pa nangyari. nag leak na yung liquid sa packaging.</t>
  </si>
  <si>
    <t>scammer kulang ng isang kilo pinadala dnt buy to this shop dnt support bugos seller</t>
  </si>
  <si>
    <t>great for everyday use, efficient cleaning power, gentle on hands, convenient and easy to use,</t>
  </si>
  <si>
    <t>walang bula, di nkakatanggal ng sebo!</t>
  </si>
  <si>
    <t>mabaho amoy ipis pag natuyo sa kamay</t>
  </si>
  <si>
    <t>ok naman yung product pero yung free na bittle yupi na. so poor ang delivery service</t>
  </si>
  <si>
    <t>ayaw sumagot ng seller. ano ba yan. naka dismaya</t>
  </si>
  <si>
    <t>convenient and easy to use, versatile scent options,</t>
  </si>
  <si>
    <t>kulang yung item</t>
  </si>
  <si>
    <t>. . . . . . . . . . . . . . . .</t>
  </si>
  <si>
    <t>ayaw iaccept return refund ko 18l yung bili ko with sticker pero 6l lang pinadala wala din makausap sa costumer service nila talagang mapapdasal nalang</t>
  </si>
  <si>
    <t>perfect</t>
  </si>
  <si>
    <t>pakiging is not safe na damage cya kc nga hindi nilalagay sa box kya nadadamage sa pg balibagan b nmn ng mga voreyer e</t>
  </si>
  <si>
    <t>ndi po ako nag bayad ng tatlong pirasong dishwashing para sa halagang 1190 madam seller paano po ito paki soli nio naman po ang binayad ko wag naman po kau ganyan tama ang bayad ko kaya sana isoli nio ung ndi nio binigay na items buburahin ko po ito kung makikipag cooperate po kau sa akin ndi ako titigil hanggat binabale wala nio ung kulang na parcel ko beware po wag oorder po sa kanila ng marami oaea ndi po kau matulad sa akin paisa isa lang po ang order aba at tinatanggal nio pa talaga wag kau mag order dito ng marami para ndi kua matulad sa akin na nagbayad ng tama pero kulang ipapadala tapos ayaw pa mag reply ikayaman nio sana yan</t>
  </si>
  <si>
    <t>maliit hindi ko nagustuhan, hindi katulad ng nabili ko sa iba same price pero mas malaki.</t>
  </si>
  <si>
    <t>bat ganun 2 binayaran qo isalng ang laman</t>
  </si>
  <si>
    <t>walang kasama g stickers! ! isa un sa mga habol ko dahil pang business ito. . pakicheck naman ung label ng order! !</t>
  </si>
  <si>
    <t>thank you. . . . . . . . . . . . . . . . . . . . . . . . . . . . . . . . . . . . . . . . . . . . . . . . . . . . . . . . . . . . . . . . . . . . . . . . . .</t>
  </si>
  <si>
    <t>eco-friendliness: leaves dishes sparkling clean, long-lasting freshness,</t>
  </si>
  <si>
    <t>versatile scent options, leaves dishes sparkling clean, refreshing citrus scent, great for everyday use, value for money, eco-friendly packaging,</t>
  </si>
  <si>
    <t>quality and appearance are ok. but the rider of courier are not</t>
  </si>
  <si>
    <t>long-lasting freshness, refreshing citrus scent, convenient and easy to use, eco-friendly packaging,</t>
  </si>
  <si>
    <t>yupi karamihan ng mga plastic bottles.</t>
  </si>
  <si>
    <t>akala ko may bottle na kya dto ako ng order kc nung sa sparkly at pinalitan ko ng fave kc akala ko complete package na</t>
  </si>
  <si>
    <t>butas po yung isang plastic ng calamansi: (</t>
  </si>
  <si>
    <t>walang problema sa product ang problema ko hindi nila nilagyan ng sticker, saklap pa di ako nag video, hassle po kayu</t>
  </si>
  <si>
    <t>messy</t>
  </si>
  <si>
    <t>tnx seller and delivery guy</t>
  </si>
  <si>
    <t>effectiveness: kxidikdidididikjdjdjjdjdjdjjdjdjdjdjjdj scent: krjrkjfkfkfkfkfkkrkrkkrkrkrkkrkrkrkrkkrkrkrk</t>
  </si>
  <si>
    <t>5 star sana kasoorder q isa green at isa blue un antibac pinadala ni seller pareho green hayss kains</t>
  </si>
  <si>
    <t>courier problem</t>
  </si>
  <si>
    <t>berry splash ang oder k iba nmn ibinigy nyo detergent antibac nmn sna kung ano yong order ung ang ibigy nyo.</t>
  </si>
  <si>
    <t>natimpla ko na pero hindi ko pa nagamit and hoping sana na mas maganda eto kaysa sa previous other brand na ginamit ko. for now bigay muna ako ng 3 stars.</t>
  </si>
  <si>
    <t>2 calamansi order pinadala instaed na 1 antibac at 1 calamqnsi</t>
  </si>
  <si>
    <t>consistency of viscosity should be maintained</t>
  </si>
  <si>
    <t>fragrance is light but ok. the thickness isnt thick like i usually buy this product.</t>
  </si>
  <si>
    <t>gentle on hands, eco-friendly packaging, refreshing citrus scent, convenient and easy to use,</t>
  </si>
  <si>
    <t>akala q may kasama bottle d q din nareview may mas mabango pla original tuloy napili q. .</t>
  </si>
  <si>
    <t>effectiveness: ok naman xa d lang gaanu nktatangal ng sebu scent: mild lng d matapang eco-friendliness: eco-friendly packaging, gentle on hands,</t>
  </si>
  <si>
    <t>eco-friendly packaging,</t>
  </si>
  <si>
    <t>sa boundle na to na dismaya ako hindi man lang inayos basta lang kinahon niyupi ung mga bote, ung sticker gusot gusot. ang panget tuloy tignan. kahit ano ayos nung mga bote kitq pa din ung marka ng pagka yupi ng bote.</t>
  </si>
  <si>
    <t>long-lasting freshness, great for everyday use, di pa nattry kung ok ba or hindi baguhin ko rating pag ok n ok</t>
  </si>
  <si>
    <t>tiramisu cake, tiramisu cake tiramisu cake tiramisu cake tiramisu cake tiramisu cake tiramisu cake tiramisu cake</t>
  </si>
  <si>
    <t>mabula naman, pero di nakaka tangal ng sebo. need mong mag lagay ng marami. para matangal talaga</t>
  </si>
  <si>
    <t>aus lng un packaging wala nmn damage or anuman. . salamat seller at ky lazada ganon din sa rider. . . .</t>
  </si>
  <si>
    <t>mabango sya atabula pero hindi inaabot ng 6l, lima lng yung puno bakit kaya? eh punong 1l na bottle n ginaganit ko pantakal sa tubig</t>
  </si>
  <si>
    <t>walang proper instructions nag mix ako nh 10 minutes ginaya ko nalang ibang brand kasi walang instructions ilang minutes mo i mix tapos ilang hours mo ibabad after 8 hours ko binabad mabila pa rin.</t>
  </si>
  <si>
    <t>last time i cant give an honest review bcoz i havent tried it. . but now that i have mixed it this is what i experienced: this liquid soap is not very effective in removing grease from a plastic ware. i was disappointed so i guess i will try another brand. altho i have tried other brands like maxglow very effective sa grease kya lang medyo expensive. i will experiment on other brands na cheaper but effective din against grease/sebo. quality: di effective sa sebo, para sa dumi lang value for money: pwede na packaging: good</t>
  </si>
  <si>
    <t>long-lasting freshness, great for everyday use, convenient and easy to use, leaves dishes sparkling clean, ok naman sya kaso di sya ganun ka bango</t>
  </si>
  <si>
    <t>efficient cleaning power, versatile scent options, refreshing citrus scent, value for money, great for everyday use,</t>
  </si>
  <si>
    <t>i want refund, indi po lumapot ung kulay green sayang pinambayad</t>
  </si>
  <si>
    <t>convenient and easy to use, value for money, great for everyday use, efficient cleaning power,</t>
  </si>
  <si>
    <t>ok po sana kya lng po pakiayos nmn packaging kasi pwed sya mabutas at naka open n yun balot na plastic</t>
  </si>
  <si>
    <t>efficient cleaning power, convenient and easy to use,</t>
  </si>
  <si>
    <t>poor packaging</t>
  </si>
  <si>
    <t>value for money, value for money: refreshing citrus scent, eco-friendly packaging, versatile scent options, efficient cleaning power, great for everyday use, gentle on hands, long-lasting freshness, efficient cleaning power,</t>
  </si>
  <si>
    <t>butas ng dumating nagkalat sayang.</t>
  </si>
  <si>
    <t>wrong item. i ordered antibac scent but you sent calamansi scent.</t>
  </si>
  <si>
    <t>paano gumawa to ilan balde po ito</t>
  </si>
  <si>
    <t>quality</t>
  </si>
  <si>
    <t>malabnaw compare sa dati kong ginagawa, pero sana ok nman makatanggal ng sebo</t>
  </si>
  <si>
    <t>hays. ilang beses na ko umorder dito lagi naman may free sticker. paninda ko kasi yan. tapos ngayon kung kelan dalawa inorder ko tsaka naman walang sticker. hindi din nagreresponse si seller sa message.</t>
  </si>
  <si>
    <t>mali n nmn ung sticker pra s purple ang inorder ko blue antibac sticker n nmn ang dmtng haisst nkkdismya ng chat nko bago i delver ichek kung tama ang ipapack e 2nd order kona to n mali n nmn kya nkakainis</t>
  </si>
  <si>
    <t>di ko pa alam kung bu2la sya and mabango. . ngaun ko pa lang itatry</t>
  </si>
  <si>
    <t>lemon ang order ko calamansi ang dumating dapat kung ano ang order yon ang ipapadala if ever na out of stock inform muna ang buyer bago magpadala</t>
  </si>
  <si>
    <t>, , , , , , , , , , , -,</t>
  </si>
  <si>
    <t>second time kna umorder sulit sya mgnda png negosyo</t>
  </si>
  <si>
    <t>kinulang ng 1l yung isang pack: (</t>
  </si>
  <si>
    <t>gentle on hands, long-lasting freshness,</t>
  </si>
  <si>
    <t>nice</t>
  </si>
  <si>
    <t>wala akong problema sa dishwashing. . yung mga bote grabe puro yupi. . sana po nextime mas makapal na box. . di nman po tlga maiwasan yung yupi pero yung halos lahat as a reseller hindi na sya presentable ebenta kapag ganun. .</t>
  </si>
  <si>
    <t>mabango mqbula sya pero hindi inaahot ng 6l bat kaya ganun? puno na nga yung 1l na bottle na tubig ko eh</t>
  </si>
  <si>
    <t>long-lasting freshness, refreshing citrus scent, leaves dishes sparkling clean, refreshing citrus scent, long-lasting freshness,</t>
  </si>
  <si>
    <t>order received pero kulang po, 2 inorder ko pero isa lng dumating</t>
  </si>
  <si>
    <t>value for money,</t>
  </si>
  <si>
    <t>convenient and easy to use, gentle on hands, great for everyday use. average quality at d gaanong mabisa sa mga oily</t>
  </si>
  <si>
    <t>convenient and easy to use,</t>
  </si>
  <si>
    <t>value for money, eco-friendly packaging,</t>
  </si>
  <si>
    <t>value for money, versatile scent options, efficient cleaning power, great for everyday use,</t>
  </si>
  <si>
    <t>arrived on time not expecting lang na 500 ml ang per pack kc hindi ganoon ang inorder ko i thought 1 liter each ang darating dahil yon ang inorder ko. then noong inopen ko na uli yong page ibang price na ang nakalagay. hindi ko pa natatry.</t>
  </si>
  <si>
    <t>gentle on hands, efficient cleaning power, long-lasting freshness, value for money, great for everyday use,</t>
  </si>
  <si>
    <t>quality good value for money good packaging good</t>
  </si>
  <si>
    <t>value for money, gentle on hands,</t>
  </si>
  <si>
    <t>value for money, refreshing citrus scent, efficient cleaning power, great for everyday use,</t>
  </si>
  <si>
    <t>puro blue po ang dumating sakin wala po ang green</t>
  </si>
  <si>
    <t>kala ko malaking bag</t>
  </si>
  <si>
    <t>tama ang mga negative reviews pangit ang packaging, isang layer ng bubble wrap at exposed ung top part, dapat to nakabox na. sugal na tlga pag omorder. maayos ung product mabula ska nakakatanggal tlga ng mantika, pero bagong gawa pa lang kasi update ko na lang ulit pag nagbago ung quality pag nagtagal na</t>
  </si>
  <si>
    <t>refreshing citrus scent, long-lasting freshness, efficient cleaning power, value for money, versatile scent options,</t>
  </si>
  <si>
    <t>mabola mabango epektibong pang alis at pan tanggal ng mga sebo kaya bile na dine sa shop nila</t>
  </si>
  <si>
    <t>good condition kaso nag add pa ng bayad tpos hnd delivery pick up ang nangyare paayus nman j&amp;t bongao chins pier ayus niyo trabaho niyo</t>
  </si>
  <si>
    <t>scent: hduwisjdndh hdhdislnzbshsjsjsnshsuskskshssyuwijshzhsysueisjhsgsyusjsjzhxhsuwwikj</t>
  </si>
  <si>
    <t>i ordered 2 packs of 18 liter = 36 liters but you delivered 6 packs of 6 liter = 36 liters. the inconvenience is on the preparation of the dishwashing soap. you violated my freedom to choose.</t>
  </si>
  <si>
    <t>value for money, eco-friendly packaging, long-lasting freshness, gentle on hands, refreshing citrus scent,</t>
  </si>
  <si>
    <t>refreshing citrus scent, long-lasting freshness, convenient and easy to use, versatile scent options,</t>
  </si>
  <si>
    <t>order ko apple fresh pinadala antibac eh yung isang order ko isa lemon tama naman kaso bakit mali tong isa. : (</t>
  </si>
  <si>
    <t>refreshing citrus scent,</t>
  </si>
  <si>
    <t>yupi nmn lhat ng bote</t>
  </si>
  <si>
    <t>value for money</t>
  </si>
  <si>
    <t>i received the items i ordered from this store. . medyo matagal nga lang inabot ng delivery mga 6 days bago dumating. . ang di maganda matagal mag reply sa mga tanong si seller, try ko muna if ok then i will order again. .</t>
  </si>
  <si>
    <t>value for money, di ko pa natry.</t>
  </si>
  <si>
    <t>oo naman xa tenkz seller and sa rider gentle on hands</t>
  </si>
  <si>
    <t>matagal dumating. hindi ko inexpect na ganun katagal. di ko pa din natry yung product. sana next time mas pabilisin pa yung delivery</t>
  </si>
  <si>
    <t>packaging: packaging is bad. may butas &amp; lukot lukot yung kahon. dapat sana hindi pinagsama sama kasi possible na mabutas yung sabon.</t>
  </si>
  <si>
    <t>order ko poh blue antibac bkit poh yellow lemon ang dumating</t>
  </si>
  <si>
    <t>ang tagal dumating tagal. talaga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</si>
</sst>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wrapText="1"/>
    </xf>
    <xf numFmtId="0" fontId="0" fillId="0" borderId="0" xfId="0" applyFont="1" applyFill="1" applyAlignment="1"/>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1" xfId="0" applyFont="1" applyFill="1" applyBorder="1" applyAlignment="1">
      <alignment horizontal="center" vertical="top"/>
    </xf>
    <xf numFmtId="0" fontId="0" fillId="0" borderId="0" xfId="0" applyFont="1"/>
    <xf numFmtId="0" fontId="0" fillId="0" borderId="0" xfId="0"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5"/>
  <sheetViews>
    <sheetView tabSelected="1" topLeftCell="A158" workbookViewId="0">
      <selection activeCell="B176" sqref="B176"/>
    </sheetView>
  </sheetViews>
  <sheetFormatPr defaultColWidth="9" defaultRowHeight="16.8"/>
  <cols>
    <col min="1" max="1" width="80.859375" style="1" customWidth="1"/>
    <col min="13" max="13" width="9" style="2"/>
  </cols>
  <sheetData>
    <row r="1" ht="17" spans="1:14">
      <c r="A1" s="3" t="s">
        <v>0</v>
      </c>
      <c r="B1" s="4" t="s">
        <v>1</v>
      </c>
      <c r="C1" s="4" t="s">
        <v>2</v>
      </c>
      <c r="D1" s="4" t="s">
        <v>3</v>
      </c>
      <c r="E1" s="4" t="s">
        <v>4</v>
      </c>
      <c r="F1" s="4" t="s">
        <v>5</v>
      </c>
      <c r="G1" s="4" t="s">
        <v>6</v>
      </c>
      <c r="H1" s="4" t="s">
        <v>7</v>
      </c>
      <c r="I1" s="4" t="s">
        <v>8</v>
      </c>
      <c r="J1" s="4" t="s">
        <v>9</v>
      </c>
      <c r="K1" s="4" t="s">
        <v>10</v>
      </c>
      <c r="L1" s="4" t="s">
        <v>11</v>
      </c>
      <c r="M1" s="5" t="s">
        <v>12</v>
      </c>
      <c r="N1" s="4" t="s">
        <v>13</v>
      </c>
    </row>
    <row r="2" ht="51" spans="1:14">
      <c r="A2" s="1" t="s">
        <v>14</v>
      </c>
      <c r="B2" t="s">
        <v>15</v>
      </c>
      <c r="C2" t="str">
        <f t="shared" ref="C2:C65" si="0">IF(B2="NEUTRAL","TS","OS")</f>
        <v>OS</v>
      </c>
      <c r="D2">
        <v>5</v>
      </c>
      <c r="E2" t="str">
        <f t="shared" ref="E2:E65" si="1">IF(C2="TS",IF(D2=3,"Consistent",IF(OR(D2=2,D2=4),"Partially Consistent","Inconsistent")),IF(D2=3,"Inconsistent",IF(AND(D2=5,B2="POSITIVE"),"Consistent",IF(AND(D2=1,B2="NEGATIVE"),"Consistent",IF(AND(D2=4,B2="POSITIVE"),"Partially Consistent",IF(AND(D2=2,B2="NEGATIVE"),"Partially Consistent","Inconsistent"))))))</f>
        <v>Consistent</v>
      </c>
      <c r="F2" t="str">
        <f t="shared" ref="F2:F65" si="2">IF(C2="TS","High","Low")</f>
        <v>Low</v>
      </c>
      <c r="G2" t="str">
        <f t="shared" ref="G2:G65" si="3">IF(AND(B2="NEUTRAL",F2="Low"),"LOW",IF(AND(C2="TS",F2="High",D2=3),"HIGH",IF(AND(C2="TS",F2="High",OR(D2=2,D2=4)),"MODERATE",IF(AND(C2="TS",F2="High",OR(D2=1,D2=5)),"LOW",IF(AND(C2="OS",E2="Consistent",OR(D2=1,D2=5)),"MODERATE",IF(AND(C2="OS",E2="Partially Consistent",OR(D2=2,D2=4)),"MODERATE","LOW"))))))</f>
        <v>MODERATE</v>
      </c>
      <c r="H2">
        <v>1</v>
      </c>
      <c r="I2">
        <v>1</v>
      </c>
      <c r="J2">
        <v>1</v>
      </c>
      <c r="K2" t="s">
        <v>16</v>
      </c>
      <c r="L2" t="s">
        <v>16</v>
      </c>
      <c r="M2" s="2" t="s">
        <v>17</v>
      </c>
      <c r="N2">
        <v>1</v>
      </c>
    </row>
    <row r="3" ht="17" spans="1:14">
      <c r="A3" s="1" t="s">
        <v>18</v>
      </c>
      <c r="B3" t="s">
        <v>15</v>
      </c>
      <c r="C3" t="str">
        <f t="shared" si="0"/>
        <v>OS</v>
      </c>
      <c r="D3">
        <v>5</v>
      </c>
      <c r="E3" t="str">
        <f t="shared" si="1"/>
        <v>Consistent</v>
      </c>
      <c r="F3" t="str">
        <f t="shared" si="2"/>
        <v>Low</v>
      </c>
      <c r="G3" t="str">
        <f t="shared" si="3"/>
        <v>MODERATE</v>
      </c>
      <c r="H3">
        <v>0</v>
      </c>
      <c r="I3">
        <v>0</v>
      </c>
      <c r="J3">
        <v>1</v>
      </c>
      <c r="K3" t="s">
        <v>16</v>
      </c>
      <c r="L3" t="s">
        <v>16</v>
      </c>
      <c r="M3" s="2" t="s">
        <v>17</v>
      </c>
      <c r="N3">
        <v>1</v>
      </c>
    </row>
    <row r="4" ht="34" spans="1:14">
      <c r="A4" s="1" t="s">
        <v>19</v>
      </c>
      <c r="B4" t="s">
        <v>15</v>
      </c>
      <c r="C4" t="str">
        <f t="shared" si="0"/>
        <v>OS</v>
      </c>
      <c r="D4">
        <v>5</v>
      </c>
      <c r="E4" t="str">
        <f t="shared" si="1"/>
        <v>Consistent</v>
      </c>
      <c r="F4" t="str">
        <f t="shared" si="2"/>
        <v>Low</v>
      </c>
      <c r="G4" t="str">
        <f t="shared" si="3"/>
        <v>MODERATE</v>
      </c>
      <c r="H4">
        <v>1</v>
      </c>
      <c r="I4">
        <v>1</v>
      </c>
      <c r="J4">
        <v>1</v>
      </c>
      <c r="K4" t="s">
        <v>16</v>
      </c>
      <c r="L4" t="s">
        <v>16</v>
      </c>
      <c r="M4" s="2" t="s">
        <v>17</v>
      </c>
      <c r="N4">
        <v>1</v>
      </c>
    </row>
    <row r="5" ht="34" spans="1:14">
      <c r="A5" s="1" t="s">
        <v>20</v>
      </c>
      <c r="B5" t="s">
        <v>15</v>
      </c>
      <c r="C5" t="str">
        <f t="shared" si="0"/>
        <v>OS</v>
      </c>
      <c r="D5">
        <v>5</v>
      </c>
      <c r="E5" t="str">
        <f t="shared" si="1"/>
        <v>Consistent</v>
      </c>
      <c r="F5" t="str">
        <f t="shared" si="2"/>
        <v>Low</v>
      </c>
      <c r="G5" t="str">
        <f t="shared" si="3"/>
        <v>MODERATE</v>
      </c>
      <c r="H5">
        <v>1</v>
      </c>
      <c r="I5">
        <v>1</v>
      </c>
      <c r="J5">
        <v>1</v>
      </c>
      <c r="K5" t="s">
        <v>16</v>
      </c>
      <c r="L5" t="s">
        <v>16</v>
      </c>
      <c r="M5" s="2" t="s">
        <v>17</v>
      </c>
      <c r="N5">
        <v>1</v>
      </c>
    </row>
    <row r="6" ht="34" spans="1:14">
      <c r="A6" s="1" t="s">
        <v>21</v>
      </c>
      <c r="B6" t="s">
        <v>22</v>
      </c>
      <c r="C6" t="str">
        <f t="shared" si="0"/>
        <v>OS</v>
      </c>
      <c r="D6">
        <v>5</v>
      </c>
      <c r="E6" t="str">
        <f t="shared" si="1"/>
        <v>Inconsistent</v>
      </c>
      <c r="F6" t="str">
        <f t="shared" si="2"/>
        <v>Low</v>
      </c>
      <c r="G6" t="str">
        <f t="shared" si="3"/>
        <v>LOW</v>
      </c>
      <c r="H6">
        <v>0</v>
      </c>
      <c r="I6">
        <v>0</v>
      </c>
      <c r="J6">
        <v>1</v>
      </c>
      <c r="K6" t="s">
        <v>16</v>
      </c>
      <c r="L6" t="s">
        <v>16</v>
      </c>
      <c r="M6" s="2" t="s">
        <v>17</v>
      </c>
      <c r="N6">
        <v>1</v>
      </c>
    </row>
    <row r="7" ht="34" spans="1:14">
      <c r="A7" s="1" t="s">
        <v>23</v>
      </c>
      <c r="B7" t="s">
        <v>15</v>
      </c>
      <c r="C7" t="str">
        <f t="shared" si="0"/>
        <v>OS</v>
      </c>
      <c r="D7">
        <v>5</v>
      </c>
      <c r="E7" t="str">
        <f t="shared" si="1"/>
        <v>Consistent</v>
      </c>
      <c r="F7" t="str">
        <f t="shared" si="2"/>
        <v>Low</v>
      </c>
      <c r="G7" t="str">
        <f t="shared" si="3"/>
        <v>MODERATE</v>
      </c>
      <c r="H7">
        <v>1</v>
      </c>
      <c r="I7">
        <v>1</v>
      </c>
      <c r="J7">
        <v>1</v>
      </c>
      <c r="K7" t="s">
        <v>16</v>
      </c>
      <c r="L7" t="s">
        <v>16</v>
      </c>
      <c r="M7" s="2" t="s">
        <v>17</v>
      </c>
      <c r="N7">
        <v>1</v>
      </c>
    </row>
    <row r="8" ht="17" spans="1:14">
      <c r="A8" s="1" t="s">
        <v>24</v>
      </c>
      <c r="B8" t="s">
        <v>15</v>
      </c>
      <c r="C8" t="str">
        <f t="shared" si="0"/>
        <v>OS</v>
      </c>
      <c r="D8">
        <v>5</v>
      </c>
      <c r="E8" t="str">
        <f t="shared" si="1"/>
        <v>Consistent</v>
      </c>
      <c r="F8" t="str">
        <f t="shared" si="2"/>
        <v>Low</v>
      </c>
      <c r="G8" t="str">
        <f t="shared" si="3"/>
        <v>MODERATE</v>
      </c>
      <c r="H8">
        <v>0</v>
      </c>
      <c r="I8">
        <v>1</v>
      </c>
      <c r="J8">
        <v>0</v>
      </c>
      <c r="K8" t="s">
        <v>16</v>
      </c>
      <c r="L8" t="s">
        <v>16</v>
      </c>
      <c r="M8" s="2" t="s">
        <v>17</v>
      </c>
      <c r="N8">
        <v>1</v>
      </c>
    </row>
    <row r="9" ht="17" spans="1:14">
      <c r="A9" s="1" t="s">
        <v>25</v>
      </c>
      <c r="B9" t="s">
        <v>15</v>
      </c>
      <c r="C9" t="str">
        <f t="shared" si="0"/>
        <v>OS</v>
      </c>
      <c r="D9">
        <v>5</v>
      </c>
      <c r="E9" t="str">
        <f t="shared" si="1"/>
        <v>Consistent</v>
      </c>
      <c r="F9" t="str">
        <f t="shared" si="2"/>
        <v>Low</v>
      </c>
      <c r="G9" t="str">
        <f t="shared" si="3"/>
        <v>MODERATE</v>
      </c>
      <c r="H9">
        <v>0</v>
      </c>
      <c r="I9">
        <v>1</v>
      </c>
      <c r="J9">
        <v>1</v>
      </c>
      <c r="K9" t="s">
        <v>16</v>
      </c>
      <c r="L9" t="s">
        <v>16</v>
      </c>
      <c r="M9" s="2" t="s">
        <v>17</v>
      </c>
      <c r="N9">
        <v>1</v>
      </c>
    </row>
    <row r="10" ht="34" spans="1:14">
      <c r="A10" s="1" t="s">
        <v>26</v>
      </c>
      <c r="B10" t="s">
        <v>15</v>
      </c>
      <c r="C10" t="str">
        <f t="shared" si="0"/>
        <v>OS</v>
      </c>
      <c r="D10">
        <v>5</v>
      </c>
      <c r="E10" t="str">
        <f t="shared" si="1"/>
        <v>Consistent</v>
      </c>
      <c r="F10" t="s">
        <v>27</v>
      </c>
      <c r="G10" t="str">
        <f t="shared" si="3"/>
        <v>MODERATE</v>
      </c>
      <c r="H10">
        <v>1</v>
      </c>
      <c r="I10">
        <v>0</v>
      </c>
      <c r="J10">
        <v>1</v>
      </c>
      <c r="K10">
        <v>1</v>
      </c>
      <c r="L10" t="s">
        <v>16</v>
      </c>
      <c r="M10" s="2" t="s">
        <v>17</v>
      </c>
      <c r="N10">
        <v>1</v>
      </c>
    </row>
    <row r="11" ht="34" spans="1:14">
      <c r="A11" s="1" t="s">
        <v>28</v>
      </c>
      <c r="B11" t="s">
        <v>15</v>
      </c>
      <c r="C11" t="str">
        <f t="shared" si="0"/>
        <v>OS</v>
      </c>
      <c r="D11">
        <v>5</v>
      </c>
      <c r="E11" t="str">
        <f t="shared" si="1"/>
        <v>Consistent</v>
      </c>
      <c r="F11" t="str">
        <f t="shared" si="2"/>
        <v>Low</v>
      </c>
      <c r="G11" t="str">
        <f t="shared" si="3"/>
        <v>MODERATE</v>
      </c>
      <c r="H11">
        <v>0</v>
      </c>
      <c r="I11">
        <v>1</v>
      </c>
      <c r="J11">
        <v>1</v>
      </c>
      <c r="K11" t="s">
        <v>16</v>
      </c>
      <c r="L11" t="s">
        <v>16</v>
      </c>
      <c r="M11" s="2" t="s">
        <v>17</v>
      </c>
      <c r="N11">
        <v>1</v>
      </c>
    </row>
    <row r="12" ht="34" spans="1:14">
      <c r="A12" s="1" t="s">
        <v>29</v>
      </c>
      <c r="B12" t="s">
        <v>15</v>
      </c>
      <c r="C12" t="str">
        <f t="shared" si="0"/>
        <v>OS</v>
      </c>
      <c r="D12">
        <v>5</v>
      </c>
      <c r="E12" t="str">
        <f t="shared" si="1"/>
        <v>Consistent</v>
      </c>
      <c r="F12" t="str">
        <f t="shared" si="2"/>
        <v>Low</v>
      </c>
      <c r="G12" t="str">
        <f t="shared" si="3"/>
        <v>MODERATE</v>
      </c>
      <c r="H12">
        <v>1</v>
      </c>
      <c r="I12">
        <v>1</v>
      </c>
      <c r="J12">
        <v>1</v>
      </c>
      <c r="K12" t="s">
        <v>16</v>
      </c>
      <c r="L12" t="s">
        <v>16</v>
      </c>
      <c r="M12" s="2" t="s">
        <v>17</v>
      </c>
      <c r="N12">
        <v>1</v>
      </c>
    </row>
    <row r="13" ht="34" spans="1:14">
      <c r="A13" s="1" t="s">
        <v>30</v>
      </c>
      <c r="B13" t="s">
        <v>15</v>
      </c>
      <c r="C13" t="str">
        <f t="shared" si="0"/>
        <v>OS</v>
      </c>
      <c r="D13">
        <v>5</v>
      </c>
      <c r="E13" t="str">
        <f t="shared" si="1"/>
        <v>Consistent</v>
      </c>
      <c r="F13" t="str">
        <f t="shared" si="2"/>
        <v>Low</v>
      </c>
      <c r="G13" t="str">
        <f t="shared" si="3"/>
        <v>MODERATE</v>
      </c>
      <c r="H13">
        <v>0</v>
      </c>
      <c r="I13">
        <v>0</v>
      </c>
      <c r="J13">
        <v>1</v>
      </c>
      <c r="K13" t="s">
        <v>16</v>
      </c>
      <c r="L13" t="s">
        <v>16</v>
      </c>
      <c r="M13" s="2" t="s">
        <v>17</v>
      </c>
      <c r="N13">
        <v>1</v>
      </c>
    </row>
    <row r="14" ht="34" spans="1:14">
      <c r="A14" s="1" t="s">
        <v>31</v>
      </c>
      <c r="B14" t="s">
        <v>15</v>
      </c>
      <c r="C14" t="str">
        <f t="shared" si="0"/>
        <v>OS</v>
      </c>
      <c r="D14">
        <v>5</v>
      </c>
      <c r="E14" t="str">
        <f t="shared" si="1"/>
        <v>Consistent</v>
      </c>
      <c r="F14" t="str">
        <f t="shared" si="2"/>
        <v>Low</v>
      </c>
      <c r="G14" t="str">
        <f t="shared" si="3"/>
        <v>MODERATE</v>
      </c>
      <c r="H14">
        <v>0</v>
      </c>
      <c r="I14">
        <v>1</v>
      </c>
      <c r="J14">
        <v>1</v>
      </c>
      <c r="K14" t="s">
        <v>16</v>
      </c>
      <c r="L14" t="s">
        <v>16</v>
      </c>
      <c r="M14" s="2" t="s">
        <v>17</v>
      </c>
      <c r="N14">
        <v>1</v>
      </c>
    </row>
    <row r="15" ht="34" spans="1:14">
      <c r="A15" s="1" t="s">
        <v>32</v>
      </c>
      <c r="B15" t="s">
        <v>15</v>
      </c>
      <c r="C15" t="str">
        <f t="shared" si="0"/>
        <v>OS</v>
      </c>
      <c r="D15">
        <v>5</v>
      </c>
      <c r="E15" t="str">
        <f t="shared" si="1"/>
        <v>Consistent</v>
      </c>
      <c r="F15" t="str">
        <f t="shared" si="2"/>
        <v>Low</v>
      </c>
      <c r="G15" t="str">
        <f t="shared" si="3"/>
        <v>MODERATE</v>
      </c>
      <c r="H15">
        <v>1</v>
      </c>
      <c r="I15">
        <v>1</v>
      </c>
      <c r="J15">
        <v>1</v>
      </c>
      <c r="K15" t="s">
        <v>16</v>
      </c>
      <c r="L15" t="s">
        <v>16</v>
      </c>
      <c r="M15" s="2" t="s">
        <v>17</v>
      </c>
      <c r="N15">
        <v>1</v>
      </c>
    </row>
    <row r="16" ht="34" spans="1:14">
      <c r="A16" s="1" t="s">
        <v>33</v>
      </c>
      <c r="B16" t="s">
        <v>15</v>
      </c>
      <c r="C16" t="str">
        <f t="shared" si="0"/>
        <v>OS</v>
      </c>
      <c r="D16">
        <v>5</v>
      </c>
      <c r="E16" t="str">
        <f t="shared" si="1"/>
        <v>Consistent</v>
      </c>
      <c r="F16" t="str">
        <f t="shared" si="2"/>
        <v>Low</v>
      </c>
      <c r="G16" t="str">
        <f t="shared" si="3"/>
        <v>MODERATE</v>
      </c>
      <c r="H16">
        <v>0</v>
      </c>
      <c r="I16">
        <v>0</v>
      </c>
      <c r="J16">
        <v>1</v>
      </c>
      <c r="K16" t="s">
        <v>16</v>
      </c>
      <c r="L16" t="s">
        <v>16</v>
      </c>
      <c r="M16" s="2" t="s">
        <v>17</v>
      </c>
      <c r="N16">
        <v>1</v>
      </c>
    </row>
    <row r="17" ht="34" spans="1:14">
      <c r="A17" s="1" t="s">
        <v>34</v>
      </c>
      <c r="B17" t="s">
        <v>15</v>
      </c>
      <c r="C17" t="str">
        <f t="shared" si="0"/>
        <v>OS</v>
      </c>
      <c r="D17">
        <v>5</v>
      </c>
      <c r="E17" t="str">
        <f t="shared" si="1"/>
        <v>Consistent</v>
      </c>
      <c r="F17" t="str">
        <f t="shared" si="2"/>
        <v>Low</v>
      </c>
      <c r="G17" t="str">
        <f t="shared" si="3"/>
        <v>MODERATE</v>
      </c>
      <c r="H17">
        <v>1</v>
      </c>
      <c r="I17">
        <v>1</v>
      </c>
      <c r="J17">
        <v>1</v>
      </c>
      <c r="K17" t="s">
        <v>16</v>
      </c>
      <c r="L17" t="s">
        <v>16</v>
      </c>
      <c r="M17" s="2" t="s">
        <v>17</v>
      </c>
      <c r="N17">
        <v>1</v>
      </c>
    </row>
    <row r="18" ht="17" spans="1:14">
      <c r="A18" s="1" t="s">
        <v>35</v>
      </c>
      <c r="B18" t="s">
        <v>15</v>
      </c>
      <c r="C18" t="str">
        <f t="shared" si="0"/>
        <v>OS</v>
      </c>
      <c r="D18">
        <v>5</v>
      </c>
      <c r="E18" t="str">
        <f t="shared" si="1"/>
        <v>Consistent</v>
      </c>
      <c r="F18" t="str">
        <f t="shared" si="2"/>
        <v>Low</v>
      </c>
      <c r="G18" t="str">
        <f t="shared" si="3"/>
        <v>MODERATE</v>
      </c>
      <c r="H18">
        <v>0</v>
      </c>
      <c r="I18">
        <v>1</v>
      </c>
      <c r="J18">
        <v>0</v>
      </c>
      <c r="K18" t="s">
        <v>16</v>
      </c>
      <c r="L18" t="s">
        <v>16</v>
      </c>
      <c r="M18" s="2" t="s">
        <v>17</v>
      </c>
      <c r="N18">
        <v>1</v>
      </c>
    </row>
    <row r="19" ht="17" spans="1:14">
      <c r="A19" s="1" t="s">
        <v>36</v>
      </c>
      <c r="B19" t="s">
        <v>15</v>
      </c>
      <c r="C19" t="str">
        <f t="shared" si="0"/>
        <v>OS</v>
      </c>
      <c r="D19">
        <v>5</v>
      </c>
      <c r="E19" t="str">
        <f t="shared" si="1"/>
        <v>Consistent</v>
      </c>
      <c r="F19" t="str">
        <f t="shared" si="2"/>
        <v>Low</v>
      </c>
      <c r="G19" t="str">
        <f t="shared" si="3"/>
        <v>MODERATE</v>
      </c>
      <c r="H19">
        <v>1</v>
      </c>
      <c r="I19">
        <v>1</v>
      </c>
      <c r="J19">
        <v>1</v>
      </c>
      <c r="K19" t="s">
        <v>16</v>
      </c>
      <c r="L19" t="s">
        <v>16</v>
      </c>
      <c r="M19" s="2" t="s">
        <v>17</v>
      </c>
      <c r="N19">
        <v>1</v>
      </c>
    </row>
    <row r="20" ht="17" spans="1:14">
      <c r="A20" s="1" t="s">
        <v>37</v>
      </c>
      <c r="B20" t="s">
        <v>15</v>
      </c>
      <c r="C20" t="str">
        <f t="shared" si="0"/>
        <v>OS</v>
      </c>
      <c r="D20">
        <v>5</v>
      </c>
      <c r="E20" t="str">
        <f t="shared" si="1"/>
        <v>Consistent</v>
      </c>
      <c r="F20" t="str">
        <f t="shared" si="2"/>
        <v>Low</v>
      </c>
      <c r="G20" t="str">
        <f t="shared" si="3"/>
        <v>MODERATE</v>
      </c>
      <c r="H20">
        <v>0</v>
      </c>
      <c r="I20">
        <v>1</v>
      </c>
      <c r="J20">
        <v>0</v>
      </c>
      <c r="K20" t="s">
        <v>16</v>
      </c>
      <c r="L20" t="s">
        <v>16</v>
      </c>
      <c r="M20" s="2" t="s">
        <v>17</v>
      </c>
      <c r="N20">
        <v>1</v>
      </c>
    </row>
    <row r="21" ht="34" spans="1:14">
      <c r="A21" s="1" t="s">
        <v>38</v>
      </c>
      <c r="B21" t="s">
        <v>15</v>
      </c>
      <c r="C21" t="str">
        <f t="shared" si="0"/>
        <v>OS</v>
      </c>
      <c r="D21">
        <v>5</v>
      </c>
      <c r="E21" t="str">
        <f t="shared" si="1"/>
        <v>Consistent</v>
      </c>
      <c r="F21" t="str">
        <f t="shared" si="2"/>
        <v>Low</v>
      </c>
      <c r="G21" t="str">
        <f t="shared" si="3"/>
        <v>MODERATE</v>
      </c>
      <c r="H21">
        <v>1</v>
      </c>
      <c r="I21">
        <v>1</v>
      </c>
      <c r="J21">
        <v>1</v>
      </c>
      <c r="K21" t="s">
        <v>16</v>
      </c>
      <c r="L21" t="s">
        <v>16</v>
      </c>
      <c r="M21" s="2" t="s">
        <v>17</v>
      </c>
      <c r="N21">
        <v>1</v>
      </c>
    </row>
    <row r="22" ht="51" spans="1:14">
      <c r="A22" s="1" t="s">
        <v>39</v>
      </c>
      <c r="B22" t="s">
        <v>40</v>
      </c>
      <c r="C22" t="str">
        <f t="shared" si="0"/>
        <v>TS</v>
      </c>
      <c r="D22">
        <v>4</v>
      </c>
      <c r="E22" t="str">
        <f t="shared" si="1"/>
        <v>Partially Consistent</v>
      </c>
      <c r="F22" t="str">
        <f t="shared" si="2"/>
        <v>High</v>
      </c>
      <c r="G22" t="str">
        <f t="shared" si="3"/>
        <v>MODERATE</v>
      </c>
      <c r="H22">
        <v>0</v>
      </c>
      <c r="I22">
        <v>0</v>
      </c>
      <c r="J22">
        <v>1</v>
      </c>
      <c r="K22" t="s">
        <v>16</v>
      </c>
      <c r="L22" t="s">
        <v>16</v>
      </c>
      <c r="M22" s="2" t="s">
        <v>17</v>
      </c>
      <c r="N22">
        <v>1</v>
      </c>
    </row>
    <row r="23" ht="34" spans="1:14">
      <c r="A23" s="1" t="s">
        <v>41</v>
      </c>
      <c r="B23" t="s">
        <v>22</v>
      </c>
      <c r="C23" t="str">
        <f t="shared" si="0"/>
        <v>OS</v>
      </c>
      <c r="D23">
        <v>4</v>
      </c>
      <c r="E23" t="str">
        <f t="shared" si="1"/>
        <v>Inconsistent</v>
      </c>
      <c r="F23" t="str">
        <f t="shared" si="2"/>
        <v>Low</v>
      </c>
      <c r="G23" t="str">
        <f t="shared" si="3"/>
        <v>LOW</v>
      </c>
      <c r="H23">
        <v>0</v>
      </c>
      <c r="I23">
        <v>0</v>
      </c>
      <c r="J23">
        <v>1</v>
      </c>
      <c r="K23" t="s">
        <v>16</v>
      </c>
      <c r="L23" t="s">
        <v>16</v>
      </c>
      <c r="M23" s="2" t="s">
        <v>17</v>
      </c>
      <c r="N23">
        <v>1</v>
      </c>
    </row>
    <row r="24" ht="34" spans="1:14">
      <c r="A24" s="1" t="s">
        <v>42</v>
      </c>
      <c r="B24" t="s">
        <v>22</v>
      </c>
      <c r="C24" t="str">
        <f t="shared" si="0"/>
        <v>OS</v>
      </c>
      <c r="D24">
        <v>4</v>
      </c>
      <c r="E24" t="str">
        <f t="shared" si="1"/>
        <v>Inconsistent</v>
      </c>
      <c r="F24" t="str">
        <f t="shared" si="2"/>
        <v>Low</v>
      </c>
      <c r="G24" t="str">
        <f t="shared" si="3"/>
        <v>LOW</v>
      </c>
      <c r="H24">
        <v>0</v>
      </c>
      <c r="I24">
        <v>0</v>
      </c>
      <c r="J24">
        <v>1</v>
      </c>
      <c r="K24" t="s">
        <v>16</v>
      </c>
      <c r="L24" t="s">
        <v>16</v>
      </c>
      <c r="M24" s="2" t="s">
        <v>17</v>
      </c>
      <c r="N24">
        <v>1</v>
      </c>
    </row>
    <row r="25" ht="17" spans="1:14">
      <c r="A25" s="1" t="s">
        <v>43</v>
      </c>
      <c r="B25" t="s">
        <v>40</v>
      </c>
      <c r="C25" t="str">
        <f t="shared" si="0"/>
        <v>TS</v>
      </c>
      <c r="D25">
        <v>4</v>
      </c>
      <c r="E25" t="str">
        <f t="shared" si="1"/>
        <v>Partially Consistent</v>
      </c>
      <c r="F25" t="s">
        <v>27</v>
      </c>
      <c r="G25" t="str">
        <f t="shared" si="3"/>
        <v>LOW</v>
      </c>
      <c r="H25">
        <v>1</v>
      </c>
      <c r="I25">
        <v>0</v>
      </c>
      <c r="J25">
        <v>1</v>
      </c>
      <c r="K25">
        <v>1</v>
      </c>
      <c r="L25" t="s">
        <v>16</v>
      </c>
      <c r="M25" s="2" t="s">
        <v>17</v>
      </c>
      <c r="N25">
        <v>1</v>
      </c>
    </row>
    <row r="26" ht="17" spans="1:14">
      <c r="A26" s="1" t="s">
        <v>44</v>
      </c>
      <c r="B26" t="s">
        <v>15</v>
      </c>
      <c r="C26" t="str">
        <f t="shared" si="0"/>
        <v>OS</v>
      </c>
      <c r="D26">
        <v>4</v>
      </c>
      <c r="E26" t="str">
        <f t="shared" si="1"/>
        <v>Partially Consistent</v>
      </c>
      <c r="F26" t="str">
        <f t="shared" si="2"/>
        <v>Low</v>
      </c>
      <c r="G26" t="str">
        <f t="shared" si="3"/>
        <v>MODERATE</v>
      </c>
      <c r="H26">
        <v>0</v>
      </c>
      <c r="I26">
        <v>1</v>
      </c>
      <c r="J26">
        <v>0</v>
      </c>
      <c r="K26" t="s">
        <v>16</v>
      </c>
      <c r="L26" t="s">
        <v>16</v>
      </c>
      <c r="M26" s="2" t="s">
        <v>17</v>
      </c>
      <c r="N26">
        <v>1</v>
      </c>
    </row>
    <row r="27" ht="51" spans="1:14">
      <c r="A27" s="1" t="s">
        <v>45</v>
      </c>
      <c r="B27" t="s">
        <v>40</v>
      </c>
      <c r="C27" t="str">
        <f t="shared" si="0"/>
        <v>TS</v>
      </c>
      <c r="D27">
        <v>4</v>
      </c>
      <c r="E27" t="str">
        <f t="shared" si="1"/>
        <v>Partially Consistent</v>
      </c>
      <c r="F27" t="str">
        <f t="shared" si="2"/>
        <v>High</v>
      </c>
      <c r="G27" t="str">
        <f t="shared" si="3"/>
        <v>MODERATE</v>
      </c>
      <c r="H27">
        <v>0</v>
      </c>
      <c r="I27">
        <v>0</v>
      </c>
      <c r="J27">
        <v>1</v>
      </c>
      <c r="K27" t="s">
        <v>16</v>
      </c>
      <c r="L27" t="s">
        <v>16</v>
      </c>
      <c r="M27" s="2" t="s">
        <v>17</v>
      </c>
      <c r="N27">
        <v>1</v>
      </c>
    </row>
    <row r="28" ht="17" spans="1:14">
      <c r="A28" s="1" t="s">
        <v>46</v>
      </c>
      <c r="B28" t="s">
        <v>15</v>
      </c>
      <c r="C28" t="str">
        <f t="shared" si="0"/>
        <v>OS</v>
      </c>
      <c r="D28">
        <v>4</v>
      </c>
      <c r="E28" t="str">
        <f t="shared" si="1"/>
        <v>Partially Consistent</v>
      </c>
      <c r="F28" t="str">
        <f t="shared" si="2"/>
        <v>Low</v>
      </c>
      <c r="G28" t="str">
        <f t="shared" si="3"/>
        <v>MODERATE</v>
      </c>
      <c r="H28">
        <v>0</v>
      </c>
      <c r="I28">
        <v>0</v>
      </c>
      <c r="J28">
        <v>1</v>
      </c>
      <c r="K28" t="s">
        <v>16</v>
      </c>
      <c r="L28" t="s">
        <v>16</v>
      </c>
      <c r="M28" s="2" t="s">
        <v>17</v>
      </c>
      <c r="N28">
        <v>1</v>
      </c>
    </row>
    <row r="29" ht="17" spans="1:14">
      <c r="A29" s="1" t="s">
        <v>47</v>
      </c>
      <c r="B29" t="s">
        <v>40</v>
      </c>
      <c r="C29" t="str">
        <f t="shared" si="0"/>
        <v>TS</v>
      </c>
      <c r="D29">
        <v>4</v>
      </c>
      <c r="E29" t="str">
        <f t="shared" si="1"/>
        <v>Partially Consistent</v>
      </c>
      <c r="F29" t="str">
        <f t="shared" si="2"/>
        <v>High</v>
      </c>
      <c r="G29" t="str">
        <f t="shared" si="3"/>
        <v>MODERATE</v>
      </c>
      <c r="H29">
        <v>1</v>
      </c>
      <c r="I29">
        <v>0</v>
      </c>
      <c r="J29">
        <v>1</v>
      </c>
      <c r="K29" t="s">
        <v>16</v>
      </c>
      <c r="L29" t="s">
        <v>16</v>
      </c>
      <c r="M29" s="2" t="s">
        <v>17</v>
      </c>
      <c r="N29">
        <v>1</v>
      </c>
    </row>
    <row r="30" ht="68" spans="1:14">
      <c r="A30" s="1" t="s">
        <v>48</v>
      </c>
      <c r="B30" t="s">
        <v>40</v>
      </c>
      <c r="C30" t="str">
        <f t="shared" si="0"/>
        <v>TS</v>
      </c>
      <c r="D30">
        <v>4</v>
      </c>
      <c r="E30" t="str">
        <f t="shared" si="1"/>
        <v>Partially Consistent</v>
      </c>
      <c r="F30" t="str">
        <f t="shared" si="2"/>
        <v>High</v>
      </c>
      <c r="G30" t="str">
        <f t="shared" si="3"/>
        <v>MODERATE</v>
      </c>
      <c r="H30">
        <v>0</v>
      </c>
      <c r="I30">
        <v>0</v>
      </c>
      <c r="J30">
        <v>1</v>
      </c>
      <c r="K30" t="s">
        <v>16</v>
      </c>
      <c r="L30" t="s">
        <v>16</v>
      </c>
      <c r="M30" s="2" t="s">
        <v>17</v>
      </c>
      <c r="N30">
        <v>1</v>
      </c>
    </row>
    <row r="31" ht="17" spans="1:14">
      <c r="A31" s="1" t="s">
        <v>49</v>
      </c>
      <c r="B31" t="s">
        <v>15</v>
      </c>
      <c r="C31" t="str">
        <f t="shared" si="0"/>
        <v>OS</v>
      </c>
      <c r="D31">
        <v>4</v>
      </c>
      <c r="E31" t="str">
        <f t="shared" si="1"/>
        <v>Partially Consistent</v>
      </c>
      <c r="F31" t="str">
        <f t="shared" si="2"/>
        <v>Low</v>
      </c>
      <c r="G31" t="str">
        <f t="shared" si="3"/>
        <v>MODERATE</v>
      </c>
      <c r="H31">
        <v>0</v>
      </c>
      <c r="I31">
        <v>0</v>
      </c>
      <c r="J31">
        <v>1</v>
      </c>
      <c r="K31" t="s">
        <v>16</v>
      </c>
      <c r="L31" t="s">
        <v>16</v>
      </c>
      <c r="M31" s="2" t="s">
        <v>17</v>
      </c>
      <c r="N31">
        <v>1</v>
      </c>
    </row>
    <row r="32" ht="34" spans="1:14">
      <c r="A32" s="1" t="s">
        <v>50</v>
      </c>
      <c r="B32" t="s">
        <v>15</v>
      </c>
      <c r="C32" t="str">
        <f t="shared" si="0"/>
        <v>OS</v>
      </c>
      <c r="D32">
        <v>4</v>
      </c>
      <c r="E32" t="str">
        <f t="shared" si="1"/>
        <v>Partially Consistent</v>
      </c>
      <c r="F32" t="str">
        <f t="shared" si="2"/>
        <v>Low</v>
      </c>
      <c r="G32" t="str">
        <f t="shared" si="3"/>
        <v>MODERATE</v>
      </c>
      <c r="H32">
        <v>0</v>
      </c>
      <c r="I32">
        <v>1</v>
      </c>
      <c r="J32">
        <v>0</v>
      </c>
      <c r="K32" t="s">
        <v>16</v>
      </c>
      <c r="L32" t="s">
        <v>16</v>
      </c>
      <c r="M32" s="2" t="s">
        <v>17</v>
      </c>
      <c r="N32">
        <v>1</v>
      </c>
    </row>
    <row r="33" ht="17" spans="1:14">
      <c r="A33" s="1" t="s">
        <v>51</v>
      </c>
      <c r="B33" t="s">
        <v>15</v>
      </c>
      <c r="C33" t="str">
        <f t="shared" si="0"/>
        <v>OS</v>
      </c>
      <c r="D33">
        <v>4</v>
      </c>
      <c r="E33" t="str">
        <f t="shared" si="1"/>
        <v>Partially Consistent</v>
      </c>
      <c r="F33" t="str">
        <f t="shared" si="2"/>
        <v>Low</v>
      </c>
      <c r="G33" t="str">
        <f t="shared" si="3"/>
        <v>MODERATE</v>
      </c>
      <c r="H33">
        <v>0</v>
      </c>
      <c r="I33">
        <v>1</v>
      </c>
      <c r="J33">
        <v>1</v>
      </c>
      <c r="K33">
        <v>1</v>
      </c>
      <c r="L33" t="s">
        <v>16</v>
      </c>
      <c r="M33" s="2" t="s">
        <v>17</v>
      </c>
      <c r="N33">
        <v>1</v>
      </c>
    </row>
    <row r="34" ht="68" spans="1:14">
      <c r="A34" s="1" t="s">
        <v>52</v>
      </c>
      <c r="B34" t="s">
        <v>40</v>
      </c>
      <c r="C34" t="str">
        <f t="shared" si="0"/>
        <v>TS</v>
      </c>
      <c r="D34">
        <v>4</v>
      </c>
      <c r="E34" t="str">
        <f t="shared" si="1"/>
        <v>Partially Consistent</v>
      </c>
      <c r="F34" t="str">
        <f t="shared" si="2"/>
        <v>High</v>
      </c>
      <c r="G34" t="str">
        <f t="shared" si="3"/>
        <v>MODERATE</v>
      </c>
      <c r="H34">
        <v>1</v>
      </c>
      <c r="I34">
        <v>1</v>
      </c>
      <c r="J34">
        <v>1</v>
      </c>
      <c r="K34" t="s">
        <v>16</v>
      </c>
      <c r="L34" t="s">
        <v>16</v>
      </c>
      <c r="M34" s="2" t="s">
        <v>17</v>
      </c>
      <c r="N34">
        <v>1</v>
      </c>
    </row>
    <row r="35" ht="17" spans="1:14">
      <c r="A35" s="1" t="s">
        <v>53</v>
      </c>
      <c r="B35" t="s">
        <v>15</v>
      </c>
      <c r="C35" t="str">
        <f t="shared" si="0"/>
        <v>OS</v>
      </c>
      <c r="D35">
        <v>4</v>
      </c>
      <c r="E35" t="str">
        <f t="shared" si="1"/>
        <v>Partially Consistent</v>
      </c>
      <c r="F35" t="str">
        <f t="shared" si="2"/>
        <v>Low</v>
      </c>
      <c r="G35" t="str">
        <f t="shared" si="3"/>
        <v>MODERATE</v>
      </c>
      <c r="H35">
        <v>0</v>
      </c>
      <c r="I35">
        <v>1</v>
      </c>
      <c r="J35">
        <v>0</v>
      </c>
      <c r="K35" t="s">
        <v>16</v>
      </c>
      <c r="L35" t="s">
        <v>16</v>
      </c>
      <c r="M35" s="2" t="s">
        <v>17</v>
      </c>
      <c r="N35">
        <v>1</v>
      </c>
    </row>
    <row r="36" ht="34" spans="1:14">
      <c r="A36" s="1" t="s">
        <v>54</v>
      </c>
      <c r="B36" t="s">
        <v>40</v>
      </c>
      <c r="C36" t="str">
        <f t="shared" si="0"/>
        <v>TS</v>
      </c>
      <c r="D36">
        <v>4</v>
      </c>
      <c r="E36" t="str">
        <f t="shared" si="1"/>
        <v>Partially Consistent</v>
      </c>
      <c r="F36" t="str">
        <f t="shared" si="2"/>
        <v>High</v>
      </c>
      <c r="G36" t="str">
        <f t="shared" si="3"/>
        <v>MODERATE</v>
      </c>
      <c r="H36">
        <v>1</v>
      </c>
      <c r="I36">
        <v>1</v>
      </c>
      <c r="J36">
        <v>1</v>
      </c>
      <c r="K36" t="s">
        <v>16</v>
      </c>
      <c r="L36" t="s">
        <v>16</v>
      </c>
      <c r="M36" s="2" t="s">
        <v>17</v>
      </c>
      <c r="N36">
        <v>1</v>
      </c>
    </row>
    <row r="37" ht="34" spans="1:14">
      <c r="A37" s="1" t="s">
        <v>55</v>
      </c>
      <c r="B37" t="s">
        <v>15</v>
      </c>
      <c r="C37" t="str">
        <f t="shared" si="0"/>
        <v>OS</v>
      </c>
      <c r="D37">
        <v>4</v>
      </c>
      <c r="E37" t="str">
        <f t="shared" si="1"/>
        <v>Partially Consistent</v>
      </c>
      <c r="F37" t="str">
        <f t="shared" si="2"/>
        <v>Low</v>
      </c>
      <c r="G37" t="str">
        <f t="shared" si="3"/>
        <v>MODERATE</v>
      </c>
      <c r="H37">
        <v>0</v>
      </c>
      <c r="I37">
        <v>0</v>
      </c>
      <c r="J37">
        <v>1</v>
      </c>
      <c r="K37" t="s">
        <v>16</v>
      </c>
      <c r="L37" t="s">
        <v>16</v>
      </c>
      <c r="M37" s="2" t="s">
        <v>17</v>
      </c>
      <c r="N37">
        <v>1</v>
      </c>
    </row>
    <row r="38" ht="17" spans="1:14">
      <c r="A38" s="1" t="s">
        <v>56</v>
      </c>
      <c r="B38" t="s">
        <v>40</v>
      </c>
      <c r="C38" t="str">
        <f t="shared" si="0"/>
        <v>TS</v>
      </c>
      <c r="D38">
        <v>4</v>
      </c>
      <c r="E38" t="str">
        <f t="shared" si="1"/>
        <v>Partially Consistent</v>
      </c>
      <c r="F38" t="str">
        <f t="shared" si="2"/>
        <v>High</v>
      </c>
      <c r="G38" t="str">
        <f t="shared" si="3"/>
        <v>MODERATE</v>
      </c>
      <c r="H38">
        <v>1</v>
      </c>
      <c r="I38">
        <v>0</v>
      </c>
      <c r="J38">
        <v>1</v>
      </c>
      <c r="K38" t="s">
        <v>16</v>
      </c>
      <c r="L38" t="s">
        <v>16</v>
      </c>
      <c r="M38" s="2" t="s">
        <v>17</v>
      </c>
      <c r="N38">
        <v>1</v>
      </c>
    </row>
    <row r="39" ht="17" spans="1:14">
      <c r="A39" s="1" t="s">
        <v>57</v>
      </c>
      <c r="B39" t="s">
        <v>15</v>
      </c>
      <c r="C39" t="str">
        <f t="shared" si="0"/>
        <v>OS</v>
      </c>
      <c r="D39">
        <v>4</v>
      </c>
      <c r="E39" t="str">
        <f t="shared" si="1"/>
        <v>Partially Consistent</v>
      </c>
      <c r="F39" t="str">
        <f t="shared" si="2"/>
        <v>Low</v>
      </c>
      <c r="G39" t="str">
        <f t="shared" si="3"/>
        <v>MODERATE</v>
      </c>
      <c r="H39">
        <v>0</v>
      </c>
      <c r="I39">
        <v>1</v>
      </c>
      <c r="J39">
        <v>0</v>
      </c>
      <c r="K39" t="s">
        <v>16</v>
      </c>
      <c r="L39" t="s">
        <v>16</v>
      </c>
      <c r="M39" s="2" t="s">
        <v>17</v>
      </c>
      <c r="N39">
        <v>1</v>
      </c>
    </row>
    <row r="40" ht="17" spans="1:14">
      <c r="A40" s="1" t="s">
        <v>58</v>
      </c>
      <c r="B40" t="s">
        <v>22</v>
      </c>
      <c r="C40" t="str">
        <f t="shared" si="0"/>
        <v>OS</v>
      </c>
      <c r="D40">
        <v>4</v>
      </c>
      <c r="E40" t="str">
        <f t="shared" si="1"/>
        <v>Inconsistent</v>
      </c>
      <c r="F40" t="str">
        <f t="shared" si="2"/>
        <v>Low</v>
      </c>
      <c r="G40" t="str">
        <f t="shared" si="3"/>
        <v>LOW</v>
      </c>
      <c r="H40">
        <v>0</v>
      </c>
      <c r="I40">
        <v>0</v>
      </c>
      <c r="J40">
        <v>1</v>
      </c>
      <c r="K40" t="s">
        <v>16</v>
      </c>
      <c r="L40" t="s">
        <v>16</v>
      </c>
      <c r="M40" s="2" t="s">
        <v>17</v>
      </c>
      <c r="N40">
        <v>1</v>
      </c>
    </row>
    <row r="41" ht="17" spans="1:14">
      <c r="A41" s="1" t="s">
        <v>59</v>
      </c>
      <c r="B41" t="s">
        <v>22</v>
      </c>
      <c r="C41" t="str">
        <f t="shared" si="0"/>
        <v>OS</v>
      </c>
      <c r="D41">
        <v>4</v>
      </c>
      <c r="E41" t="str">
        <f t="shared" si="1"/>
        <v>Inconsistent</v>
      </c>
      <c r="F41" t="str">
        <f t="shared" si="2"/>
        <v>Low</v>
      </c>
      <c r="G41" t="str">
        <f t="shared" si="3"/>
        <v>LOW</v>
      </c>
      <c r="H41">
        <v>0</v>
      </c>
      <c r="I41">
        <v>0</v>
      </c>
      <c r="J41">
        <v>1</v>
      </c>
      <c r="K41" t="s">
        <v>16</v>
      </c>
      <c r="L41" t="s">
        <v>16</v>
      </c>
      <c r="M41" s="2" t="s">
        <v>17</v>
      </c>
      <c r="N41">
        <v>1</v>
      </c>
    </row>
    <row r="42" ht="34" spans="1:14">
      <c r="A42" s="1" t="s">
        <v>60</v>
      </c>
      <c r="B42" t="s">
        <v>40</v>
      </c>
      <c r="C42" t="str">
        <f t="shared" si="0"/>
        <v>TS</v>
      </c>
      <c r="D42">
        <v>2</v>
      </c>
      <c r="E42" t="str">
        <f t="shared" si="1"/>
        <v>Partially Consistent</v>
      </c>
      <c r="F42" t="str">
        <f t="shared" si="2"/>
        <v>High</v>
      </c>
      <c r="G42" t="str">
        <f t="shared" si="3"/>
        <v>MODERATE</v>
      </c>
      <c r="H42">
        <v>0</v>
      </c>
      <c r="I42">
        <v>0</v>
      </c>
      <c r="J42">
        <v>1</v>
      </c>
      <c r="K42" t="s">
        <v>16</v>
      </c>
      <c r="L42" t="s">
        <v>16</v>
      </c>
      <c r="M42" s="2" t="s">
        <v>17</v>
      </c>
      <c r="N42">
        <v>1</v>
      </c>
    </row>
    <row r="43" ht="34" spans="1:14">
      <c r="A43" s="1" t="s">
        <v>61</v>
      </c>
      <c r="B43" t="s">
        <v>22</v>
      </c>
      <c r="C43" t="str">
        <f t="shared" si="0"/>
        <v>OS</v>
      </c>
      <c r="D43">
        <v>2</v>
      </c>
      <c r="E43" t="str">
        <f t="shared" si="1"/>
        <v>Partially Consistent</v>
      </c>
      <c r="F43" t="str">
        <f t="shared" si="2"/>
        <v>Low</v>
      </c>
      <c r="G43" t="str">
        <f t="shared" si="3"/>
        <v>MODERATE</v>
      </c>
      <c r="H43">
        <v>0</v>
      </c>
      <c r="I43">
        <v>0</v>
      </c>
      <c r="J43">
        <v>1</v>
      </c>
      <c r="K43" t="s">
        <v>16</v>
      </c>
      <c r="L43" t="s">
        <v>16</v>
      </c>
      <c r="M43" s="2" t="s">
        <v>17</v>
      </c>
      <c r="N43">
        <v>1</v>
      </c>
    </row>
    <row r="44" ht="17" spans="1:14">
      <c r="A44" s="1" t="s">
        <v>62</v>
      </c>
      <c r="B44" t="s">
        <v>22</v>
      </c>
      <c r="C44" t="str">
        <f t="shared" si="0"/>
        <v>OS</v>
      </c>
      <c r="D44">
        <v>2</v>
      </c>
      <c r="E44" t="str">
        <f t="shared" si="1"/>
        <v>Partially Consistent</v>
      </c>
      <c r="F44" t="str">
        <f t="shared" si="2"/>
        <v>Low</v>
      </c>
      <c r="G44" t="str">
        <f t="shared" si="3"/>
        <v>MODERATE</v>
      </c>
      <c r="H44">
        <v>0</v>
      </c>
      <c r="I44">
        <v>0</v>
      </c>
      <c r="J44">
        <v>1</v>
      </c>
      <c r="K44" t="s">
        <v>16</v>
      </c>
      <c r="L44" t="s">
        <v>16</v>
      </c>
      <c r="M44" s="2" t="s">
        <v>17</v>
      </c>
      <c r="N44">
        <v>1</v>
      </c>
    </row>
    <row r="45" ht="17" spans="1:14">
      <c r="A45" s="1" t="s">
        <v>63</v>
      </c>
      <c r="B45" t="s">
        <v>22</v>
      </c>
      <c r="C45" t="str">
        <f t="shared" si="0"/>
        <v>OS</v>
      </c>
      <c r="D45">
        <v>2</v>
      </c>
      <c r="E45" t="str">
        <f t="shared" si="1"/>
        <v>Partially Consistent</v>
      </c>
      <c r="F45" t="str">
        <f t="shared" si="2"/>
        <v>Low</v>
      </c>
      <c r="G45" t="str">
        <f t="shared" si="3"/>
        <v>MODERATE</v>
      </c>
      <c r="H45">
        <v>0</v>
      </c>
      <c r="I45">
        <v>0</v>
      </c>
      <c r="J45">
        <v>1</v>
      </c>
      <c r="K45" t="s">
        <v>16</v>
      </c>
      <c r="L45" t="s">
        <v>16</v>
      </c>
      <c r="M45" s="2" t="s">
        <v>17</v>
      </c>
      <c r="N45">
        <v>1</v>
      </c>
    </row>
    <row r="46" ht="17" spans="1:14">
      <c r="A46" s="1" t="s">
        <v>64</v>
      </c>
      <c r="B46" t="s">
        <v>15</v>
      </c>
      <c r="C46" t="str">
        <f t="shared" si="0"/>
        <v>OS</v>
      </c>
      <c r="D46">
        <v>2</v>
      </c>
      <c r="E46" t="str">
        <f t="shared" si="1"/>
        <v>Inconsistent</v>
      </c>
      <c r="F46" t="str">
        <f t="shared" si="2"/>
        <v>Low</v>
      </c>
      <c r="G46" t="str">
        <f t="shared" si="3"/>
        <v>LOW</v>
      </c>
      <c r="H46">
        <v>1</v>
      </c>
      <c r="I46">
        <v>1</v>
      </c>
      <c r="J46">
        <v>0</v>
      </c>
      <c r="K46" t="s">
        <v>16</v>
      </c>
      <c r="L46" t="s">
        <v>16</v>
      </c>
      <c r="M46" s="2" t="s">
        <v>17</v>
      </c>
      <c r="N46">
        <v>1</v>
      </c>
    </row>
    <row r="47" ht="17" spans="1:14">
      <c r="A47" s="1" t="s">
        <v>65</v>
      </c>
      <c r="B47" t="s">
        <v>15</v>
      </c>
      <c r="C47" t="str">
        <f t="shared" si="0"/>
        <v>OS</v>
      </c>
      <c r="D47">
        <v>2</v>
      </c>
      <c r="E47" t="str">
        <f t="shared" si="1"/>
        <v>Inconsistent</v>
      </c>
      <c r="F47" t="str">
        <f t="shared" si="2"/>
        <v>Low</v>
      </c>
      <c r="G47" t="str">
        <f t="shared" si="3"/>
        <v>LOW</v>
      </c>
      <c r="H47">
        <v>0</v>
      </c>
      <c r="I47">
        <v>1</v>
      </c>
      <c r="J47">
        <v>0</v>
      </c>
      <c r="K47" t="s">
        <v>16</v>
      </c>
      <c r="L47" t="s">
        <v>16</v>
      </c>
      <c r="M47" s="2" t="s">
        <v>17</v>
      </c>
      <c r="N47">
        <v>1</v>
      </c>
    </row>
    <row r="48" ht="51" spans="1:14">
      <c r="A48" s="1" t="s">
        <v>66</v>
      </c>
      <c r="B48" t="s">
        <v>22</v>
      </c>
      <c r="C48" t="str">
        <f t="shared" si="0"/>
        <v>OS</v>
      </c>
      <c r="D48">
        <v>2</v>
      </c>
      <c r="E48" t="str">
        <f t="shared" si="1"/>
        <v>Partially Consistent</v>
      </c>
      <c r="F48" t="str">
        <f t="shared" si="2"/>
        <v>Low</v>
      </c>
      <c r="G48" t="str">
        <f t="shared" si="3"/>
        <v>MODERATE</v>
      </c>
      <c r="H48">
        <v>0</v>
      </c>
      <c r="I48">
        <v>0</v>
      </c>
      <c r="J48">
        <v>1</v>
      </c>
      <c r="K48" t="s">
        <v>16</v>
      </c>
      <c r="L48" t="s">
        <v>16</v>
      </c>
      <c r="M48" s="2" t="s">
        <v>17</v>
      </c>
      <c r="N48">
        <v>1</v>
      </c>
    </row>
    <row r="49" ht="51" spans="1:14">
      <c r="A49" s="1" t="s">
        <v>66</v>
      </c>
      <c r="B49" t="s">
        <v>22</v>
      </c>
      <c r="C49" t="str">
        <f t="shared" si="0"/>
        <v>OS</v>
      </c>
      <c r="D49">
        <v>2</v>
      </c>
      <c r="E49" t="str">
        <f t="shared" si="1"/>
        <v>Partially Consistent</v>
      </c>
      <c r="F49" t="str">
        <f t="shared" si="2"/>
        <v>Low</v>
      </c>
      <c r="G49" t="str">
        <f t="shared" si="3"/>
        <v>MODERATE</v>
      </c>
      <c r="H49">
        <v>0</v>
      </c>
      <c r="I49">
        <v>0</v>
      </c>
      <c r="J49">
        <v>1</v>
      </c>
      <c r="K49" t="s">
        <v>16</v>
      </c>
      <c r="L49" t="s">
        <v>16</v>
      </c>
      <c r="M49" s="2" t="s">
        <v>17</v>
      </c>
      <c r="N49">
        <v>1</v>
      </c>
    </row>
    <row r="50" ht="17" spans="1:14">
      <c r="A50" s="1" t="s">
        <v>67</v>
      </c>
      <c r="B50" t="s">
        <v>22</v>
      </c>
      <c r="C50" t="str">
        <f t="shared" si="0"/>
        <v>OS</v>
      </c>
      <c r="D50">
        <v>2</v>
      </c>
      <c r="E50" t="str">
        <f t="shared" si="1"/>
        <v>Partially Consistent</v>
      </c>
      <c r="F50" t="str">
        <f t="shared" si="2"/>
        <v>Low</v>
      </c>
      <c r="G50" t="str">
        <f t="shared" si="3"/>
        <v>MODERATE</v>
      </c>
      <c r="H50">
        <v>0</v>
      </c>
      <c r="I50">
        <v>0</v>
      </c>
      <c r="J50">
        <v>1</v>
      </c>
      <c r="K50" t="s">
        <v>16</v>
      </c>
      <c r="L50" t="s">
        <v>16</v>
      </c>
      <c r="M50" s="2" t="s">
        <v>17</v>
      </c>
      <c r="N50">
        <v>1</v>
      </c>
    </row>
    <row r="51" ht="17" spans="1:14">
      <c r="A51" s="1" t="s">
        <v>68</v>
      </c>
      <c r="B51" t="s">
        <v>40</v>
      </c>
      <c r="C51" t="str">
        <f t="shared" si="0"/>
        <v>TS</v>
      </c>
      <c r="D51">
        <v>2</v>
      </c>
      <c r="E51" t="str">
        <f t="shared" si="1"/>
        <v>Partially Consistent</v>
      </c>
      <c r="F51" t="str">
        <f t="shared" si="2"/>
        <v>High</v>
      </c>
      <c r="G51" t="str">
        <f t="shared" si="3"/>
        <v>MODERATE</v>
      </c>
      <c r="H51">
        <v>0</v>
      </c>
      <c r="I51">
        <v>0</v>
      </c>
      <c r="J51">
        <v>1</v>
      </c>
      <c r="K51" t="s">
        <v>16</v>
      </c>
      <c r="L51" t="s">
        <v>16</v>
      </c>
      <c r="M51" s="2" t="s">
        <v>17</v>
      </c>
      <c r="N51">
        <v>1</v>
      </c>
    </row>
    <row r="52" ht="34" spans="1:14">
      <c r="A52" s="1" t="s">
        <v>69</v>
      </c>
      <c r="B52" t="s">
        <v>22</v>
      </c>
      <c r="C52" t="str">
        <f t="shared" si="0"/>
        <v>OS</v>
      </c>
      <c r="D52">
        <v>2</v>
      </c>
      <c r="E52" t="str">
        <f t="shared" si="1"/>
        <v>Partially Consistent</v>
      </c>
      <c r="F52" t="str">
        <f t="shared" si="2"/>
        <v>Low</v>
      </c>
      <c r="G52" t="str">
        <f t="shared" si="3"/>
        <v>MODERATE</v>
      </c>
      <c r="H52">
        <v>0</v>
      </c>
      <c r="I52">
        <v>0</v>
      </c>
      <c r="J52">
        <v>1</v>
      </c>
      <c r="K52" t="s">
        <v>16</v>
      </c>
      <c r="L52" t="s">
        <v>16</v>
      </c>
      <c r="M52" s="2" t="s">
        <v>17</v>
      </c>
      <c r="N52">
        <v>1</v>
      </c>
    </row>
    <row r="53" ht="17" spans="1:14">
      <c r="A53" s="1" t="s">
        <v>70</v>
      </c>
      <c r="B53" t="s">
        <v>40</v>
      </c>
      <c r="C53" t="str">
        <f t="shared" si="0"/>
        <v>TS</v>
      </c>
      <c r="D53">
        <v>2</v>
      </c>
      <c r="E53" t="str">
        <f t="shared" si="1"/>
        <v>Partially Consistent</v>
      </c>
      <c r="F53" t="str">
        <f t="shared" si="2"/>
        <v>High</v>
      </c>
      <c r="G53" t="str">
        <f t="shared" si="3"/>
        <v>MODERATE</v>
      </c>
      <c r="H53">
        <v>0</v>
      </c>
      <c r="I53">
        <v>0</v>
      </c>
      <c r="J53">
        <v>1</v>
      </c>
      <c r="K53" t="s">
        <v>16</v>
      </c>
      <c r="L53" t="s">
        <v>16</v>
      </c>
      <c r="M53" s="2" t="s">
        <v>17</v>
      </c>
      <c r="N53">
        <v>1</v>
      </c>
    </row>
    <row r="54" ht="17" spans="1:14">
      <c r="A54" s="1" t="s">
        <v>71</v>
      </c>
      <c r="B54" t="s">
        <v>22</v>
      </c>
      <c r="C54" t="str">
        <f t="shared" si="0"/>
        <v>OS</v>
      </c>
      <c r="D54">
        <v>2</v>
      </c>
      <c r="E54" t="str">
        <f t="shared" si="1"/>
        <v>Partially Consistent</v>
      </c>
      <c r="F54" t="str">
        <f t="shared" si="2"/>
        <v>Low</v>
      </c>
      <c r="G54" t="str">
        <f t="shared" si="3"/>
        <v>MODERATE</v>
      </c>
      <c r="H54">
        <v>0</v>
      </c>
      <c r="I54">
        <v>0</v>
      </c>
      <c r="J54">
        <v>1</v>
      </c>
      <c r="K54" t="s">
        <v>16</v>
      </c>
      <c r="L54" t="s">
        <v>16</v>
      </c>
      <c r="M54" s="2" t="s">
        <v>17</v>
      </c>
      <c r="N54">
        <v>1</v>
      </c>
    </row>
    <row r="55" ht="17" spans="1:14">
      <c r="A55" s="1" t="s">
        <v>72</v>
      </c>
      <c r="B55" t="s">
        <v>22</v>
      </c>
      <c r="C55" t="str">
        <f t="shared" si="0"/>
        <v>OS</v>
      </c>
      <c r="D55">
        <v>2</v>
      </c>
      <c r="E55" t="str">
        <f t="shared" si="1"/>
        <v>Partially Consistent</v>
      </c>
      <c r="F55" t="str">
        <f t="shared" si="2"/>
        <v>Low</v>
      </c>
      <c r="G55" t="str">
        <f t="shared" si="3"/>
        <v>MODERATE</v>
      </c>
      <c r="H55">
        <v>0</v>
      </c>
      <c r="I55">
        <v>0</v>
      </c>
      <c r="J55">
        <v>1</v>
      </c>
      <c r="K55" t="s">
        <v>16</v>
      </c>
      <c r="L55" t="s">
        <v>16</v>
      </c>
      <c r="M55" s="2" t="s">
        <v>17</v>
      </c>
      <c r="N55">
        <v>1</v>
      </c>
    </row>
    <row r="56" ht="17" spans="1:14">
      <c r="A56" s="1" t="s">
        <v>73</v>
      </c>
      <c r="B56" t="s">
        <v>40</v>
      </c>
      <c r="C56" t="str">
        <f t="shared" si="0"/>
        <v>TS</v>
      </c>
      <c r="D56">
        <v>2</v>
      </c>
      <c r="E56" t="str">
        <f t="shared" si="1"/>
        <v>Partially Consistent</v>
      </c>
      <c r="F56" t="str">
        <f t="shared" si="2"/>
        <v>High</v>
      </c>
      <c r="G56" t="str">
        <f t="shared" si="3"/>
        <v>MODERATE</v>
      </c>
      <c r="H56">
        <v>0</v>
      </c>
      <c r="I56">
        <v>0</v>
      </c>
      <c r="J56">
        <v>1</v>
      </c>
      <c r="K56" t="s">
        <v>16</v>
      </c>
      <c r="L56" t="s">
        <v>16</v>
      </c>
      <c r="M56" s="2" t="s">
        <v>17</v>
      </c>
      <c r="N56">
        <v>1</v>
      </c>
    </row>
    <row r="57" ht="17" spans="1:14">
      <c r="A57" s="1" t="s">
        <v>74</v>
      </c>
      <c r="B57" t="s">
        <v>40</v>
      </c>
      <c r="C57" t="str">
        <f t="shared" si="0"/>
        <v>TS</v>
      </c>
      <c r="D57">
        <v>2</v>
      </c>
      <c r="E57" t="str">
        <f t="shared" si="1"/>
        <v>Partially Consistent</v>
      </c>
      <c r="F57" t="str">
        <f t="shared" si="2"/>
        <v>High</v>
      </c>
      <c r="G57" t="str">
        <f t="shared" si="3"/>
        <v>MODERATE</v>
      </c>
      <c r="H57">
        <v>0</v>
      </c>
      <c r="I57">
        <v>0</v>
      </c>
      <c r="J57">
        <v>1</v>
      </c>
      <c r="K57" t="s">
        <v>16</v>
      </c>
      <c r="L57" t="s">
        <v>16</v>
      </c>
      <c r="M57" s="2" t="s">
        <v>17</v>
      </c>
      <c r="N57">
        <v>1</v>
      </c>
    </row>
    <row r="58" ht="17" spans="1:14">
      <c r="A58" s="1" t="s">
        <v>75</v>
      </c>
      <c r="B58" t="s">
        <v>15</v>
      </c>
      <c r="C58" t="str">
        <f t="shared" si="0"/>
        <v>OS</v>
      </c>
      <c r="D58">
        <v>2</v>
      </c>
      <c r="E58" t="str">
        <f t="shared" si="1"/>
        <v>Inconsistent</v>
      </c>
      <c r="F58" t="str">
        <f t="shared" si="2"/>
        <v>Low</v>
      </c>
      <c r="G58" t="str">
        <f t="shared" si="3"/>
        <v>LOW</v>
      </c>
      <c r="H58">
        <v>0</v>
      </c>
      <c r="I58">
        <v>1</v>
      </c>
      <c r="J58">
        <v>0</v>
      </c>
      <c r="K58" t="s">
        <v>16</v>
      </c>
      <c r="L58" t="s">
        <v>16</v>
      </c>
      <c r="M58" s="2" t="s">
        <v>17</v>
      </c>
      <c r="N58">
        <v>1</v>
      </c>
    </row>
    <row r="59" ht="17" spans="1:14">
      <c r="A59" s="1" t="s">
        <v>76</v>
      </c>
      <c r="B59" t="s">
        <v>22</v>
      </c>
      <c r="C59" t="str">
        <f t="shared" si="0"/>
        <v>OS</v>
      </c>
      <c r="D59">
        <v>2</v>
      </c>
      <c r="E59" t="str">
        <f t="shared" si="1"/>
        <v>Partially Consistent</v>
      </c>
      <c r="F59" t="str">
        <f t="shared" si="2"/>
        <v>Low</v>
      </c>
      <c r="G59" t="str">
        <f t="shared" si="3"/>
        <v>MODERATE</v>
      </c>
      <c r="H59">
        <v>0</v>
      </c>
      <c r="I59">
        <v>0</v>
      </c>
      <c r="J59">
        <v>1</v>
      </c>
      <c r="K59" t="s">
        <v>16</v>
      </c>
      <c r="L59" t="s">
        <v>16</v>
      </c>
      <c r="M59" s="2" t="s">
        <v>17</v>
      </c>
      <c r="N59">
        <v>1</v>
      </c>
    </row>
    <row r="60" ht="34" spans="1:14">
      <c r="A60" s="1" t="s">
        <v>77</v>
      </c>
      <c r="B60" t="s">
        <v>22</v>
      </c>
      <c r="C60" t="str">
        <f t="shared" si="0"/>
        <v>OS</v>
      </c>
      <c r="D60">
        <v>2</v>
      </c>
      <c r="E60" t="str">
        <f t="shared" si="1"/>
        <v>Partially Consistent</v>
      </c>
      <c r="F60" t="str">
        <f t="shared" si="2"/>
        <v>Low</v>
      </c>
      <c r="G60" t="str">
        <f t="shared" si="3"/>
        <v>MODERATE</v>
      </c>
      <c r="H60">
        <v>1</v>
      </c>
      <c r="I60">
        <v>0</v>
      </c>
      <c r="J60">
        <v>1</v>
      </c>
      <c r="K60" t="s">
        <v>16</v>
      </c>
      <c r="L60" t="s">
        <v>16</v>
      </c>
      <c r="M60" s="2" t="s">
        <v>17</v>
      </c>
      <c r="N60">
        <v>1</v>
      </c>
    </row>
    <row r="61" ht="17" spans="1:14">
      <c r="A61" s="1" t="s">
        <v>78</v>
      </c>
      <c r="B61" t="s">
        <v>15</v>
      </c>
      <c r="C61" t="str">
        <f t="shared" si="0"/>
        <v>OS</v>
      </c>
      <c r="D61">
        <v>2</v>
      </c>
      <c r="E61" t="str">
        <f t="shared" si="1"/>
        <v>Inconsistent</v>
      </c>
      <c r="F61" t="str">
        <f t="shared" si="2"/>
        <v>Low</v>
      </c>
      <c r="G61" t="str">
        <f t="shared" si="3"/>
        <v>LOW</v>
      </c>
      <c r="H61">
        <v>1</v>
      </c>
      <c r="I61">
        <v>1</v>
      </c>
      <c r="J61">
        <v>1</v>
      </c>
      <c r="K61" t="s">
        <v>16</v>
      </c>
      <c r="L61" t="s">
        <v>16</v>
      </c>
      <c r="M61" s="2" t="s">
        <v>17</v>
      </c>
      <c r="N61">
        <v>1</v>
      </c>
    </row>
    <row r="62" ht="34" spans="1:14">
      <c r="A62" s="1" t="s">
        <v>79</v>
      </c>
      <c r="B62" t="s">
        <v>15</v>
      </c>
      <c r="C62" t="str">
        <f t="shared" si="0"/>
        <v>OS</v>
      </c>
      <c r="D62">
        <v>1</v>
      </c>
      <c r="E62" t="str">
        <f t="shared" si="1"/>
        <v>Inconsistent</v>
      </c>
      <c r="F62" t="s">
        <v>27</v>
      </c>
      <c r="G62" t="str">
        <f t="shared" si="3"/>
        <v>LOW</v>
      </c>
      <c r="H62">
        <v>0</v>
      </c>
      <c r="I62">
        <v>1</v>
      </c>
      <c r="J62">
        <v>0</v>
      </c>
      <c r="K62">
        <v>1</v>
      </c>
      <c r="L62" t="s">
        <v>16</v>
      </c>
      <c r="M62" s="2" t="s">
        <v>17</v>
      </c>
      <c r="N62">
        <v>1</v>
      </c>
    </row>
    <row r="63" ht="17" spans="1:14">
      <c r="A63" s="1" t="s">
        <v>80</v>
      </c>
      <c r="B63" t="s">
        <v>22</v>
      </c>
      <c r="C63" t="str">
        <f t="shared" si="0"/>
        <v>OS</v>
      </c>
      <c r="D63">
        <v>1</v>
      </c>
      <c r="E63" t="str">
        <f t="shared" si="1"/>
        <v>Consistent</v>
      </c>
      <c r="F63" t="str">
        <f t="shared" si="2"/>
        <v>Low</v>
      </c>
      <c r="G63" t="str">
        <f t="shared" si="3"/>
        <v>MODERATE</v>
      </c>
      <c r="H63">
        <v>0</v>
      </c>
      <c r="I63">
        <v>0</v>
      </c>
      <c r="J63">
        <v>1</v>
      </c>
      <c r="K63" t="s">
        <v>16</v>
      </c>
      <c r="L63" t="s">
        <v>16</v>
      </c>
      <c r="M63" s="2" t="s">
        <v>17</v>
      </c>
      <c r="N63">
        <v>1</v>
      </c>
    </row>
    <row r="64" ht="17" spans="1:14">
      <c r="A64" s="1" t="s">
        <v>81</v>
      </c>
      <c r="B64" t="s">
        <v>22</v>
      </c>
      <c r="C64" t="str">
        <f t="shared" si="0"/>
        <v>OS</v>
      </c>
      <c r="D64">
        <v>1</v>
      </c>
      <c r="E64" t="str">
        <f t="shared" si="1"/>
        <v>Consistent</v>
      </c>
      <c r="F64" t="str">
        <f t="shared" si="2"/>
        <v>Low</v>
      </c>
      <c r="G64" t="str">
        <f t="shared" si="3"/>
        <v>MODERATE</v>
      </c>
      <c r="H64">
        <v>0</v>
      </c>
      <c r="I64">
        <v>0</v>
      </c>
      <c r="J64">
        <v>1</v>
      </c>
      <c r="K64" t="s">
        <v>16</v>
      </c>
      <c r="L64" t="s">
        <v>16</v>
      </c>
      <c r="M64" s="2" t="s">
        <v>17</v>
      </c>
      <c r="N64">
        <v>1</v>
      </c>
    </row>
    <row r="65" ht="17" spans="1:14">
      <c r="A65" s="1" t="s">
        <v>82</v>
      </c>
      <c r="B65" t="s">
        <v>22</v>
      </c>
      <c r="C65" t="str">
        <f t="shared" si="0"/>
        <v>OS</v>
      </c>
      <c r="D65">
        <v>1</v>
      </c>
      <c r="E65" t="str">
        <f t="shared" si="1"/>
        <v>Consistent</v>
      </c>
      <c r="F65" t="str">
        <f t="shared" si="2"/>
        <v>Low</v>
      </c>
      <c r="G65" t="str">
        <f t="shared" si="3"/>
        <v>MODERATE</v>
      </c>
      <c r="H65">
        <v>0</v>
      </c>
      <c r="I65">
        <v>0</v>
      </c>
      <c r="J65">
        <v>1</v>
      </c>
      <c r="K65" t="s">
        <v>16</v>
      </c>
      <c r="L65" t="s">
        <v>16</v>
      </c>
      <c r="M65" s="2" t="s">
        <v>17</v>
      </c>
      <c r="N65">
        <v>1</v>
      </c>
    </row>
    <row r="66" ht="17" spans="1:14">
      <c r="A66" s="1" t="s">
        <v>83</v>
      </c>
      <c r="B66" t="s">
        <v>22</v>
      </c>
      <c r="C66" t="str">
        <f t="shared" ref="C66:C129" si="4">IF(B66="NEUTRAL","TS","OS")</f>
        <v>OS</v>
      </c>
      <c r="D66">
        <v>1</v>
      </c>
      <c r="E66" t="str">
        <f t="shared" ref="E66:E129" si="5">IF(C66="TS",IF(D66=3,"Consistent",IF(OR(D66=2,D66=4),"Partially Consistent","Inconsistent")),IF(D66=3,"Inconsistent",IF(AND(D66=5,B66="POSITIVE"),"Consistent",IF(AND(D66=1,B66="NEGATIVE"),"Consistent",IF(AND(D66=4,B66="POSITIVE"),"Partially Consistent",IF(AND(D66=2,B66="NEGATIVE"),"Partially Consistent","Inconsistent"))))))</f>
        <v>Consistent</v>
      </c>
      <c r="F66" t="str">
        <f t="shared" ref="F66:F129" si="6">IF(C66="TS","High","Low")</f>
        <v>Low</v>
      </c>
      <c r="G66" t="str">
        <f t="shared" ref="G66:G129" si="7">IF(AND(B66="NEUTRAL",F66="Low"),"LOW",IF(AND(C66="TS",F66="High",D66=3),"HIGH",IF(AND(C66="TS",F66="High",OR(D66=2,D66=4)),"MODERATE",IF(AND(C66="TS",F66="High",OR(D66=1,D66=5)),"LOW",IF(AND(C66="OS",E66="Consistent",OR(D66=1,D66=5)),"MODERATE",IF(AND(C66="OS",E66="Partially Consistent",OR(D66=2,D66=4)),"MODERATE","LOW"))))))</f>
        <v>MODERATE</v>
      </c>
      <c r="H66">
        <v>0</v>
      </c>
      <c r="I66">
        <v>0</v>
      </c>
      <c r="J66">
        <v>1</v>
      </c>
      <c r="K66" t="s">
        <v>16</v>
      </c>
      <c r="L66" t="s">
        <v>16</v>
      </c>
      <c r="M66" s="2" t="s">
        <v>17</v>
      </c>
      <c r="N66">
        <v>1</v>
      </c>
    </row>
    <row r="67" ht="34" spans="1:14">
      <c r="A67" s="1" t="s">
        <v>84</v>
      </c>
      <c r="B67" t="s">
        <v>22</v>
      </c>
      <c r="C67" t="str">
        <f t="shared" si="4"/>
        <v>OS</v>
      </c>
      <c r="D67">
        <v>1</v>
      </c>
      <c r="E67" t="str">
        <f t="shared" si="5"/>
        <v>Consistent</v>
      </c>
      <c r="F67" t="str">
        <f t="shared" si="6"/>
        <v>Low</v>
      </c>
      <c r="G67" t="str">
        <f t="shared" si="7"/>
        <v>MODERATE</v>
      </c>
      <c r="H67">
        <v>0</v>
      </c>
      <c r="I67">
        <v>0</v>
      </c>
      <c r="J67">
        <v>1</v>
      </c>
      <c r="K67" t="s">
        <v>16</v>
      </c>
      <c r="L67" t="s">
        <v>16</v>
      </c>
      <c r="M67" s="2" t="s">
        <v>17</v>
      </c>
      <c r="N67">
        <v>1</v>
      </c>
    </row>
    <row r="68" ht="34" spans="1:14">
      <c r="A68" s="1" t="s">
        <v>85</v>
      </c>
      <c r="B68" t="s">
        <v>22</v>
      </c>
      <c r="C68" t="str">
        <f t="shared" si="4"/>
        <v>OS</v>
      </c>
      <c r="D68">
        <v>1</v>
      </c>
      <c r="E68" t="str">
        <f t="shared" si="5"/>
        <v>Consistent</v>
      </c>
      <c r="F68" t="str">
        <f t="shared" si="6"/>
        <v>Low</v>
      </c>
      <c r="G68" t="str">
        <f t="shared" si="7"/>
        <v>MODERATE</v>
      </c>
      <c r="H68">
        <v>0</v>
      </c>
      <c r="I68">
        <v>0</v>
      </c>
      <c r="J68">
        <v>1</v>
      </c>
      <c r="K68" t="s">
        <v>16</v>
      </c>
      <c r="L68" t="s">
        <v>16</v>
      </c>
      <c r="M68" s="2" t="s">
        <v>17</v>
      </c>
      <c r="N68">
        <v>1</v>
      </c>
    </row>
    <row r="69" ht="17" spans="1:14">
      <c r="A69" s="1" t="s">
        <v>86</v>
      </c>
      <c r="B69" t="s">
        <v>22</v>
      </c>
      <c r="C69" t="str">
        <f t="shared" si="4"/>
        <v>OS</v>
      </c>
      <c r="D69">
        <v>1</v>
      </c>
      <c r="E69" t="str">
        <f t="shared" si="5"/>
        <v>Consistent</v>
      </c>
      <c r="F69" t="str">
        <f t="shared" si="6"/>
        <v>Low</v>
      </c>
      <c r="G69" t="str">
        <f t="shared" si="7"/>
        <v>MODERATE</v>
      </c>
      <c r="H69">
        <v>0</v>
      </c>
      <c r="I69">
        <v>0</v>
      </c>
      <c r="J69">
        <v>1</v>
      </c>
      <c r="K69" t="s">
        <v>16</v>
      </c>
      <c r="L69" t="s">
        <v>16</v>
      </c>
      <c r="M69" s="2" t="s">
        <v>17</v>
      </c>
      <c r="N69">
        <v>1</v>
      </c>
    </row>
    <row r="70" ht="17" spans="1:14">
      <c r="A70" s="1" t="s">
        <v>87</v>
      </c>
      <c r="B70" t="s">
        <v>15</v>
      </c>
      <c r="C70" t="str">
        <f t="shared" si="4"/>
        <v>OS</v>
      </c>
      <c r="D70">
        <v>1</v>
      </c>
      <c r="E70" t="str">
        <f t="shared" si="5"/>
        <v>Inconsistent</v>
      </c>
      <c r="F70" t="str">
        <f t="shared" si="6"/>
        <v>Low</v>
      </c>
      <c r="G70" t="str">
        <f t="shared" si="7"/>
        <v>LOW</v>
      </c>
      <c r="H70">
        <v>0</v>
      </c>
      <c r="I70">
        <v>1</v>
      </c>
      <c r="J70">
        <v>0</v>
      </c>
      <c r="K70" t="s">
        <v>16</v>
      </c>
      <c r="L70" t="s">
        <v>16</v>
      </c>
      <c r="M70" s="2" t="s">
        <v>17</v>
      </c>
      <c r="N70">
        <v>1</v>
      </c>
    </row>
    <row r="71" ht="17" spans="1:14">
      <c r="A71" s="1" t="s">
        <v>88</v>
      </c>
      <c r="B71" t="s">
        <v>22</v>
      </c>
      <c r="C71" t="str">
        <f t="shared" si="4"/>
        <v>OS</v>
      </c>
      <c r="D71">
        <v>1</v>
      </c>
      <c r="E71" t="str">
        <f t="shared" si="5"/>
        <v>Consistent</v>
      </c>
      <c r="F71" t="str">
        <f t="shared" si="6"/>
        <v>Low</v>
      </c>
      <c r="G71" t="str">
        <f t="shared" si="7"/>
        <v>MODERATE</v>
      </c>
      <c r="H71">
        <v>0</v>
      </c>
      <c r="I71">
        <v>0</v>
      </c>
      <c r="J71">
        <v>1</v>
      </c>
      <c r="K71" t="s">
        <v>16</v>
      </c>
      <c r="L71" t="s">
        <v>16</v>
      </c>
      <c r="M71" s="2" t="s">
        <v>17</v>
      </c>
      <c r="N71">
        <v>1</v>
      </c>
    </row>
    <row r="72" ht="17" spans="1:14">
      <c r="A72" s="1" t="s">
        <v>89</v>
      </c>
      <c r="B72" t="s">
        <v>22</v>
      </c>
      <c r="C72" t="str">
        <f t="shared" si="4"/>
        <v>OS</v>
      </c>
      <c r="D72">
        <v>1</v>
      </c>
      <c r="E72" t="str">
        <f t="shared" si="5"/>
        <v>Consistent</v>
      </c>
      <c r="F72" t="str">
        <f t="shared" si="6"/>
        <v>Low</v>
      </c>
      <c r="G72" t="str">
        <f t="shared" si="7"/>
        <v>MODERATE</v>
      </c>
      <c r="H72">
        <v>0</v>
      </c>
      <c r="I72">
        <v>0</v>
      </c>
      <c r="J72">
        <v>1</v>
      </c>
      <c r="K72" t="s">
        <v>16</v>
      </c>
      <c r="L72" t="s">
        <v>16</v>
      </c>
      <c r="M72" s="2" t="s">
        <v>17</v>
      </c>
      <c r="N72">
        <v>1</v>
      </c>
    </row>
    <row r="73" ht="17" spans="1:14">
      <c r="A73" s="1" t="s">
        <v>90</v>
      </c>
      <c r="B73" t="s">
        <v>40</v>
      </c>
      <c r="C73" t="str">
        <f t="shared" si="4"/>
        <v>TS</v>
      </c>
      <c r="D73">
        <v>1</v>
      </c>
      <c r="E73" t="str">
        <f t="shared" si="5"/>
        <v>Inconsistent</v>
      </c>
      <c r="F73" t="str">
        <f t="shared" si="6"/>
        <v>High</v>
      </c>
      <c r="G73" t="str">
        <f t="shared" si="7"/>
        <v>LOW</v>
      </c>
      <c r="H73">
        <v>0</v>
      </c>
      <c r="I73">
        <v>0</v>
      </c>
      <c r="J73">
        <v>1</v>
      </c>
      <c r="K73" t="s">
        <v>16</v>
      </c>
      <c r="L73" t="s">
        <v>16</v>
      </c>
      <c r="M73" s="2" t="s">
        <v>17</v>
      </c>
      <c r="N73">
        <v>1</v>
      </c>
    </row>
    <row r="74" ht="17" spans="1:14">
      <c r="A74" s="1" t="s">
        <v>91</v>
      </c>
      <c r="B74" t="s">
        <v>22</v>
      </c>
      <c r="C74" t="str">
        <f t="shared" si="4"/>
        <v>OS</v>
      </c>
      <c r="D74">
        <v>1</v>
      </c>
      <c r="E74" t="str">
        <f t="shared" si="5"/>
        <v>Consistent</v>
      </c>
      <c r="F74" t="str">
        <f t="shared" si="6"/>
        <v>Low</v>
      </c>
      <c r="G74" t="str">
        <f t="shared" si="7"/>
        <v>MODERATE</v>
      </c>
      <c r="H74">
        <v>0</v>
      </c>
      <c r="I74">
        <v>0</v>
      </c>
      <c r="J74">
        <v>1</v>
      </c>
      <c r="K74" t="s">
        <v>16</v>
      </c>
      <c r="L74" t="s">
        <v>16</v>
      </c>
      <c r="M74" s="2" t="s">
        <v>17</v>
      </c>
      <c r="N74">
        <v>1</v>
      </c>
    </row>
    <row r="75" ht="17" spans="1:14">
      <c r="A75" s="1" t="s">
        <v>92</v>
      </c>
      <c r="B75" t="s">
        <v>15</v>
      </c>
      <c r="C75" t="str">
        <f t="shared" si="4"/>
        <v>OS</v>
      </c>
      <c r="D75">
        <v>1</v>
      </c>
      <c r="E75" t="str">
        <f t="shared" si="5"/>
        <v>Inconsistent</v>
      </c>
      <c r="F75" t="str">
        <f t="shared" si="6"/>
        <v>Low</v>
      </c>
      <c r="G75" t="str">
        <f t="shared" si="7"/>
        <v>LOW</v>
      </c>
      <c r="H75">
        <v>0</v>
      </c>
      <c r="I75">
        <v>1</v>
      </c>
      <c r="J75">
        <v>0</v>
      </c>
      <c r="K75" t="s">
        <v>16</v>
      </c>
      <c r="L75" t="s">
        <v>16</v>
      </c>
      <c r="M75" s="2" t="s">
        <v>17</v>
      </c>
      <c r="N75">
        <v>1</v>
      </c>
    </row>
    <row r="76" ht="17" spans="1:14">
      <c r="A76" s="1" t="s">
        <v>93</v>
      </c>
      <c r="B76" t="s">
        <v>22</v>
      </c>
      <c r="C76" t="str">
        <f t="shared" si="4"/>
        <v>OS</v>
      </c>
      <c r="D76">
        <v>1</v>
      </c>
      <c r="E76" t="str">
        <f t="shared" si="5"/>
        <v>Consistent</v>
      </c>
      <c r="F76" t="str">
        <f t="shared" si="6"/>
        <v>Low</v>
      </c>
      <c r="G76" t="str">
        <f t="shared" si="7"/>
        <v>MODERATE</v>
      </c>
      <c r="H76">
        <v>0</v>
      </c>
      <c r="I76">
        <v>0</v>
      </c>
      <c r="J76">
        <v>1</v>
      </c>
      <c r="K76" t="s">
        <v>16</v>
      </c>
      <c r="L76" t="s">
        <v>16</v>
      </c>
      <c r="M76" s="2" t="s">
        <v>17</v>
      </c>
      <c r="N76">
        <v>1</v>
      </c>
    </row>
    <row r="77" ht="17" spans="1:14">
      <c r="A77" s="1" t="s">
        <v>94</v>
      </c>
      <c r="B77" t="s">
        <v>22</v>
      </c>
      <c r="C77" t="str">
        <f t="shared" si="4"/>
        <v>OS</v>
      </c>
      <c r="D77">
        <v>1</v>
      </c>
      <c r="E77" t="str">
        <f t="shared" si="5"/>
        <v>Consistent</v>
      </c>
      <c r="F77" t="str">
        <f t="shared" si="6"/>
        <v>Low</v>
      </c>
      <c r="G77" t="str">
        <f t="shared" si="7"/>
        <v>MODERATE</v>
      </c>
      <c r="H77">
        <v>0</v>
      </c>
      <c r="I77">
        <v>0</v>
      </c>
      <c r="J77">
        <v>1</v>
      </c>
      <c r="K77" t="s">
        <v>16</v>
      </c>
      <c r="L77" t="s">
        <v>16</v>
      </c>
      <c r="M77" s="2" t="s">
        <v>17</v>
      </c>
      <c r="N77">
        <v>1</v>
      </c>
    </row>
    <row r="78" ht="34" spans="1:14">
      <c r="A78" s="1" t="s">
        <v>95</v>
      </c>
      <c r="B78" t="s">
        <v>22</v>
      </c>
      <c r="C78" t="str">
        <f t="shared" si="4"/>
        <v>OS</v>
      </c>
      <c r="D78">
        <v>1</v>
      </c>
      <c r="E78" t="str">
        <f t="shared" si="5"/>
        <v>Consistent</v>
      </c>
      <c r="F78" t="str">
        <f t="shared" si="6"/>
        <v>Low</v>
      </c>
      <c r="G78" t="str">
        <f t="shared" si="7"/>
        <v>MODERATE</v>
      </c>
      <c r="H78">
        <v>0</v>
      </c>
      <c r="I78">
        <v>0</v>
      </c>
      <c r="J78">
        <v>1</v>
      </c>
      <c r="K78" t="s">
        <v>16</v>
      </c>
      <c r="L78" t="s">
        <v>16</v>
      </c>
      <c r="M78" s="2" t="s">
        <v>17</v>
      </c>
      <c r="N78">
        <v>1</v>
      </c>
    </row>
    <row r="79" ht="17" spans="1:14">
      <c r="A79" s="1" t="s">
        <v>96</v>
      </c>
      <c r="B79" t="s">
        <v>15</v>
      </c>
      <c r="C79" t="str">
        <f t="shared" si="4"/>
        <v>OS</v>
      </c>
      <c r="D79">
        <v>1</v>
      </c>
      <c r="E79" t="str">
        <f t="shared" si="5"/>
        <v>Inconsistent</v>
      </c>
      <c r="F79" t="str">
        <f t="shared" si="6"/>
        <v>Low</v>
      </c>
      <c r="G79" t="str">
        <f t="shared" si="7"/>
        <v>LOW</v>
      </c>
      <c r="H79">
        <v>0</v>
      </c>
      <c r="I79">
        <v>0</v>
      </c>
      <c r="J79">
        <v>1</v>
      </c>
      <c r="K79" t="s">
        <v>16</v>
      </c>
      <c r="L79" t="s">
        <v>16</v>
      </c>
      <c r="M79" s="2" t="s">
        <v>17</v>
      </c>
      <c r="N79">
        <v>1</v>
      </c>
    </row>
    <row r="80" ht="34" spans="1:14">
      <c r="A80" s="1" t="s">
        <v>97</v>
      </c>
      <c r="B80" t="s">
        <v>40</v>
      </c>
      <c r="C80" t="str">
        <f t="shared" si="4"/>
        <v>TS</v>
      </c>
      <c r="D80">
        <v>1</v>
      </c>
      <c r="E80" t="str">
        <f t="shared" si="5"/>
        <v>Inconsistent</v>
      </c>
      <c r="F80" t="str">
        <f t="shared" si="6"/>
        <v>High</v>
      </c>
      <c r="G80" t="str">
        <f t="shared" si="7"/>
        <v>LOW</v>
      </c>
      <c r="H80">
        <v>0</v>
      </c>
      <c r="I80">
        <v>0</v>
      </c>
      <c r="J80">
        <v>1</v>
      </c>
      <c r="K80" t="s">
        <v>16</v>
      </c>
      <c r="L80" t="s">
        <v>16</v>
      </c>
      <c r="M80" s="2" t="s">
        <v>17</v>
      </c>
      <c r="N80">
        <v>1</v>
      </c>
    </row>
    <row r="81" ht="118" spans="1:14">
      <c r="A81" s="1" t="s">
        <v>98</v>
      </c>
      <c r="B81" t="s">
        <v>22</v>
      </c>
      <c r="C81" t="str">
        <f t="shared" si="4"/>
        <v>OS</v>
      </c>
      <c r="D81">
        <v>1</v>
      </c>
      <c r="E81" t="str">
        <f t="shared" si="5"/>
        <v>Consistent</v>
      </c>
      <c r="F81" t="str">
        <f t="shared" si="6"/>
        <v>Low</v>
      </c>
      <c r="G81" t="str">
        <f t="shared" si="7"/>
        <v>MODERATE</v>
      </c>
      <c r="H81">
        <v>0</v>
      </c>
      <c r="I81">
        <v>0</v>
      </c>
      <c r="J81">
        <v>1</v>
      </c>
      <c r="K81" t="s">
        <v>16</v>
      </c>
      <c r="L81" t="s">
        <v>16</v>
      </c>
      <c r="M81" s="2" t="s">
        <v>17</v>
      </c>
      <c r="N81">
        <v>1</v>
      </c>
    </row>
    <row r="82" ht="17" spans="1:14">
      <c r="A82" s="1" t="s">
        <v>99</v>
      </c>
      <c r="B82" t="s">
        <v>40</v>
      </c>
      <c r="C82" t="str">
        <f t="shared" si="4"/>
        <v>TS</v>
      </c>
      <c r="D82">
        <v>3</v>
      </c>
      <c r="E82" t="str">
        <f t="shared" si="5"/>
        <v>Consistent</v>
      </c>
      <c r="F82" t="str">
        <f t="shared" si="6"/>
        <v>High</v>
      </c>
      <c r="G82" t="str">
        <f t="shared" si="7"/>
        <v>HIGH</v>
      </c>
      <c r="H82">
        <v>0</v>
      </c>
      <c r="I82">
        <v>0</v>
      </c>
      <c r="J82">
        <v>1</v>
      </c>
      <c r="K82" t="s">
        <v>16</v>
      </c>
      <c r="L82" t="s">
        <v>16</v>
      </c>
      <c r="M82" s="2" t="s">
        <v>17</v>
      </c>
      <c r="N82">
        <v>1</v>
      </c>
    </row>
    <row r="83" ht="17" spans="1:14">
      <c r="A83" s="1" t="s">
        <v>100</v>
      </c>
      <c r="B83" t="s">
        <v>22</v>
      </c>
      <c r="C83" t="str">
        <f t="shared" si="4"/>
        <v>OS</v>
      </c>
      <c r="D83">
        <v>3</v>
      </c>
      <c r="E83" t="str">
        <f t="shared" si="5"/>
        <v>Inconsistent</v>
      </c>
      <c r="F83" t="str">
        <f t="shared" si="6"/>
        <v>Low</v>
      </c>
      <c r="G83" t="str">
        <f t="shared" si="7"/>
        <v>LOW</v>
      </c>
      <c r="H83">
        <v>0</v>
      </c>
      <c r="I83">
        <v>0</v>
      </c>
      <c r="J83">
        <v>1</v>
      </c>
      <c r="K83" t="s">
        <v>16</v>
      </c>
      <c r="L83" t="s">
        <v>16</v>
      </c>
      <c r="M83" s="2" t="s">
        <v>17</v>
      </c>
      <c r="N83">
        <v>1</v>
      </c>
    </row>
    <row r="84" ht="34" spans="1:14">
      <c r="A84" s="1" t="s">
        <v>101</v>
      </c>
      <c r="B84" t="s">
        <v>40</v>
      </c>
      <c r="C84" t="str">
        <f t="shared" si="4"/>
        <v>TS</v>
      </c>
      <c r="D84">
        <v>3</v>
      </c>
      <c r="E84" t="str">
        <f t="shared" si="5"/>
        <v>Consistent</v>
      </c>
      <c r="F84" t="str">
        <f t="shared" si="6"/>
        <v>High</v>
      </c>
      <c r="G84" t="str">
        <f t="shared" si="7"/>
        <v>HIGH</v>
      </c>
      <c r="H84">
        <v>0</v>
      </c>
      <c r="I84">
        <v>0</v>
      </c>
      <c r="J84">
        <v>1</v>
      </c>
      <c r="K84" t="s">
        <v>16</v>
      </c>
      <c r="L84" t="s">
        <v>16</v>
      </c>
      <c r="M84" s="2" t="s">
        <v>17</v>
      </c>
      <c r="N84">
        <v>1</v>
      </c>
    </row>
    <row r="85" ht="34" spans="1:14">
      <c r="A85" s="1" t="s">
        <v>102</v>
      </c>
      <c r="B85" t="s">
        <v>40</v>
      </c>
      <c r="C85" t="str">
        <f t="shared" si="4"/>
        <v>TS</v>
      </c>
      <c r="D85">
        <v>3</v>
      </c>
      <c r="E85" t="str">
        <f t="shared" si="5"/>
        <v>Consistent</v>
      </c>
      <c r="F85" t="s">
        <v>27</v>
      </c>
      <c r="G85" t="str">
        <f t="shared" si="7"/>
        <v>LOW</v>
      </c>
      <c r="H85">
        <v>0</v>
      </c>
      <c r="I85" s="6">
        <v>0</v>
      </c>
      <c r="J85">
        <v>1</v>
      </c>
      <c r="K85">
        <v>1</v>
      </c>
      <c r="L85" t="s">
        <v>16</v>
      </c>
      <c r="M85" s="2" t="s">
        <v>17</v>
      </c>
      <c r="N85">
        <v>1</v>
      </c>
    </row>
    <row r="86" ht="17" spans="1:14">
      <c r="A86" s="1" t="s">
        <v>103</v>
      </c>
      <c r="B86" t="s">
        <v>15</v>
      </c>
      <c r="C86" t="str">
        <f t="shared" si="4"/>
        <v>OS</v>
      </c>
      <c r="D86">
        <v>3</v>
      </c>
      <c r="E86" t="str">
        <f t="shared" si="5"/>
        <v>Inconsistent</v>
      </c>
      <c r="F86" t="str">
        <f t="shared" si="6"/>
        <v>Low</v>
      </c>
      <c r="G86" t="str">
        <f t="shared" si="7"/>
        <v>LOW</v>
      </c>
      <c r="H86">
        <v>1</v>
      </c>
      <c r="I86">
        <v>1</v>
      </c>
      <c r="J86">
        <v>0</v>
      </c>
      <c r="K86" t="s">
        <v>16</v>
      </c>
      <c r="L86" t="s">
        <v>16</v>
      </c>
      <c r="M86" s="2" t="s">
        <v>17</v>
      </c>
      <c r="N86">
        <v>1</v>
      </c>
    </row>
    <row r="87" ht="34" spans="1:14">
      <c r="A87" s="1" t="s">
        <v>104</v>
      </c>
      <c r="B87" t="s">
        <v>15</v>
      </c>
      <c r="C87" t="str">
        <f t="shared" si="4"/>
        <v>OS</v>
      </c>
      <c r="D87">
        <v>3</v>
      </c>
      <c r="E87" t="str">
        <f t="shared" si="5"/>
        <v>Inconsistent</v>
      </c>
      <c r="F87" t="str">
        <f t="shared" si="6"/>
        <v>Low</v>
      </c>
      <c r="G87" t="str">
        <f t="shared" si="7"/>
        <v>LOW</v>
      </c>
      <c r="H87">
        <v>0</v>
      </c>
      <c r="I87" s="7">
        <v>1</v>
      </c>
      <c r="J87" s="6">
        <v>0</v>
      </c>
      <c r="K87" t="s">
        <v>16</v>
      </c>
      <c r="L87" t="s">
        <v>16</v>
      </c>
      <c r="M87" s="2" t="s">
        <v>17</v>
      </c>
      <c r="N87">
        <v>1</v>
      </c>
    </row>
    <row r="88" ht="17" spans="1:14">
      <c r="A88" s="1" t="s">
        <v>105</v>
      </c>
      <c r="B88" t="s">
        <v>40</v>
      </c>
      <c r="C88" t="str">
        <f t="shared" si="4"/>
        <v>TS</v>
      </c>
      <c r="D88">
        <v>3</v>
      </c>
      <c r="E88" t="str">
        <f t="shared" si="5"/>
        <v>Consistent</v>
      </c>
      <c r="F88" t="str">
        <f t="shared" si="6"/>
        <v>High</v>
      </c>
      <c r="G88" t="str">
        <f t="shared" si="7"/>
        <v>HIGH</v>
      </c>
      <c r="H88">
        <v>0</v>
      </c>
      <c r="I88">
        <v>0</v>
      </c>
      <c r="J88">
        <v>1</v>
      </c>
      <c r="K88" t="s">
        <v>16</v>
      </c>
      <c r="L88" t="s">
        <v>16</v>
      </c>
      <c r="M88" s="2" t="s">
        <v>17</v>
      </c>
      <c r="N88">
        <v>1</v>
      </c>
    </row>
    <row r="89" ht="17" spans="1:14">
      <c r="A89" s="1" t="s">
        <v>106</v>
      </c>
      <c r="B89" t="s">
        <v>15</v>
      </c>
      <c r="C89" t="str">
        <f t="shared" si="4"/>
        <v>OS</v>
      </c>
      <c r="D89">
        <v>3</v>
      </c>
      <c r="E89" t="str">
        <f t="shared" si="5"/>
        <v>Inconsistent</v>
      </c>
      <c r="F89" t="str">
        <f t="shared" si="6"/>
        <v>Low</v>
      </c>
      <c r="G89" t="str">
        <f t="shared" si="7"/>
        <v>LOW</v>
      </c>
      <c r="H89">
        <v>0</v>
      </c>
      <c r="I89">
        <v>1</v>
      </c>
      <c r="J89">
        <v>0</v>
      </c>
      <c r="K89" t="s">
        <v>16</v>
      </c>
      <c r="L89" t="s">
        <v>16</v>
      </c>
      <c r="M89" s="2" t="s">
        <v>17</v>
      </c>
      <c r="N89">
        <v>1</v>
      </c>
    </row>
    <row r="90" ht="17" spans="1:14">
      <c r="A90" s="1" t="s">
        <v>107</v>
      </c>
      <c r="B90" t="s">
        <v>22</v>
      </c>
      <c r="C90" t="str">
        <f t="shared" si="4"/>
        <v>OS</v>
      </c>
      <c r="D90">
        <v>3</v>
      </c>
      <c r="E90" t="str">
        <f t="shared" si="5"/>
        <v>Inconsistent</v>
      </c>
      <c r="F90" t="str">
        <f t="shared" si="6"/>
        <v>Low</v>
      </c>
      <c r="G90" t="str">
        <f t="shared" si="7"/>
        <v>LOW</v>
      </c>
      <c r="H90">
        <v>0</v>
      </c>
      <c r="I90">
        <v>0</v>
      </c>
      <c r="J90">
        <v>1</v>
      </c>
      <c r="K90" t="s">
        <v>16</v>
      </c>
      <c r="L90" t="s">
        <v>16</v>
      </c>
      <c r="M90" s="2" t="s">
        <v>17</v>
      </c>
      <c r="N90">
        <v>1</v>
      </c>
    </row>
    <row r="91" ht="34" spans="1:14">
      <c r="A91" s="1" t="s">
        <v>108</v>
      </c>
      <c r="B91" t="s">
        <v>22</v>
      </c>
      <c r="C91" t="str">
        <f t="shared" si="4"/>
        <v>OS</v>
      </c>
      <c r="D91">
        <v>3</v>
      </c>
      <c r="E91" t="str">
        <f t="shared" si="5"/>
        <v>Inconsistent</v>
      </c>
      <c r="F91" t="str">
        <f t="shared" si="6"/>
        <v>Low</v>
      </c>
      <c r="G91" t="str">
        <f t="shared" si="7"/>
        <v>LOW</v>
      </c>
      <c r="H91">
        <v>0</v>
      </c>
      <c r="I91">
        <v>0</v>
      </c>
      <c r="J91">
        <v>1</v>
      </c>
      <c r="K91" t="s">
        <v>16</v>
      </c>
      <c r="L91" t="s">
        <v>16</v>
      </c>
      <c r="M91" s="2" t="s">
        <v>17</v>
      </c>
      <c r="N91">
        <v>1</v>
      </c>
    </row>
    <row r="92" ht="17" spans="1:14">
      <c r="A92" s="1" t="s">
        <v>109</v>
      </c>
      <c r="B92" t="s">
        <v>22</v>
      </c>
      <c r="C92" t="str">
        <f t="shared" si="4"/>
        <v>OS</v>
      </c>
      <c r="D92">
        <v>3</v>
      </c>
      <c r="E92" t="str">
        <f t="shared" si="5"/>
        <v>Inconsistent</v>
      </c>
      <c r="F92" t="str">
        <f t="shared" si="6"/>
        <v>Low</v>
      </c>
      <c r="G92" t="str">
        <f t="shared" si="7"/>
        <v>LOW</v>
      </c>
      <c r="H92">
        <v>0</v>
      </c>
      <c r="I92" s="6">
        <v>0</v>
      </c>
      <c r="J92">
        <v>1</v>
      </c>
      <c r="K92" t="s">
        <v>16</v>
      </c>
      <c r="L92" t="s">
        <v>16</v>
      </c>
      <c r="M92" s="2" t="s">
        <v>17</v>
      </c>
      <c r="N92">
        <v>1</v>
      </c>
    </row>
    <row r="93" ht="34" spans="1:14">
      <c r="A93" s="1" t="s">
        <v>110</v>
      </c>
      <c r="B93" t="s">
        <v>22</v>
      </c>
      <c r="C93" t="str">
        <f t="shared" si="4"/>
        <v>OS</v>
      </c>
      <c r="D93">
        <v>3</v>
      </c>
      <c r="E93" t="str">
        <f t="shared" si="5"/>
        <v>Inconsistent</v>
      </c>
      <c r="F93" t="str">
        <f t="shared" si="6"/>
        <v>Low</v>
      </c>
      <c r="G93" t="str">
        <f t="shared" si="7"/>
        <v>LOW</v>
      </c>
      <c r="H93">
        <v>0</v>
      </c>
      <c r="I93">
        <v>0</v>
      </c>
      <c r="J93">
        <v>1</v>
      </c>
      <c r="K93" t="s">
        <v>16</v>
      </c>
      <c r="L93" t="s">
        <v>16</v>
      </c>
      <c r="M93" s="2" t="s">
        <v>17</v>
      </c>
      <c r="N93">
        <v>1</v>
      </c>
    </row>
    <row r="94" ht="17" spans="1:14">
      <c r="A94" s="1" t="s">
        <v>111</v>
      </c>
      <c r="B94" t="s">
        <v>22</v>
      </c>
      <c r="C94" t="str">
        <f t="shared" si="4"/>
        <v>OS</v>
      </c>
      <c r="D94">
        <v>3</v>
      </c>
      <c r="E94" t="str">
        <f t="shared" si="5"/>
        <v>Inconsistent</v>
      </c>
      <c r="F94" t="str">
        <f t="shared" si="6"/>
        <v>Low</v>
      </c>
      <c r="G94" t="str">
        <f t="shared" si="7"/>
        <v>LOW</v>
      </c>
      <c r="H94">
        <v>0</v>
      </c>
      <c r="I94">
        <v>0</v>
      </c>
      <c r="J94">
        <v>1</v>
      </c>
      <c r="K94" t="s">
        <v>16</v>
      </c>
      <c r="L94" t="s">
        <v>16</v>
      </c>
      <c r="M94" s="2" t="s">
        <v>17</v>
      </c>
      <c r="N94">
        <v>1</v>
      </c>
    </row>
    <row r="95" ht="17" spans="1:14">
      <c r="A95" s="1" t="s">
        <v>112</v>
      </c>
      <c r="B95" t="s">
        <v>15</v>
      </c>
      <c r="C95" t="str">
        <f t="shared" si="4"/>
        <v>OS</v>
      </c>
      <c r="D95">
        <v>3</v>
      </c>
      <c r="E95" t="str">
        <f t="shared" si="5"/>
        <v>Inconsistent</v>
      </c>
      <c r="F95" t="str">
        <f t="shared" si="6"/>
        <v>Low</v>
      </c>
      <c r="G95" t="str">
        <f t="shared" si="7"/>
        <v>LOW</v>
      </c>
      <c r="H95">
        <v>0</v>
      </c>
      <c r="I95">
        <v>0</v>
      </c>
      <c r="J95">
        <v>1</v>
      </c>
      <c r="K95" t="s">
        <v>16</v>
      </c>
      <c r="L95" t="s">
        <v>16</v>
      </c>
      <c r="M95" s="2" t="s">
        <v>17</v>
      </c>
      <c r="N95">
        <v>1</v>
      </c>
    </row>
    <row r="96" ht="17" spans="1:14">
      <c r="A96" s="1" t="s">
        <v>75</v>
      </c>
      <c r="B96" t="s">
        <v>15</v>
      </c>
      <c r="C96" t="str">
        <f t="shared" si="4"/>
        <v>OS</v>
      </c>
      <c r="D96">
        <v>3</v>
      </c>
      <c r="E96" t="str">
        <f t="shared" si="5"/>
        <v>Inconsistent</v>
      </c>
      <c r="F96" t="str">
        <f t="shared" si="6"/>
        <v>Low</v>
      </c>
      <c r="G96" t="str">
        <f t="shared" si="7"/>
        <v>LOW</v>
      </c>
      <c r="H96">
        <v>0</v>
      </c>
      <c r="I96">
        <v>1</v>
      </c>
      <c r="J96">
        <v>0</v>
      </c>
      <c r="K96" t="s">
        <v>16</v>
      </c>
      <c r="L96" t="s">
        <v>16</v>
      </c>
      <c r="M96" s="2" t="s">
        <v>17</v>
      </c>
      <c r="N96">
        <v>1</v>
      </c>
    </row>
    <row r="97" ht="17" spans="1:14">
      <c r="A97" s="1" t="s">
        <v>113</v>
      </c>
      <c r="B97" t="s">
        <v>40</v>
      </c>
      <c r="C97" t="str">
        <f t="shared" si="4"/>
        <v>TS</v>
      </c>
      <c r="D97">
        <v>3</v>
      </c>
      <c r="E97" t="str">
        <f t="shared" si="5"/>
        <v>Consistent</v>
      </c>
      <c r="F97" t="s">
        <v>27</v>
      </c>
      <c r="G97" t="str">
        <f t="shared" si="7"/>
        <v>LOW</v>
      </c>
      <c r="H97">
        <v>1</v>
      </c>
      <c r="I97">
        <v>0</v>
      </c>
      <c r="J97">
        <v>1</v>
      </c>
      <c r="K97">
        <v>1</v>
      </c>
      <c r="L97" t="s">
        <v>16</v>
      </c>
      <c r="M97" s="2" t="s">
        <v>17</v>
      </c>
      <c r="N97">
        <v>1</v>
      </c>
    </row>
    <row r="98" ht="17" spans="1:14">
      <c r="A98" s="1" t="s">
        <v>114</v>
      </c>
      <c r="B98" t="s">
        <v>22</v>
      </c>
      <c r="C98" t="str">
        <f t="shared" si="4"/>
        <v>OS</v>
      </c>
      <c r="D98">
        <v>3</v>
      </c>
      <c r="E98" t="str">
        <f t="shared" si="5"/>
        <v>Inconsistent</v>
      </c>
      <c r="F98" t="str">
        <f t="shared" si="6"/>
        <v>Low</v>
      </c>
      <c r="G98" t="str">
        <f t="shared" si="7"/>
        <v>LOW</v>
      </c>
      <c r="H98">
        <v>0</v>
      </c>
      <c r="I98">
        <v>0</v>
      </c>
      <c r="J98">
        <v>1</v>
      </c>
      <c r="K98" t="s">
        <v>16</v>
      </c>
      <c r="L98" t="s">
        <v>16</v>
      </c>
      <c r="M98" s="2" t="s">
        <v>17</v>
      </c>
      <c r="N98">
        <v>1</v>
      </c>
    </row>
    <row r="99" ht="17" spans="1:14">
      <c r="A99" s="1" t="s">
        <v>57</v>
      </c>
      <c r="B99" t="s">
        <v>15</v>
      </c>
      <c r="C99" t="str">
        <f t="shared" si="4"/>
        <v>OS</v>
      </c>
      <c r="D99">
        <v>3</v>
      </c>
      <c r="E99" t="str">
        <f t="shared" si="5"/>
        <v>Inconsistent</v>
      </c>
      <c r="F99" t="str">
        <f t="shared" si="6"/>
        <v>Low</v>
      </c>
      <c r="G99" t="str">
        <f t="shared" si="7"/>
        <v>LOW</v>
      </c>
      <c r="H99">
        <v>0</v>
      </c>
      <c r="I99">
        <v>1</v>
      </c>
      <c r="J99">
        <v>0</v>
      </c>
      <c r="K99" t="s">
        <v>16</v>
      </c>
      <c r="L99" t="s">
        <v>16</v>
      </c>
      <c r="M99" s="2" t="s">
        <v>17</v>
      </c>
      <c r="N99">
        <v>1</v>
      </c>
    </row>
    <row r="100" ht="17" spans="1:14">
      <c r="A100" s="1" t="s">
        <v>115</v>
      </c>
      <c r="B100" t="s">
        <v>22</v>
      </c>
      <c r="C100" t="str">
        <f t="shared" si="4"/>
        <v>OS</v>
      </c>
      <c r="D100">
        <v>3</v>
      </c>
      <c r="E100" t="str">
        <f t="shared" si="5"/>
        <v>Inconsistent</v>
      </c>
      <c r="F100" t="str">
        <f t="shared" si="6"/>
        <v>Low</v>
      </c>
      <c r="G100" t="str">
        <f t="shared" si="7"/>
        <v>LOW</v>
      </c>
      <c r="H100">
        <v>0</v>
      </c>
      <c r="I100">
        <v>0</v>
      </c>
      <c r="J100">
        <v>1</v>
      </c>
      <c r="K100" t="s">
        <v>16</v>
      </c>
      <c r="L100" t="s">
        <v>16</v>
      </c>
      <c r="M100" s="2" t="s">
        <v>17</v>
      </c>
      <c r="N100">
        <v>1</v>
      </c>
    </row>
    <row r="101" ht="34" spans="1:14">
      <c r="A101" s="1" t="s">
        <v>116</v>
      </c>
      <c r="B101" t="s">
        <v>22</v>
      </c>
      <c r="C101" t="str">
        <f t="shared" si="4"/>
        <v>OS</v>
      </c>
      <c r="D101">
        <v>3</v>
      </c>
      <c r="E101" t="str">
        <f t="shared" si="5"/>
        <v>Inconsistent</v>
      </c>
      <c r="F101" t="str">
        <f t="shared" si="6"/>
        <v>Low</v>
      </c>
      <c r="G101" t="str">
        <f t="shared" si="7"/>
        <v>LOW</v>
      </c>
      <c r="H101">
        <v>0</v>
      </c>
      <c r="I101">
        <v>0</v>
      </c>
      <c r="J101">
        <v>1</v>
      </c>
      <c r="K101" t="s">
        <v>16</v>
      </c>
      <c r="L101" t="s">
        <v>16</v>
      </c>
      <c r="M101" s="2" t="s">
        <v>17</v>
      </c>
      <c r="N101">
        <v>1</v>
      </c>
    </row>
    <row r="102" ht="34" spans="1:14">
      <c r="A102" s="1" t="s">
        <v>117</v>
      </c>
      <c r="B102" t="s">
        <v>40</v>
      </c>
      <c r="C102" t="str">
        <f t="shared" si="4"/>
        <v>TS</v>
      </c>
      <c r="D102">
        <v>3</v>
      </c>
      <c r="E102" t="str">
        <f t="shared" si="5"/>
        <v>Consistent</v>
      </c>
      <c r="F102" t="str">
        <f t="shared" si="6"/>
        <v>High</v>
      </c>
      <c r="G102" t="str">
        <f t="shared" si="7"/>
        <v>HIGH</v>
      </c>
      <c r="H102">
        <v>0</v>
      </c>
      <c r="I102">
        <v>0</v>
      </c>
      <c r="J102">
        <v>1</v>
      </c>
      <c r="K102" t="s">
        <v>16</v>
      </c>
      <c r="L102" t="s">
        <v>16</v>
      </c>
      <c r="M102" s="2" t="s">
        <v>17</v>
      </c>
      <c r="N102">
        <v>1</v>
      </c>
    </row>
    <row r="103" ht="17" spans="1:14">
      <c r="A103" s="1" t="s">
        <v>118</v>
      </c>
      <c r="B103" t="s">
        <v>22</v>
      </c>
      <c r="C103" t="str">
        <f t="shared" si="4"/>
        <v>OS</v>
      </c>
      <c r="D103">
        <v>3</v>
      </c>
      <c r="E103" t="str">
        <f t="shared" si="5"/>
        <v>Inconsistent</v>
      </c>
      <c r="F103" t="str">
        <f t="shared" si="6"/>
        <v>Low</v>
      </c>
      <c r="G103" t="str">
        <f t="shared" si="7"/>
        <v>LOW</v>
      </c>
      <c r="H103">
        <v>0</v>
      </c>
      <c r="I103">
        <v>0</v>
      </c>
      <c r="J103">
        <v>1</v>
      </c>
      <c r="K103" t="s">
        <v>16</v>
      </c>
      <c r="L103" t="s">
        <v>16</v>
      </c>
      <c r="M103" s="2" t="s">
        <v>17</v>
      </c>
      <c r="N103">
        <v>1</v>
      </c>
    </row>
    <row r="104" ht="17" spans="1:14">
      <c r="A104" s="1" t="s">
        <v>119</v>
      </c>
      <c r="B104" t="s">
        <v>22</v>
      </c>
      <c r="C104" t="str">
        <f t="shared" si="4"/>
        <v>OS</v>
      </c>
      <c r="D104">
        <v>3</v>
      </c>
      <c r="E104" t="str">
        <f t="shared" si="5"/>
        <v>Inconsistent</v>
      </c>
      <c r="F104" t="str">
        <f t="shared" si="6"/>
        <v>Low</v>
      </c>
      <c r="G104" t="str">
        <f t="shared" si="7"/>
        <v>LOW</v>
      </c>
      <c r="H104">
        <v>0</v>
      </c>
      <c r="I104">
        <v>0</v>
      </c>
      <c r="J104">
        <v>1</v>
      </c>
      <c r="K104" t="s">
        <v>16</v>
      </c>
      <c r="L104" t="s">
        <v>16</v>
      </c>
      <c r="M104" s="2" t="s">
        <v>17</v>
      </c>
      <c r="N104">
        <v>1</v>
      </c>
    </row>
    <row r="105" ht="17" spans="1:14">
      <c r="A105" s="1" t="s">
        <v>120</v>
      </c>
      <c r="B105" t="s">
        <v>40</v>
      </c>
      <c r="C105" t="str">
        <f t="shared" si="4"/>
        <v>TS</v>
      </c>
      <c r="D105">
        <v>3</v>
      </c>
      <c r="E105" t="str">
        <f t="shared" si="5"/>
        <v>Consistent</v>
      </c>
      <c r="F105" t="str">
        <f t="shared" si="6"/>
        <v>High</v>
      </c>
      <c r="G105" t="str">
        <f t="shared" si="7"/>
        <v>HIGH</v>
      </c>
      <c r="H105">
        <v>0</v>
      </c>
      <c r="I105">
        <v>0</v>
      </c>
      <c r="J105">
        <v>1</v>
      </c>
      <c r="K105" t="s">
        <v>16</v>
      </c>
      <c r="L105" t="s">
        <v>16</v>
      </c>
      <c r="M105" s="2" t="s">
        <v>17</v>
      </c>
      <c r="N105">
        <v>1</v>
      </c>
    </row>
    <row r="106" ht="17" spans="1:14">
      <c r="A106" s="1" t="s">
        <v>121</v>
      </c>
      <c r="B106" t="s">
        <v>15</v>
      </c>
      <c r="C106" t="str">
        <f t="shared" si="4"/>
        <v>OS</v>
      </c>
      <c r="D106">
        <v>3</v>
      </c>
      <c r="E106" t="str">
        <f t="shared" si="5"/>
        <v>Inconsistent</v>
      </c>
      <c r="F106" t="str">
        <f t="shared" si="6"/>
        <v>Low</v>
      </c>
      <c r="G106" t="str">
        <f t="shared" si="7"/>
        <v>LOW</v>
      </c>
      <c r="H106">
        <v>0</v>
      </c>
      <c r="I106">
        <v>1</v>
      </c>
      <c r="J106">
        <v>0</v>
      </c>
      <c r="K106" t="s">
        <v>16</v>
      </c>
      <c r="L106" t="s">
        <v>16</v>
      </c>
      <c r="M106" s="2" t="s">
        <v>17</v>
      </c>
      <c r="N106">
        <v>1</v>
      </c>
    </row>
    <row r="107" ht="17" spans="1:14">
      <c r="A107" s="1" t="s">
        <v>122</v>
      </c>
      <c r="B107" t="s">
        <v>22</v>
      </c>
      <c r="C107" t="str">
        <f t="shared" si="4"/>
        <v>OS</v>
      </c>
      <c r="D107">
        <v>3</v>
      </c>
      <c r="E107" t="str">
        <f t="shared" si="5"/>
        <v>Inconsistent</v>
      </c>
      <c r="F107" t="str">
        <f t="shared" si="6"/>
        <v>Low</v>
      </c>
      <c r="G107" t="str">
        <f t="shared" si="7"/>
        <v>LOW</v>
      </c>
      <c r="H107">
        <v>0</v>
      </c>
      <c r="I107">
        <v>0</v>
      </c>
      <c r="J107">
        <v>1</v>
      </c>
      <c r="K107" t="s">
        <v>16</v>
      </c>
      <c r="L107" t="s">
        <v>16</v>
      </c>
      <c r="M107" s="2" t="s">
        <v>17</v>
      </c>
      <c r="N107">
        <v>1</v>
      </c>
    </row>
    <row r="108" ht="34" spans="1:14">
      <c r="A108" s="1" t="s">
        <v>123</v>
      </c>
      <c r="B108" t="s">
        <v>40</v>
      </c>
      <c r="C108" t="str">
        <f t="shared" si="4"/>
        <v>TS</v>
      </c>
      <c r="D108">
        <v>3</v>
      </c>
      <c r="E108" t="str">
        <f t="shared" si="5"/>
        <v>Consistent</v>
      </c>
      <c r="F108" t="str">
        <f t="shared" si="6"/>
        <v>High</v>
      </c>
      <c r="G108" t="str">
        <f t="shared" si="7"/>
        <v>HIGH</v>
      </c>
      <c r="H108">
        <v>1</v>
      </c>
      <c r="I108">
        <v>1</v>
      </c>
      <c r="J108">
        <v>1</v>
      </c>
      <c r="K108" t="s">
        <v>16</v>
      </c>
      <c r="L108" t="s">
        <v>16</v>
      </c>
      <c r="M108" s="2" t="s">
        <v>17</v>
      </c>
      <c r="N108">
        <v>1</v>
      </c>
    </row>
    <row r="109" ht="17" spans="1:14">
      <c r="A109" s="1" t="s">
        <v>124</v>
      </c>
      <c r="B109" t="s">
        <v>22</v>
      </c>
      <c r="C109" t="str">
        <f t="shared" si="4"/>
        <v>OS</v>
      </c>
      <c r="D109">
        <v>3</v>
      </c>
      <c r="E109" t="str">
        <f t="shared" si="5"/>
        <v>Inconsistent</v>
      </c>
      <c r="F109" t="str">
        <f t="shared" si="6"/>
        <v>Low</v>
      </c>
      <c r="G109" t="str">
        <f t="shared" si="7"/>
        <v>LOW</v>
      </c>
      <c r="H109">
        <v>0</v>
      </c>
      <c r="I109">
        <v>1</v>
      </c>
      <c r="J109">
        <v>0</v>
      </c>
      <c r="K109" t="s">
        <v>16</v>
      </c>
      <c r="L109" t="s">
        <v>16</v>
      </c>
      <c r="M109" s="2" t="s">
        <v>17</v>
      </c>
      <c r="N109">
        <v>1</v>
      </c>
    </row>
    <row r="110" ht="51" spans="1:14">
      <c r="A110" s="1" t="s">
        <v>125</v>
      </c>
      <c r="B110" t="s">
        <v>22</v>
      </c>
      <c r="C110" t="str">
        <f t="shared" si="4"/>
        <v>OS</v>
      </c>
      <c r="D110">
        <v>3</v>
      </c>
      <c r="E110" t="str">
        <f t="shared" si="5"/>
        <v>Inconsistent</v>
      </c>
      <c r="F110" t="str">
        <f t="shared" si="6"/>
        <v>Low</v>
      </c>
      <c r="G110" t="str">
        <f t="shared" si="7"/>
        <v>LOW</v>
      </c>
      <c r="H110">
        <v>0</v>
      </c>
      <c r="I110">
        <v>0</v>
      </c>
      <c r="J110">
        <v>1</v>
      </c>
      <c r="K110" t="s">
        <v>16</v>
      </c>
      <c r="L110" t="s">
        <v>16</v>
      </c>
      <c r="M110" s="2" t="s">
        <v>17</v>
      </c>
      <c r="N110">
        <v>1</v>
      </c>
    </row>
    <row r="111" ht="17" spans="1:14">
      <c r="A111" s="1" t="s">
        <v>57</v>
      </c>
      <c r="B111" t="s">
        <v>15</v>
      </c>
      <c r="C111" t="str">
        <f t="shared" si="4"/>
        <v>OS</v>
      </c>
      <c r="D111">
        <v>3</v>
      </c>
      <c r="E111" t="str">
        <f t="shared" si="5"/>
        <v>Inconsistent</v>
      </c>
      <c r="F111" t="str">
        <f t="shared" si="6"/>
        <v>Low</v>
      </c>
      <c r="G111" t="str">
        <f t="shared" si="7"/>
        <v>LOW</v>
      </c>
      <c r="H111">
        <v>0</v>
      </c>
      <c r="I111">
        <v>1</v>
      </c>
      <c r="J111">
        <v>0</v>
      </c>
      <c r="K111" t="s">
        <v>16</v>
      </c>
      <c r="L111" t="s">
        <v>16</v>
      </c>
      <c r="M111" s="2" t="s">
        <v>17</v>
      </c>
      <c r="N111">
        <v>1</v>
      </c>
    </row>
    <row r="112" ht="34" spans="1:14">
      <c r="A112" s="1" t="s">
        <v>126</v>
      </c>
      <c r="B112" t="s">
        <v>40</v>
      </c>
      <c r="C112" t="str">
        <f t="shared" si="4"/>
        <v>TS</v>
      </c>
      <c r="D112">
        <v>3</v>
      </c>
      <c r="E112" t="str">
        <f t="shared" si="5"/>
        <v>Consistent</v>
      </c>
      <c r="F112" t="str">
        <f t="shared" si="6"/>
        <v>High</v>
      </c>
      <c r="G112" t="str">
        <f t="shared" si="7"/>
        <v>HIGH</v>
      </c>
      <c r="H112">
        <v>0</v>
      </c>
      <c r="I112" s="6">
        <v>1</v>
      </c>
      <c r="J112">
        <v>1</v>
      </c>
      <c r="K112" t="s">
        <v>16</v>
      </c>
      <c r="L112" t="s">
        <v>16</v>
      </c>
      <c r="M112" s="2" t="s">
        <v>17</v>
      </c>
      <c r="N112">
        <v>1</v>
      </c>
    </row>
    <row r="113" ht="34" spans="1:14">
      <c r="A113" s="1" t="s">
        <v>127</v>
      </c>
      <c r="B113" t="s">
        <v>22</v>
      </c>
      <c r="C113" t="str">
        <f t="shared" si="4"/>
        <v>OS</v>
      </c>
      <c r="D113">
        <v>3</v>
      </c>
      <c r="E113" t="str">
        <f t="shared" si="5"/>
        <v>Inconsistent</v>
      </c>
      <c r="F113" t="str">
        <f t="shared" si="6"/>
        <v>Low</v>
      </c>
      <c r="G113" t="str">
        <f t="shared" si="7"/>
        <v>LOW</v>
      </c>
      <c r="H113">
        <v>0</v>
      </c>
      <c r="I113">
        <v>0</v>
      </c>
      <c r="J113">
        <v>1</v>
      </c>
      <c r="K113" t="s">
        <v>16</v>
      </c>
      <c r="L113" t="s">
        <v>16</v>
      </c>
      <c r="M113" s="2" t="s">
        <v>17</v>
      </c>
      <c r="N113">
        <v>1</v>
      </c>
    </row>
    <row r="114" ht="34" spans="1:14">
      <c r="A114" s="1" t="s">
        <v>128</v>
      </c>
      <c r="B114" t="s">
        <v>22</v>
      </c>
      <c r="C114" t="str">
        <f t="shared" si="4"/>
        <v>OS</v>
      </c>
      <c r="D114">
        <v>3</v>
      </c>
      <c r="E114" t="str">
        <f t="shared" si="5"/>
        <v>Inconsistent</v>
      </c>
      <c r="F114" t="str">
        <f t="shared" si="6"/>
        <v>Low</v>
      </c>
      <c r="G114" t="str">
        <f t="shared" si="7"/>
        <v>LOW</v>
      </c>
      <c r="H114">
        <v>0</v>
      </c>
      <c r="I114">
        <v>0</v>
      </c>
      <c r="J114">
        <v>1</v>
      </c>
      <c r="K114" t="s">
        <v>16</v>
      </c>
      <c r="L114" t="s">
        <v>16</v>
      </c>
      <c r="M114" s="2" t="s">
        <v>17</v>
      </c>
      <c r="N114">
        <v>1</v>
      </c>
    </row>
    <row r="115" ht="34" spans="1:14">
      <c r="A115" s="1" t="s">
        <v>129</v>
      </c>
      <c r="B115" t="s">
        <v>15</v>
      </c>
      <c r="C115" t="str">
        <f t="shared" si="4"/>
        <v>OS</v>
      </c>
      <c r="D115">
        <v>3</v>
      </c>
      <c r="E115" t="str">
        <f t="shared" si="5"/>
        <v>Inconsistent</v>
      </c>
      <c r="F115" t="str">
        <f t="shared" si="6"/>
        <v>Low</v>
      </c>
      <c r="G115" t="str">
        <f t="shared" si="7"/>
        <v>LOW</v>
      </c>
      <c r="H115">
        <v>0</v>
      </c>
      <c r="I115">
        <v>0</v>
      </c>
      <c r="J115">
        <v>1</v>
      </c>
      <c r="K115" t="s">
        <v>16</v>
      </c>
      <c r="L115" t="s">
        <v>16</v>
      </c>
      <c r="M115" s="2" t="s">
        <v>17</v>
      </c>
      <c r="N115">
        <v>1</v>
      </c>
    </row>
    <row r="116" ht="34" spans="1:14">
      <c r="A116" s="1" t="s">
        <v>130</v>
      </c>
      <c r="B116" t="s">
        <v>22</v>
      </c>
      <c r="C116" t="str">
        <f t="shared" si="4"/>
        <v>OS</v>
      </c>
      <c r="D116">
        <v>3</v>
      </c>
      <c r="E116" t="str">
        <f t="shared" si="5"/>
        <v>Inconsistent</v>
      </c>
      <c r="F116" t="str">
        <f t="shared" si="6"/>
        <v>Low</v>
      </c>
      <c r="G116" t="str">
        <f t="shared" si="7"/>
        <v>LOW</v>
      </c>
      <c r="H116">
        <v>0</v>
      </c>
      <c r="I116">
        <v>0</v>
      </c>
      <c r="J116">
        <v>1</v>
      </c>
      <c r="K116" t="s">
        <v>16</v>
      </c>
      <c r="L116" t="s">
        <v>16</v>
      </c>
      <c r="M116" s="2" t="s">
        <v>17</v>
      </c>
      <c r="N116">
        <v>1</v>
      </c>
    </row>
    <row r="117" ht="51" spans="1:14">
      <c r="A117" s="1" t="s">
        <v>131</v>
      </c>
      <c r="B117" t="s">
        <v>22</v>
      </c>
      <c r="C117" t="str">
        <f t="shared" si="4"/>
        <v>OS</v>
      </c>
      <c r="D117">
        <v>3</v>
      </c>
      <c r="E117" t="str">
        <f t="shared" si="5"/>
        <v>Inconsistent</v>
      </c>
      <c r="F117" t="str">
        <f t="shared" si="6"/>
        <v>Low</v>
      </c>
      <c r="G117" t="str">
        <f t="shared" si="7"/>
        <v>LOW</v>
      </c>
      <c r="H117">
        <v>0</v>
      </c>
      <c r="I117">
        <v>0</v>
      </c>
      <c r="J117">
        <v>1</v>
      </c>
      <c r="K117" t="s">
        <v>16</v>
      </c>
      <c r="L117" t="s">
        <v>16</v>
      </c>
      <c r="M117" s="2" t="s">
        <v>17</v>
      </c>
      <c r="N117">
        <v>1</v>
      </c>
    </row>
    <row r="118" ht="101" spans="1:14">
      <c r="A118" s="1" t="s">
        <v>132</v>
      </c>
      <c r="B118" t="s">
        <v>40</v>
      </c>
      <c r="C118" t="str">
        <f t="shared" si="4"/>
        <v>TS</v>
      </c>
      <c r="D118">
        <v>3</v>
      </c>
      <c r="E118" t="str">
        <f t="shared" si="5"/>
        <v>Consistent</v>
      </c>
      <c r="F118" t="str">
        <f t="shared" si="6"/>
        <v>High</v>
      </c>
      <c r="G118" t="str">
        <f t="shared" si="7"/>
        <v>HIGH</v>
      </c>
      <c r="H118">
        <v>1</v>
      </c>
      <c r="I118">
        <v>0</v>
      </c>
      <c r="J118">
        <v>1</v>
      </c>
      <c r="K118" t="s">
        <v>16</v>
      </c>
      <c r="L118" t="s">
        <v>16</v>
      </c>
      <c r="M118" s="2" t="s">
        <v>17</v>
      </c>
      <c r="N118">
        <v>1</v>
      </c>
    </row>
    <row r="119" ht="34" spans="1:14">
      <c r="A119" s="1" t="s">
        <v>133</v>
      </c>
      <c r="B119" t="s">
        <v>40</v>
      </c>
      <c r="C119" t="str">
        <f t="shared" si="4"/>
        <v>TS</v>
      </c>
      <c r="D119">
        <v>3</v>
      </c>
      <c r="E119" t="str">
        <f t="shared" si="5"/>
        <v>Consistent</v>
      </c>
      <c r="F119" t="str">
        <f t="shared" si="6"/>
        <v>High</v>
      </c>
      <c r="G119" t="str">
        <f t="shared" si="7"/>
        <v>HIGH</v>
      </c>
      <c r="H119">
        <v>0</v>
      </c>
      <c r="I119">
        <v>1</v>
      </c>
      <c r="J119">
        <v>1</v>
      </c>
      <c r="K119" t="s">
        <v>16</v>
      </c>
      <c r="L119" t="s">
        <v>16</v>
      </c>
      <c r="M119" s="2" t="s">
        <v>17</v>
      </c>
      <c r="N119">
        <v>1</v>
      </c>
    </row>
    <row r="120" ht="34" spans="1:14">
      <c r="A120" s="1" t="s">
        <v>134</v>
      </c>
      <c r="B120" t="s">
        <v>15</v>
      </c>
      <c r="C120" t="str">
        <f t="shared" si="4"/>
        <v>OS</v>
      </c>
      <c r="D120">
        <v>3</v>
      </c>
      <c r="E120" t="str">
        <f t="shared" si="5"/>
        <v>Inconsistent</v>
      </c>
      <c r="F120" t="str">
        <f t="shared" si="6"/>
        <v>Low</v>
      </c>
      <c r="G120" t="str">
        <f t="shared" si="7"/>
        <v>LOW</v>
      </c>
      <c r="H120">
        <v>0</v>
      </c>
      <c r="I120">
        <v>1</v>
      </c>
      <c r="J120">
        <v>0</v>
      </c>
      <c r="K120" t="s">
        <v>16</v>
      </c>
      <c r="L120" t="s">
        <v>16</v>
      </c>
      <c r="M120" s="2" t="s">
        <v>17</v>
      </c>
      <c r="N120">
        <v>1</v>
      </c>
    </row>
    <row r="121" ht="17" spans="1:14">
      <c r="A121" s="1" t="s">
        <v>135</v>
      </c>
      <c r="B121" t="s">
        <v>22</v>
      </c>
      <c r="C121" t="str">
        <f t="shared" si="4"/>
        <v>OS</v>
      </c>
      <c r="D121">
        <v>3</v>
      </c>
      <c r="E121" t="str">
        <f t="shared" si="5"/>
        <v>Inconsistent</v>
      </c>
      <c r="F121" t="str">
        <f t="shared" si="6"/>
        <v>Low</v>
      </c>
      <c r="G121" t="str">
        <f t="shared" si="7"/>
        <v>LOW</v>
      </c>
      <c r="H121">
        <v>0</v>
      </c>
      <c r="I121">
        <v>0</v>
      </c>
      <c r="J121">
        <v>1</v>
      </c>
      <c r="K121" t="s">
        <v>16</v>
      </c>
      <c r="L121" t="s">
        <v>16</v>
      </c>
      <c r="M121" s="2" t="s">
        <v>17</v>
      </c>
      <c r="N121">
        <v>1</v>
      </c>
    </row>
    <row r="122" ht="17" spans="1:14">
      <c r="A122" s="1" t="s">
        <v>136</v>
      </c>
      <c r="B122" t="s">
        <v>15</v>
      </c>
      <c r="C122" t="str">
        <f t="shared" si="4"/>
        <v>OS</v>
      </c>
      <c r="D122">
        <v>3</v>
      </c>
      <c r="E122" t="str">
        <f t="shared" si="5"/>
        <v>Inconsistent</v>
      </c>
      <c r="F122" t="str">
        <f t="shared" si="6"/>
        <v>Low</v>
      </c>
      <c r="G122" t="str">
        <f t="shared" si="7"/>
        <v>LOW</v>
      </c>
      <c r="H122">
        <v>0</v>
      </c>
      <c r="I122">
        <v>1</v>
      </c>
      <c r="J122">
        <v>0</v>
      </c>
      <c r="K122" t="s">
        <v>16</v>
      </c>
      <c r="L122" t="s">
        <v>16</v>
      </c>
      <c r="M122" s="2" t="s">
        <v>17</v>
      </c>
      <c r="N122">
        <v>1</v>
      </c>
    </row>
    <row r="123" ht="34" spans="1:14">
      <c r="A123" s="1" t="s">
        <v>137</v>
      </c>
      <c r="B123" t="s">
        <v>40</v>
      </c>
      <c r="C123" t="str">
        <f t="shared" si="4"/>
        <v>TS</v>
      </c>
      <c r="D123">
        <v>3</v>
      </c>
      <c r="E123" t="str">
        <f t="shared" si="5"/>
        <v>Consistent</v>
      </c>
      <c r="F123" t="str">
        <f t="shared" si="6"/>
        <v>High</v>
      </c>
      <c r="G123" t="str">
        <f t="shared" si="7"/>
        <v>HIGH</v>
      </c>
      <c r="H123">
        <v>0</v>
      </c>
      <c r="I123">
        <v>0</v>
      </c>
      <c r="J123">
        <v>1</v>
      </c>
      <c r="K123" t="s">
        <v>16</v>
      </c>
      <c r="L123" t="s">
        <v>16</v>
      </c>
      <c r="M123" s="2" t="s">
        <v>17</v>
      </c>
      <c r="N123">
        <v>1</v>
      </c>
    </row>
    <row r="124" ht="17" spans="1:14">
      <c r="A124" s="1" t="s">
        <v>138</v>
      </c>
      <c r="B124" t="s">
        <v>15</v>
      </c>
      <c r="C124" t="str">
        <f t="shared" si="4"/>
        <v>OS</v>
      </c>
      <c r="D124">
        <v>3</v>
      </c>
      <c r="E124" t="str">
        <f t="shared" si="5"/>
        <v>Inconsistent</v>
      </c>
      <c r="F124" t="str">
        <f t="shared" si="6"/>
        <v>Low</v>
      </c>
      <c r="G124" t="str">
        <f t="shared" si="7"/>
        <v>LOW</v>
      </c>
      <c r="H124">
        <v>0</v>
      </c>
      <c r="I124">
        <v>1</v>
      </c>
      <c r="J124">
        <v>0</v>
      </c>
      <c r="K124" t="s">
        <v>16</v>
      </c>
      <c r="L124" t="s">
        <v>16</v>
      </c>
      <c r="M124" s="2" t="s">
        <v>17</v>
      </c>
      <c r="N124">
        <v>1</v>
      </c>
    </row>
    <row r="125" ht="17" spans="1:14">
      <c r="A125" s="1" t="s">
        <v>139</v>
      </c>
      <c r="B125" t="s">
        <v>22</v>
      </c>
      <c r="C125" t="str">
        <f t="shared" si="4"/>
        <v>OS</v>
      </c>
      <c r="D125">
        <v>3</v>
      </c>
      <c r="E125" t="str">
        <f t="shared" si="5"/>
        <v>Inconsistent</v>
      </c>
      <c r="F125" t="str">
        <f t="shared" si="6"/>
        <v>Low</v>
      </c>
      <c r="G125" t="str">
        <f t="shared" si="7"/>
        <v>LOW</v>
      </c>
      <c r="H125">
        <v>0</v>
      </c>
      <c r="I125">
        <v>0</v>
      </c>
      <c r="J125">
        <v>1</v>
      </c>
      <c r="K125" t="s">
        <v>16</v>
      </c>
      <c r="L125" t="s">
        <v>16</v>
      </c>
      <c r="M125" s="2" t="s">
        <v>17</v>
      </c>
      <c r="N125">
        <v>1</v>
      </c>
    </row>
    <row r="126" ht="51" spans="1:14">
      <c r="A126" s="1" t="s">
        <v>140</v>
      </c>
      <c r="B126" t="s">
        <v>15</v>
      </c>
      <c r="C126" t="str">
        <f t="shared" si="4"/>
        <v>OS</v>
      </c>
      <c r="D126">
        <v>3</v>
      </c>
      <c r="E126" t="str">
        <f t="shared" si="5"/>
        <v>Inconsistent</v>
      </c>
      <c r="F126" t="s">
        <v>27</v>
      </c>
      <c r="G126" t="str">
        <f t="shared" si="7"/>
        <v>LOW</v>
      </c>
      <c r="H126">
        <v>1</v>
      </c>
      <c r="I126">
        <v>1</v>
      </c>
      <c r="J126">
        <v>0</v>
      </c>
      <c r="K126">
        <v>1</v>
      </c>
      <c r="L126" t="s">
        <v>16</v>
      </c>
      <c r="M126" s="2" t="s">
        <v>17</v>
      </c>
      <c r="N126">
        <v>1</v>
      </c>
    </row>
    <row r="127" ht="17" spans="1:14">
      <c r="A127" s="1" t="s">
        <v>141</v>
      </c>
      <c r="B127" t="s">
        <v>22</v>
      </c>
      <c r="C127" t="str">
        <f t="shared" si="4"/>
        <v>OS</v>
      </c>
      <c r="D127">
        <v>3</v>
      </c>
      <c r="E127" t="str">
        <f t="shared" si="5"/>
        <v>Inconsistent</v>
      </c>
      <c r="F127" t="str">
        <f t="shared" si="6"/>
        <v>Low</v>
      </c>
      <c r="G127" t="str">
        <f t="shared" si="7"/>
        <v>LOW</v>
      </c>
      <c r="H127">
        <v>0</v>
      </c>
      <c r="I127">
        <v>0</v>
      </c>
      <c r="J127">
        <v>1</v>
      </c>
      <c r="K127" t="s">
        <v>16</v>
      </c>
      <c r="L127" t="s">
        <v>16</v>
      </c>
      <c r="M127" s="2" t="s">
        <v>17</v>
      </c>
      <c r="N127">
        <v>1</v>
      </c>
    </row>
    <row r="128" ht="17" spans="1:14">
      <c r="A128" s="1" t="s">
        <v>142</v>
      </c>
      <c r="B128" t="s">
        <v>22</v>
      </c>
      <c r="C128" t="str">
        <f t="shared" si="4"/>
        <v>OS</v>
      </c>
      <c r="D128">
        <v>3</v>
      </c>
      <c r="E128" t="str">
        <f t="shared" si="5"/>
        <v>Inconsistent</v>
      </c>
      <c r="F128" t="str">
        <f t="shared" si="6"/>
        <v>Low</v>
      </c>
      <c r="G128" t="str">
        <f t="shared" si="7"/>
        <v>LOW</v>
      </c>
      <c r="H128">
        <v>0</v>
      </c>
      <c r="I128">
        <v>0</v>
      </c>
      <c r="J128">
        <v>1</v>
      </c>
      <c r="K128" t="s">
        <v>16</v>
      </c>
      <c r="L128" t="s">
        <v>16</v>
      </c>
      <c r="M128" s="2" t="s">
        <v>17</v>
      </c>
      <c r="N128">
        <v>1</v>
      </c>
    </row>
    <row r="129" ht="17" spans="1:14">
      <c r="A129" s="1" t="s">
        <v>143</v>
      </c>
      <c r="B129" t="s">
        <v>22</v>
      </c>
      <c r="C129" t="str">
        <f t="shared" si="4"/>
        <v>OS</v>
      </c>
      <c r="D129">
        <v>3</v>
      </c>
      <c r="E129" t="str">
        <f t="shared" si="5"/>
        <v>Inconsistent</v>
      </c>
      <c r="F129" t="str">
        <f t="shared" si="6"/>
        <v>Low</v>
      </c>
      <c r="G129" t="str">
        <f t="shared" si="7"/>
        <v>LOW</v>
      </c>
      <c r="H129">
        <v>0</v>
      </c>
      <c r="I129">
        <v>0</v>
      </c>
      <c r="J129">
        <v>1</v>
      </c>
      <c r="K129" t="s">
        <v>16</v>
      </c>
      <c r="L129" t="s">
        <v>16</v>
      </c>
      <c r="M129" s="2" t="s">
        <v>17</v>
      </c>
      <c r="N129">
        <v>1</v>
      </c>
    </row>
    <row r="130" ht="17" spans="1:14">
      <c r="A130" s="1" t="s">
        <v>144</v>
      </c>
      <c r="B130" t="s">
        <v>15</v>
      </c>
      <c r="C130" t="str">
        <f t="shared" ref="C130:C175" si="8">IF(B130="NEUTRAL","TS","OS")</f>
        <v>OS</v>
      </c>
      <c r="D130">
        <v>3</v>
      </c>
      <c r="E130" t="str">
        <f t="shared" ref="E130:E175" si="9">IF(C130="TS",IF(D130=3,"Consistent",IF(OR(D130=2,D130=4),"Partially Consistent","Inconsistent")),IF(D130=3,"Inconsistent",IF(AND(D130=5,B130="POSITIVE"),"Consistent",IF(AND(D130=1,B130="NEGATIVE"),"Consistent",IF(AND(D130=4,B130="POSITIVE"),"Partially Consistent",IF(AND(D130=2,B130="NEGATIVE"),"Partially Consistent","Inconsistent"))))))</f>
        <v>Inconsistent</v>
      </c>
      <c r="F130" t="str">
        <f t="shared" ref="F130:F175" si="10">IF(C130="TS","High","Low")</f>
        <v>Low</v>
      </c>
      <c r="G130" t="str">
        <f t="shared" ref="G130:G175" si="11">IF(AND(B130="NEUTRAL",F130="Low"),"LOW",IF(AND(C130="TS",F130="High",D130=3),"HIGH",IF(AND(C130="TS",F130="High",OR(D130=2,D130=4)),"MODERATE",IF(AND(C130="TS",F130="High",OR(D130=1,D130=5)),"LOW",IF(AND(C130="OS",E130="Consistent",OR(D130=1,D130=5)),"MODERATE",IF(AND(C130="OS",E130="Partially Consistent",OR(D130=2,D130=4)),"MODERATE","LOW"))))))</f>
        <v>LOW</v>
      </c>
      <c r="H130">
        <v>0</v>
      </c>
      <c r="I130">
        <v>0</v>
      </c>
      <c r="J130">
        <v>1</v>
      </c>
      <c r="K130" t="s">
        <v>16</v>
      </c>
      <c r="L130" t="s">
        <v>16</v>
      </c>
      <c r="M130" s="2" t="s">
        <v>17</v>
      </c>
      <c r="N130">
        <v>1</v>
      </c>
    </row>
    <row r="131" ht="17" spans="1:14">
      <c r="A131" s="1" t="s">
        <v>145</v>
      </c>
      <c r="B131" t="s">
        <v>40</v>
      </c>
      <c r="C131" t="str">
        <f t="shared" si="8"/>
        <v>TS</v>
      </c>
      <c r="D131">
        <v>3</v>
      </c>
      <c r="E131" t="str">
        <f t="shared" si="9"/>
        <v>Consistent</v>
      </c>
      <c r="F131" t="str">
        <f t="shared" si="10"/>
        <v>High</v>
      </c>
      <c r="G131" t="str">
        <f t="shared" si="11"/>
        <v>HIGH</v>
      </c>
      <c r="H131">
        <v>0</v>
      </c>
      <c r="I131">
        <v>0</v>
      </c>
      <c r="J131">
        <v>1</v>
      </c>
      <c r="K131" t="s">
        <v>16</v>
      </c>
      <c r="L131" t="s">
        <v>16</v>
      </c>
      <c r="M131" s="2" t="s">
        <v>17</v>
      </c>
      <c r="N131">
        <v>1</v>
      </c>
    </row>
    <row r="132" ht="51" spans="1:14">
      <c r="A132" s="1" t="s">
        <v>146</v>
      </c>
      <c r="B132" t="s">
        <v>22</v>
      </c>
      <c r="C132" t="str">
        <f t="shared" si="8"/>
        <v>OS</v>
      </c>
      <c r="D132">
        <v>3</v>
      </c>
      <c r="E132" t="str">
        <f t="shared" si="9"/>
        <v>Inconsistent</v>
      </c>
      <c r="F132" t="str">
        <f t="shared" si="10"/>
        <v>Low</v>
      </c>
      <c r="G132" t="str">
        <f t="shared" si="11"/>
        <v>LOW</v>
      </c>
      <c r="H132">
        <v>0</v>
      </c>
      <c r="I132">
        <v>0</v>
      </c>
      <c r="J132">
        <v>1</v>
      </c>
      <c r="K132" t="s">
        <v>16</v>
      </c>
      <c r="L132" t="s">
        <v>16</v>
      </c>
      <c r="M132" s="2" t="s">
        <v>17</v>
      </c>
      <c r="N132">
        <v>1</v>
      </c>
    </row>
    <row r="133" ht="51" spans="1:14">
      <c r="A133" s="1" t="s">
        <v>147</v>
      </c>
      <c r="B133" t="s">
        <v>22</v>
      </c>
      <c r="C133" t="str">
        <f t="shared" si="8"/>
        <v>OS</v>
      </c>
      <c r="D133">
        <v>3</v>
      </c>
      <c r="E133" t="str">
        <f t="shared" si="9"/>
        <v>Inconsistent</v>
      </c>
      <c r="F133" t="str">
        <f t="shared" si="10"/>
        <v>Low</v>
      </c>
      <c r="G133" t="str">
        <f t="shared" si="11"/>
        <v>LOW</v>
      </c>
      <c r="H133">
        <v>0</v>
      </c>
      <c r="I133">
        <v>0</v>
      </c>
      <c r="J133">
        <v>1</v>
      </c>
      <c r="K133" t="s">
        <v>16</v>
      </c>
      <c r="L133" t="s">
        <v>16</v>
      </c>
      <c r="M133" s="2" t="s">
        <v>17</v>
      </c>
      <c r="N133">
        <v>1</v>
      </c>
    </row>
    <row r="134" ht="17" spans="1:14">
      <c r="A134" s="1" t="s">
        <v>148</v>
      </c>
      <c r="B134" t="s">
        <v>40</v>
      </c>
      <c r="C134" t="str">
        <f t="shared" si="8"/>
        <v>TS</v>
      </c>
      <c r="D134">
        <v>3</v>
      </c>
      <c r="E134" t="str">
        <f t="shared" si="9"/>
        <v>Consistent</v>
      </c>
      <c r="F134" t="str">
        <f t="shared" si="10"/>
        <v>High</v>
      </c>
      <c r="G134" t="str">
        <f t="shared" si="11"/>
        <v>HIGH</v>
      </c>
      <c r="H134">
        <v>0</v>
      </c>
      <c r="I134">
        <v>0</v>
      </c>
      <c r="J134">
        <v>1</v>
      </c>
      <c r="K134" t="s">
        <v>16</v>
      </c>
      <c r="L134" t="s">
        <v>16</v>
      </c>
      <c r="M134" s="2" t="s">
        <v>17</v>
      </c>
      <c r="N134">
        <v>1</v>
      </c>
    </row>
    <row r="135" ht="34" spans="1:14">
      <c r="A135" s="1" t="s">
        <v>149</v>
      </c>
      <c r="B135" t="s">
        <v>22</v>
      </c>
      <c r="C135" t="str">
        <f t="shared" si="8"/>
        <v>OS</v>
      </c>
      <c r="D135">
        <v>3</v>
      </c>
      <c r="E135" t="str">
        <f t="shared" si="9"/>
        <v>Inconsistent</v>
      </c>
      <c r="F135" t="str">
        <f t="shared" si="10"/>
        <v>Low</v>
      </c>
      <c r="G135" t="str">
        <f t="shared" si="11"/>
        <v>LOW</v>
      </c>
      <c r="H135">
        <v>0</v>
      </c>
      <c r="I135">
        <v>0</v>
      </c>
      <c r="J135">
        <v>1</v>
      </c>
      <c r="K135" t="s">
        <v>16</v>
      </c>
      <c r="L135" t="s">
        <v>16</v>
      </c>
      <c r="M135" s="2" t="s">
        <v>17</v>
      </c>
      <c r="N135">
        <v>1</v>
      </c>
    </row>
    <row r="136" ht="17" spans="1:14">
      <c r="A136" s="1" t="s">
        <v>150</v>
      </c>
      <c r="B136" t="s">
        <v>22</v>
      </c>
      <c r="C136" t="str">
        <f t="shared" si="8"/>
        <v>OS</v>
      </c>
      <c r="D136">
        <v>3</v>
      </c>
      <c r="E136" t="str">
        <f t="shared" si="9"/>
        <v>Inconsistent</v>
      </c>
      <c r="F136" t="str">
        <f t="shared" si="10"/>
        <v>Low</v>
      </c>
      <c r="G136" t="str">
        <f t="shared" si="11"/>
        <v>LOW</v>
      </c>
      <c r="H136">
        <v>0</v>
      </c>
      <c r="I136">
        <v>0</v>
      </c>
      <c r="J136">
        <v>1</v>
      </c>
      <c r="K136" t="s">
        <v>16</v>
      </c>
      <c r="L136" t="s">
        <v>16</v>
      </c>
      <c r="M136" s="2" t="s">
        <v>17</v>
      </c>
      <c r="N136">
        <v>1</v>
      </c>
    </row>
    <row r="137" ht="17" spans="1:14">
      <c r="A137" s="1" t="s">
        <v>151</v>
      </c>
      <c r="B137" t="s">
        <v>15</v>
      </c>
      <c r="C137" t="str">
        <f t="shared" si="8"/>
        <v>OS</v>
      </c>
      <c r="D137">
        <v>3</v>
      </c>
      <c r="E137" t="str">
        <f t="shared" si="9"/>
        <v>Inconsistent</v>
      </c>
      <c r="F137" t="str">
        <f t="shared" si="10"/>
        <v>Low</v>
      </c>
      <c r="G137" t="str">
        <f t="shared" si="11"/>
        <v>LOW</v>
      </c>
      <c r="H137">
        <v>0</v>
      </c>
      <c r="I137">
        <v>0</v>
      </c>
      <c r="J137">
        <v>1</v>
      </c>
      <c r="K137" t="s">
        <v>16</v>
      </c>
      <c r="L137" t="s">
        <v>16</v>
      </c>
      <c r="M137" s="2" t="s">
        <v>17</v>
      </c>
      <c r="N137">
        <v>1</v>
      </c>
    </row>
    <row r="138" ht="17" spans="1:14">
      <c r="A138" s="1" t="s">
        <v>152</v>
      </c>
      <c r="B138" t="s">
        <v>22</v>
      </c>
      <c r="C138" t="str">
        <f t="shared" si="8"/>
        <v>OS</v>
      </c>
      <c r="D138">
        <v>3</v>
      </c>
      <c r="E138" t="str">
        <f t="shared" si="9"/>
        <v>Inconsistent</v>
      </c>
      <c r="F138" t="str">
        <f t="shared" si="10"/>
        <v>Low</v>
      </c>
      <c r="G138" t="str">
        <f t="shared" si="11"/>
        <v>LOW</v>
      </c>
      <c r="H138">
        <v>0</v>
      </c>
      <c r="I138">
        <v>0</v>
      </c>
      <c r="J138">
        <v>1</v>
      </c>
      <c r="K138" t="s">
        <v>16</v>
      </c>
      <c r="L138" t="s">
        <v>16</v>
      </c>
      <c r="M138" s="2" t="s">
        <v>17</v>
      </c>
      <c r="N138">
        <v>1</v>
      </c>
    </row>
    <row r="139" ht="17" spans="1:14">
      <c r="A139" s="1" t="s">
        <v>153</v>
      </c>
      <c r="B139" t="s">
        <v>15</v>
      </c>
      <c r="C139" t="str">
        <f t="shared" si="8"/>
        <v>OS</v>
      </c>
      <c r="D139">
        <v>3</v>
      </c>
      <c r="E139" t="str">
        <f t="shared" si="9"/>
        <v>Inconsistent</v>
      </c>
      <c r="F139" t="str">
        <f t="shared" si="10"/>
        <v>Low</v>
      </c>
      <c r="G139" t="str">
        <f t="shared" si="11"/>
        <v>LOW</v>
      </c>
      <c r="H139">
        <v>0</v>
      </c>
      <c r="I139">
        <v>1</v>
      </c>
      <c r="J139">
        <v>0</v>
      </c>
      <c r="K139" t="s">
        <v>16</v>
      </c>
      <c r="L139" t="s">
        <v>16</v>
      </c>
      <c r="M139" s="2" t="s">
        <v>17</v>
      </c>
      <c r="N139">
        <v>1</v>
      </c>
    </row>
    <row r="140" ht="17" spans="1:14">
      <c r="A140" s="1" t="s">
        <v>154</v>
      </c>
      <c r="B140" t="s">
        <v>15</v>
      </c>
      <c r="C140" t="str">
        <f t="shared" si="8"/>
        <v>OS</v>
      </c>
      <c r="D140">
        <v>3</v>
      </c>
      <c r="E140" t="str">
        <f t="shared" si="9"/>
        <v>Inconsistent</v>
      </c>
      <c r="F140" t="str">
        <f t="shared" si="10"/>
        <v>Low</v>
      </c>
      <c r="G140" t="str">
        <f t="shared" si="11"/>
        <v>LOW</v>
      </c>
      <c r="H140">
        <v>0</v>
      </c>
      <c r="I140">
        <v>0</v>
      </c>
      <c r="J140">
        <v>1</v>
      </c>
      <c r="K140" t="s">
        <v>16</v>
      </c>
      <c r="L140" t="s">
        <v>16</v>
      </c>
      <c r="M140" s="2" t="s">
        <v>17</v>
      </c>
      <c r="N140">
        <v>1</v>
      </c>
    </row>
    <row r="141" ht="51" spans="1:14">
      <c r="A141" s="1" t="s">
        <v>155</v>
      </c>
      <c r="B141" t="s">
        <v>40</v>
      </c>
      <c r="C141" t="str">
        <f t="shared" si="8"/>
        <v>TS</v>
      </c>
      <c r="D141">
        <v>3</v>
      </c>
      <c r="E141" t="str">
        <f t="shared" si="9"/>
        <v>Consistent</v>
      </c>
      <c r="F141" t="str">
        <f t="shared" si="10"/>
        <v>High</v>
      </c>
      <c r="G141" t="str">
        <f t="shared" si="11"/>
        <v>HIGH</v>
      </c>
      <c r="H141">
        <v>0</v>
      </c>
      <c r="I141">
        <v>0</v>
      </c>
      <c r="J141">
        <v>1</v>
      </c>
      <c r="K141" t="s">
        <v>16</v>
      </c>
      <c r="L141" t="s">
        <v>16</v>
      </c>
      <c r="M141" s="2" t="s">
        <v>17</v>
      </c>
      <c r="N141">
        <v>1</v>
      </c>
    </row>
    <row r="142" ht="34" spans="1:14">
      <c r="A142" s="1" t="s">
        <v>156</v>
      </c>
      <c r="B142" t="s">
        <v>40</v>
      </c>
      <c r="C142" t="str">
        <f t="shared" si="8"/>
        <v>TS</v>
      </c>
      <c r="D142">
        <v>3</v>
      </c>
      <c r="E142" t="str">
        <f t="shared" si="9"/>
        <v>Consistent</v>
      </c>
      <c r="F142" t="str">
        <f t="shared" si="10"/>
        <v>High</v>
      </c>
      <c r="G142" t="str">
        <f t="shared" si="11"/>
        <v>HIGH</v>
      </c>
      <c r="H142">
        <v>0</v>
      </c>
      <c r="I142">
        <v>0</v>
      </c>
      <c r="J142">
        <v>1</v>
      </c>
      <c r="K142" t="s">
        <v>16</v>
      </c>
      <c r="L142" t="s">
        <v>16</v>
      </c>
      <c r="M142" s="2" t="s">
        <v>17</v>
      </c>
      <c r="N142">
        <v>1</v>
      </c>
    </row>
    <row r="143" ht="34" spans="1:14">
      <c r="A143" s="1" t="s">
        <v>157</v>
      </c>
      <c r="B143" t="s">
        <v>15</v>
      </c>
      <c r="C143" t="str">
        <f t="shared" si="8"/>
        <v>OS</v>
      </c>
      <c r="D143">
        <v>3</v>
      </c>
      <c r="E143" t="str">
        <f t="shared" si="9"/>
        <v>Inconsistent</v>
      </c>
      <c r="F143" t="s">
        <v>27</v>
      </c>
      <c r="G143" t="str">
        <f t="shared" si="11"/>
        <v>LOW</v>
      </c>
      <c r="H143">
        <v>0</v>
      </c>
      <c r="I143" s="6">
        <v>1</v>
      </c>
      <c r="J143">
        <v>0</v>
      </c>
      <c r="K143">
        <v>1</v>
      </c>
      <c r="L143" t="s">
        <v>16</v>
      </c>
      <c r="M143" s="2" t="s">
        <v>17</v>
      </c>
      <c r="N143">
        <v>1</v>
      </c>
    </row>
    <row r="144" ht="17" spans="1:14">
      <c r="A144" s="1" t="s">
        <v>158</v>
      </c>
      <c r="B144" t="s">
        <v>22</v>
      </c>
      <c r="C144" t="str">
        <f t="shared" si="8"/>
        <v>OS</v>
      </c>
      <c r="D144">
        <v>3</v>
      </c>
      <c r="E144" t="str">
        <f t="shared" si="9"/>
        <v>Inconsistent</v>
      </c>
      <c r="F144" t="str">
        <f t="shared" si="10"/>
        <v>Low</v>
      </c>
      <c r="G144" t="str">
        <f t="shared" si="11"/>
        <v>LOW</v>
      </c>
      <c r="H144">
        <v>0</v>
      </c>
      <c r="I144">
        <v>0</v>
      </c>
      <c r="J144">
        <v>1</v>
      </c>
      <c r="K144" t="s">
        <v>16</v>
      </c>
      <c r="L144" t="s">
        <v>16</v>
      </c>
      <c r="M144" s="2" t="s">
        <v>17</v>
      </c>
      <c r="N144">
        <v>1</v>
      </c>
    </row>
    <row r="145" ht="17" spans="1:14">
      <c r="A145" s="1" t="s">
        <v>159</v>
      </c>
      <c r="B145" t="s">
        <v>15</v>
      </c>
      <c r="C145" t="str">
        <f t="shared" si="8"/>
        <v>OS</v>
      </c>
      <c r="D145">
        <v>3</v>
      </c>
      <c r="E145" t="str">
        <f t="shared" si="9"/>
        <v>Inconsistent</v>
      </c>
      <c r="F145" t="str">
        <f t="shared" si="10"/>
        <v>Low</v>
      </c>
      <c r="G145" t="str">
        <f t="shared" si="11"/>
        <v>LOW</v>
      </c>
      <c r="H145">
        <v>0</v>
      </c>
      <c r="I145">
        <v>1</v>
      </c>
      <c r="J145">
        <v>0</v>
      </c>
      <c r="K145" t="s">
        <v>16</v>
      </c>
      <c r="L145" t="s">
        <v>16</v>
      </c>
      <c r="M145" s="2" t="s">
        <v>17</v>
      </c>
      <c r="N145">
        <v>1</v>
      </c>
    </row>
    <row r="146" ht="34" spans="1:14">
      <c r="A146" s="1" t="s">
        <v>160</v>
      </c>
      <c r="B146" t="s">
        <v>15</v>
      </c>
      <c r="C146" t="str">
        <f t="shared" si="8"/>
        <v>OS</v>
      </c>
      <c r="D146">
        <v>3</v>
      </c>
      <c r="E146" t="str">
        <f t="shared" si="9"/>
        <v>Inconsistent</v>
      </c>
      <c r="F146" t="str">
        <f t="shared" si="10"/>
        <v>Low</v>
      </c>
      <c r="G146" t="str">
        <f t="shared" si="11"/>
        <v>LOW</v>
      </c>
      <c r="H146">
        <v>0</v>
      </c>
      <c r="I146">
        <v>1</v>
      </c>
      <c r="J146">
        <v>1</v>
      </c>
      <c r="K146" t="s">
        <v>16</v>
      </c>
      <c r="L146" t="s">
        <v>16</v>
      </c>
      <c r="M146" s="2" t="s">
        <v>17</v>
      </c>
      <c r="N146">
        <v>1</v>
      </c>
    </row>
    <row r="147" ht="17" spans="1:14">
      <c r="A147" s="1" t="s">
        <v>161</v>
      </c>
      <c r="B147" t="s">
        <v>15</v>
      </c>
      <c r="C147" t="str">
        <f t="shared" si="8"/>
        <v>OS</v>
      </c>
      <c r="D147">
        <v>3</v>
      </c>
      <c r="E147" t="str">
        <f t="shared" si="9"/>
        <v>Inconsistent</v>
      </c>
      <c r="F147" t="str">
        <f t="shared" si="10"/>
        <v>Low</v>
      </c>
      <c r="G147" t="str">
        <f t="shared" si="11"/>
        <v>LOW</v>
      </c>
      <c r="H147">
        <v>0</v>
      </c>
      <c r="I147">
        <v>1</v>
      </c>
      <c r="J147">
        <v>0</v>
      </c>
      <c r="K147" t="s">
        <v>16</v>
      </c>
      <c r="L147" t="s">
        <v>16</v>
      </c>
      <c r="M147" s="2" t="s">
        <v>17</v>
      </c>
      <c r="N147">
        <v>1</v>
      </c>
    </row>
    <row r="148" ht="17" spans="1:14">
      <c r="A148" s="1" t="s">
        <v>162</v>
      </c>
      <c r="B148" t="s">
        <v>15</v>
      </c>
      <c r="C148" t="str">
        <f t="shared" si="8"/>
        <v>OS</v>
      </c>
      <c r="D148">
        <v>3</v>
      </c>
      <c r="E148" t="str">
        <f t="shared" si="9"/>
        <v>Inconsistent</v>
      </c>
      <c r="F148" t="str">
        <f t="shared" si="10"/>
        <v>Low</v>
      </c>
      <c r="G148" t="str">
        <f t="shared" si="11"/>
        <v>LOW</v>
      </c>
      <c r="H148">
        <v>0</v>
      </c>
      <c r="I148">
        <v>1</v>
      </c>
      <c r="J148">
        <v>0</v>
      </c>
      <c r="K148" t="s">
        <v>16</v>
      </c>
      <c r="L148" t="s">
        <v>16</v>
      </c>
      <c r="M148" s="2" t="s">
        <v>17</v>
      </c>
      <c r="N148">
        <v>1</v>
      </c>
    </row>
    <row r="149" ht="17" spans="1:14">
      <c r="A149" s="1" t="s">
        <v>163</v>
      </c>
      <c r="B149" t="s">
        <v>15</v>
      </c>
      <c r="C149" t="str">
        <f t="shared" si="8"/>
        <v>OS</v>
      </c>
      <c r="D149">
        <v>3</v>
      </c>
      <c r="E149" t="str">
        <f t="shared" si="9"/>
        <v>Inconsistent</v>
      </c>
      <c r="F149" t="str">
        <f t="shared" si="10"/>
        <v>Low</v>
      </c>
      <c r="G149" t="str">
        <f t="shared" si="11"/>
        <v>LOW</v>
      </c>
      <c r="H149">
        <v>0</v>
      </c>
      <c r="I149">
        <v>1</v>
      </c>
      <c r="J149">
        <v>0</v>
      </c>
      <c r="K149" t="s">
        <v>16</v>
      </c>
      <c r="L149" t="s">
        <v>16</v>
      </c>
      <c r="M149" s="2" t="s">
        <v>17</v>
      </c>
      <c r="N149">
        <v>1</v>
      </c>
    </row>
    <row r="150" ht="51" spans="1:14">
      <c r="A150" s="1" t="s">
        <v>164</v>
      </c>
      <c r="B150" t="s">
        <v>22</v>
      </c>
      <c r="C150" t="str">
        <f t="shared" si="8"/>
        <v>OS</v>
      </c>
      <c r="D150">
        <v>3</v>
      </c>
      <c r="E150" t="str">
        <f t="shared" si="9"/>
        <v>Inconsistent</v>
      </c>
      <c r="F150" t="str">
        <f t="shared" si="10"/>
        <v>Low</v>
      </c>
      <c r="G150" t="str">
        <f t="shared" si="11"/>
        <v>LOW</v>
      </c>
      <c r="H150">
        <v>0</v>
      </c>
      <c r="I150">
        <v>0</v>
      </c>
      <c r="J150">
        <v>1</v>
      </c>
      <c r="K150" t="s">
        <v>16</v>
      </c>
      <c r="L150" t="s">
        <v>16</v>
      </c>
      <c r="M150" s="2" t="s">
        <v>17</v>
      </c>
      <c r="N150">
        <v>1</v>
      </c>
    </row>
    <row r="151" ht="34" spans="1:14">
      <c r="A151" s="1" t="s">
        <v>165</v>
      </c>
      <c r="B151" t="s">
        <v>15</v>
      </c>
      <c r="C151" t="str">
        <f t="shared" si="8"/>
        <v>OS</v>
      </c>
      <c r="D151">
        <v>3</v>
      </c>
      <c r="E151" t="str">
        <f t="shared" si="9"/>
        <v>Inconsistent</v>
      </c>
      <c r="F151" t="str">
        <f t="shared" si="10"/>
        <v>Low</v>
      </c>
      <c r="G151" t="str">
        <f t="shared" si="11"/>
        <v>LOW</v>
      </c>
      <c r="H151">
        <v>0</v>
      </c>
      <c r="I151">
        <v>1</v>
      </c>
      <c r="J151">
        <v>0</v>
      </c>
      <c r="K151" t="s">
        <v>16</v>
      </c>
      <c r="L151" t="s">
        <v>16</v>
      </c>
      <c r="M151" s="2" t="s">
        <v>17</v>
      </c>
      <c r="N151">
        <v>1</v>
      </c>
    </row>
    <row r="152" ht="17" spans="1:14">
      <c r="A152" s="1" t="s">
        <v>166</v>
      </c>
      <c r="B152" t="s">
        <v>15</v>
      </c>
      <c r="C152" t="str">
        <f t="shared" si="8"/>
        <v>OS</v>
      </c>
      <c r="D152">
        <v>3</v>
      </c>
      <c r="E152" t="str">
        <f t="shared" si="9"/>
        <v>Inconsistent</v>
      </c>
      <c r="F152" t="str">
        <f t="shared" si="10"/>
        <v>Low</v>
      </c>
      <c r="G152" t="str">
        <f t="shared" si="11"/>
        <v>LOW</v>
      </c>
      <c r="H152">
        <v>0</v>
      </c>
      <c r="I152">
        <v>0</v>
      </c>
      <c r="J152" t="s">
        <v>16</v>
      </c>
      <c r="K152" t="s">
        <v>16</v>
      </c>
      <c r="L152" t="s">
        <v>16</v>
      </c>
      <c r="M152" s="2" t="s">
        <v>17</v>
      </c>
      <c r="N152">
        <v>1</v>
      </c>
    </row>
    <row r="153" ht="17" spans="1:14">
      <c r="A153" s="1" t="s">
        <v>167</v>
      </c>
      <c r="B153" t="s">
        <v>15</v>
      </c>
      <c r="C153" t="str">
        <f t="shared" si="8"/>
        <v>OS</v>
      </c>
      <c r="D153">
        <v>3</v>
      </c>
      <c r="E153" t="str">
        <f t="shared" si="9"/>
        <v>Inconsistent</v>
      </c>
      <c r="F153" t="str">
        <f t="shared" si="10"/>
        <v>Low</v>
      </c>
      <c r="G153" t="str">
        <f t="shared" si="11"/>
        <v>LOW</v>
      </c>
      <c r="H153">
        <v>0</v>
      </c>
      <c r="I153">
        <v>1</v>
      </c>
      <c r="J153">
        <v>0</v>
      </c>
      <c r="K153" t="s">
        <v>16</v>
      </c>
      <c r="L153" t="s">
        <v>16</v>
      </c>
      <c r="M153" s="2" t="s">
        <v>17</v>
      </c>
      <c r="N153">
        <v>1</v>
      </c>
    </row>
    <row r="154" ht="17" spans="1:14">
      <c r="A154" s="1" t="s">
        <v>168</v>
      </c>
      <c r="B154" t="s">
        <v>15</v>
      </c>
      <c r="C154" t="str">
        <f t="shared" si="8"/>
        <v>OS</v>
      </c>
      <c r="D154">
        <v>3</v>
      </c>
      <c r="E154" t="str">
        <f t="shared" si="9"/>
        <v>Inconsistent</v>
      </c>
      <c r="F154" t="str">
        <f t="shared" si="10"/>
        <v>Low</v>
      </c>
      <c r="G154" t="str">
        <f t="shared" si="11"/>
        <v>LOW</v>
      </c>
      <c r="H154">
        <v>0</v>
      </c>
      <c r="I154">
        <v>1</v>
      </c>
      <c r="J154">
        <v>0</v>
      </c>
      <c r="K154" t="s">
        <v>16</v>
      </c>
      <c r="L154" t="s">
        <v>16</v>
      </c>
      <c r="M154" s="2" t="s">
        <v>17</v>
      </c>
      <c r="N154">
        <v>1</v>
      </c>
    </row>
    <row r="155" ht="17" spans="1:14">
      <c r="A155" s="1" t="s">
        <v>169</v>
      </c>
      <c r="B155" t="s">
        <v>22</v>
      </c>
      <c r="C155" t="str">
        <f t="shared" si="8"/>
        <v>OS</v>
      </c>
      <c r="D155">
        <v>3</v>
      </c>
      <c r="E155" t="str">
        <f t="shared" si="9"/>
        <v>Inconsistent</v>
      </c>
      <c r="F155" t="str">
        <f t="shared" si="10"/>
        <v>Low</v>
      </c>
      <c r="G155" t="str">
        <f t="shared" si="11"/>
        <v>LOW</v>
      </c>
      <c r="H155">
        <v>0</v>
      </c>
      <c r="I155">
        <v>0</v>
      </c>
      <c r="J155">
        <v>1</v>
      </c>
      <c r="K155" t="s">
        <v>16</v>
      </c>
      <c r="L155" t="s">
        <v>16</v>
      </c>
      <c r="M155" s="2" t="s">
        <v>17</v>
      </c>
      <c r="N155">
        <v>1</v>
      </c>
    </row>
    <row r="156" ht="17" spans="1:14">
      <c r="A156" s="1" t="s">
        <v>170</v>
      </c>
      <c r="B156" t="s">
        <v>15</v>
      </c>
      <c r="C156" t="str">
        <f t="shared" si="8"/>
        <v>OS</v>
      </c>
      <c r="D156">
        <v>3</v>
      </c>
      <c r="E156" t="str">
        <f t="shared" si="9"/>
        <v>Inconsistent</v>
      </c>
      <c r="F156" t="str">
        <f t="shared" si="10"/>
        <v>Low</v>
      </c>
      <c r="G156" t="str">
        <f t="shared" si="11"/>
        <v>LOW</v>
      </c>
      <c r="H156">
        <v>0</v>
      </c>
      <c r="I156">
        <v>0</v>
      </c>
      <c r="J156">
        <v>1</v>
      </c>
      <c r="K156" t="s">
        <v>16</v>
      </c>
      <c r="L156" t="s">
        <v>16</v>
      </c>
      <c r="M156" s="2" t="s">
        <v>17</v>
      </c>
      <c r="N156">
        <v>1</v>
      </c>
    </row>
    <row r="157" ht="68" spans="1:14">
      <c r="A157" s="1" t="s">
        <v>171</v>
      </c>
      <c r="B157" t="s">
        <v>40</v>
      </c>
      <c r="C157" t="str">
        <f t="shared" si="8"/>
        <v>TS</v>
      </c>
      <c r="D157">
        <v>3</v>
      </c>
      <c r="E157" t="str">
        <f t="shared" si="9"/>
        <v>Consistent</v>
      </c>
      <c r="F157" t="str">
        <f t="shared" si="10"/>
        <v>High</v>
      </c>
      <c r="G157" t="str">
        <f t="shared" si="11"/>
        <v>HIGH</v>
      </c>
      <c r="H157">
        <v>0</v>
      </c>
      <c r="I157">
        <v>0</v>
      </c>
      <c r="J157">
        <v>1</v>
      </c>
      <c r="K157" t="s">
        <v>16</v>
      </c>
      <c r="L157" t="s">
        <v>16</v>
      </c>
      <c r="M157" s="2" t="s">
        <v>17</v>
      </c>
      <c r="N157">
        <v>1</v>
      </c>
    </row>
    <row r="158" ht="34" spans="1:14">
      <c r="A158" s="1" t="s">
        <v>172</v>
      </c>
      <c r="B158" t="s">
        <v>15</v>
      </c>
      <c r="C158" t="str">
        <f t="shared" si="8"/>
        <v>OS</v>
      </c>
      <c r="D158">
        <v>3</v>
      </c>
      <c r="E158" t="str">
        <f t="shared" si="9"/>
        <v>Inconsistent</v>
      </c>
      <c r="F158" t="str">
        <f t="shared" si="10"/>
        <v>Low</v>
      </c>
      <c r="G158" t="str">
        <f t="shared" si="11"/>
        <v>LOW</v>
      </c>
      <c r="H158">
        <v>0</v>
      </c>
      <c r="I158">
        <v>1</v>
      </c>
      <c r="J158">
        <v>0</v>
      </c>
      <c r="K158" t="s">
        <v>16</v>
      </c>
      <c r="L158" t="s">
        <v>16</v>
      </c>
      <c r="M158" s="2" t="s">
        <v>17</v>
      </c>
      <c r="N158">
        <v>1</v>
      </c>
    </row>
    <row r="159" ht="17" spans="1:14">
      <c r="A159" s="1" t="s">
        <v>173</v>
      </c>
      <c r="B159" t="s">
        <v>15</v>
      </c>
      <c r="C159" t="str">
        <f t="shared" si="8"/>
        <v>OS</v>
      </c>
      <c r="D159">
        <v>3</v>
      </c>
      <c r="E159" t="str">
        <f t="shared" si="9"/>
        <v>Inconsistent</v>
      </c>
      <c r="F159" t="str">
        <f t="shared" si="10"/>
        <v>Low</v>
      </c>
      <c r="G159" t="str">
        <f t="shared" si="11"/>
        <v>LOW</v>
      </c>
      <c r="H159">
        <v>0</v>
      </c>
      <c r="I159">
        <v>0</v>
      </c>
      <c r="J159">
        <v>1</v>
      </c>
      <c r="K159" t="s">
        <v>16</v>
      </c>
      <c r="L159" t="s">
        <v>16</v>
      </c>
      <c r="M159" s="2" t="s">
        <v>17</v>
      </c>
      <c r="N159">
        <v>1</v>
      </c>
    </row>
    <row r="160" ht="34" spans="1:14">
      <c r="A160" s="1" t="s">
        <v>174</v>
      </c>
      <c r="B160" t="s">
        <v>40</v>
      </c>
      <c r="C160" t="str">
        <f t="shared" si="8"/>
        <v>TS</v>
      </c>
      <c r="D160">
        <v>3</v>
      </c>
      <c r="E160" t="str">
        <f t="shared" si="9"/>
        <v>Consistent</v>
      </c>
      <c r="F160" t="str">
        <f t="shared" si="10"/>
        <v>High</v>
      </c>
      <c r="G160" t="str">
        <f t="shared" si="11"/>
        <v>HIGH</v>
      </c>
      <c r="H160">
        <v>0</v>
      </c>
      <c r="I160">
        <v>0</v>
      </c>
      <c r="J160">
        <v>1</v>
      </c>
      <c r="K160" t="s">
        <v>16</v>
      </c>
      <c r="L160" t="s">
        <v>16</v>
      </c>
      <c r="M160" s="2" t="s">
        <v>17</v>
      </c>
      <c r="N160">
        <v>1</v>
      </c>
    </row>
    <row r="161" ht="17" spans="1:14">
      <c r="A161" s="1" t="s">
        <v>175</v>
      </c>
      <c r="B161" t="s">
        <v>40</v>
      </c>
      <c r="C161" t="str">
        <f t="shared" si="8"/>
        <v>TS</v>
      </c>
      <c r="D161">
        <v>3</v>
      </c>
      <c r="E161" t="str">
        <f t="shared" si="9"/>
        <v>Consistent</v>
      </c>
      <c r="F161" t="s">
        <v>27</v>
      </c>
      <c r="G161" t="str">
        <f t="shared" si="11"/>
        <v>LOW</v>
      </c>
      <c r="H161">
        <v>1</v>
      </c>
      <c r="I161">
        <v>0</v>
      </c>
      <c r="J161">
        <v>1</v>
      </c>
      <c r="K161">
        <v>1</v>
      </c>
      <c r="L161" t="s">
        <v>16</v>
      </c>
      <c r="M161" s="2" t="s">
        <v>17</v>
      </c>
      <c r="N161">
        <v>1</v>
      </c>
    </row>
    <row r="162" ht="34" spans="1:14">
      <c r="A162" s="1" t="s">
        <v>176</v>
      </c>
      <c r="B162" t="s">
        <v>40</v>
      </c>
      <c r="C162" t="str">
        <f t="shared" si="8"/>
        <v>TS</v>
      </c>
      <c r="D162">
        <v>3</v>
      </c>
      <c r="E162" t="str">
        <f t="shared" si="9"/>
        <v>Consistent</v>
      </c>
      <c r="F162" t="str">
        <f t="shared" si="10"/>
        <v>High</v>
      </c>
      <c r="G162" t="str">
        <f t="shared" si="11"/>
        <v>HIGH</v>
      </c>
      <c r="H162">
        <v>0</v>
      </c>
      <c r="I162">
        <v>0</v>
      </c>
      <c r="J162">
        <v>1</v>
      </c>
      <c r="K162" t="s">
        <v>16</v>
      </c>
      <c r="L162" t="s">
        <v>16</v>
      </c>
      <c r="M162" s="2" t="s">
        <v>17</v>
      </c>
      <c r="N162">
        <v>1</v>
      </c>
    </row>
    <row r="163" ht="34" spans="1:14">
      <c r="A163" s="1" t="s">
        <v>177</v>
      </c>
      <c r="B163" t="s">
        <v>15</v>
      </c>
      <c r="C163" t="str">
        <f t="shared" si="8"/>
        <v>OS</v>
      </c>
      <c r="D163">
        <v>3</v>
      </c>
      <c r="E163" t="str">
        <f t="shared" si="9"/>
        <v>Inconsistent</v>
      </c>
      <c r="F163" t="str">
        <f t="shared" si="10"/>
        <v>Low</v>
      </c>
      <c r="G163" t="str">
        <f t="shared" si="11"/>
        <v>LOW</v>
      </c>
      <c r="H163">
        <v>0</v>
      </c>
      <c r="I163">
        <v>1</v>
      </c>
      <c r="J163">
        <v>0</v>
      </c>
      <c r="K163" t="s">
        <v>16</v>
      </c>
      <c r="L163" t="s">
        <v>16</v>
      </c>
      <c r="M163" s="2" t="s">
        <v>17</v>
      </c>
      <c r="N163">
        <v>1</v>
      </c>
    </row>
    <row r="164" ht="17" spans="1:14">
      <c r="A164" s="1" t="s">
        <v>178</v>
      </c>
      <c r="B164" t="s">
        <v>15</v>
      </c>
      <c r="C164" t="str">
        <f t="shared" si="8"/>
        <v>OS</v>
      </c>
      <c r="D164">
        <v>3</v>
      </c>
      <c r="E164" t="str">
        <f t="shared" si="9"/>
        <v>Inconsistent</v>
      </c>
      <c r="F164" t="str">
        <f t="shared" si="10"/>
        <v>Low</v>
      </c>
      <c r="G164" t="str">
        <f t="shared" si="11"/>
        <v>LOW</v>
      </c>
      <c r="H164">
        <v>0</v>
      </c>
      <c r="I164">
        <v>1</v>
      </c>
      <c r="J164">
        <v>0</v>
      </c>
      <c r="K164" t="s">
        <v>16</v>
      </c>
      <c r="L164" t="s">
        <v>16</v>
      </c>
      <c r="M164" s="2" t="s">
        <v>17</v>
      </c>
      <c r="N164">
        <v>1</v>
      </c>
    </row>
    <row r="165" ht="34" spans="1:14">
      <c r="A165" s="1" t="s">
        <v>179</v>
      </c>
      <c r="B165" t="s">
        <v>22</v>
      </c>
      <c r="C165" t="str">
        <f t="shared" si="8"/>
        <v>OS</v>
      </c>
      <c r="D165">
        <v>3</v>
      </c>
      <c r="E165" t="str">
        <f t="shared" si="9"/>
        <v>Inconsistent</v>
      </c>
      <c r="F165" t="str">
        <f t="shared" si="10"/>
        <v>Low</v>
      </c>
      <c r="G165" t="str">
        <f t="shared" si="11"/>
        <v>LOW</v>
      </c>
      <c r="H165">
        <v>0</v>
      </c>
      <c r="I165">
        <v>0</v>
      </c>
      <c r="J165">
        <v>1</v>
      </c>
      <c r="K165" t="s">
        <v>16</v>
      </c>
      <c r="L165" t="s">
        <v>16</v>
      </c>
      <c r="M165" s="2" t="s">
        <v>17</v>
      </c>
      <c r="N165">
        <v>1</v>
      </c>
    </row>
    <row r="166" ht="17" spans="1:14">
      <c r="A166" s="1" t="s">
        <v>180</v>
      </c>
      <c r="B166" t="s">
        <v>15</v>
      </c>
      <c r="C166" t="str">
        <f t="shared" si="8"/>
        <v>OS</v>
      </c>
      <c r="D166">
        <v>3</v>
      </c>
      <c r="E166" t="str">
        <f t="shared" si="9"/>
        <v>Inconsistent</v>
      </c>
      <c r="F166" t="str">
        <f t="shared" si="10"/>
        <v>Low</v>
      </c>
      <c r="G166" t="str">
        <f t="shared" si="11"/>
        <v>LOW</v>
      </c>
      <c r="H166">
        <v>0</v>
      </c>
      <c r="I166">
        <v>1</v>
      </c>
      <c r="J166">
        <v>0</v>
      </c>
      <c r="K166" t="s">
        <v>16</v>
      </c>
      <c r="L166" t="s">
        <v>16</v>
      </c>
      <c r="M166" s="2" t="s">
        <v>17</v>
      </c>
      <c r="N166">
        <v>1</v>
      </c>
    </row>
    <row r="167" ht="17" spans="1:14">
      <c r="A167" s="1" t="s">
        <v>181</v>
      </c>
      <c r="B167" t="s">
        <v>22</v>
      </c>
      <c r="C167" t="str">
        <f t="shared" si="8"/>
        <v>OS</v>
      </c>
      <c r="D167">
        <v>3</v>
      </c>
      <c r="E167" t="str">
        <f t="shared" si="9"/>
        <v>Inconsistent</v>
      </c>
      <c r="F167" t="str">
        <f t="shared" si="10"/>
        <v>Low</v>
      </c>
      <c r="G167" t="str">
        <f t="shared" si="11"/>
        <v>LOW</v>
      </c>
      <c r="H167">
        <v>0</v>
      </c>
      <c r="I167">
        <v>0</v>
      </c>
      <c r="J167">
        <v>1</v>
      </c>
      <c r="K167" t="s">
        <v>16</v>
      </c>
      <c r="L167" t="s">
        <v>16</v>
      </c>
      <c r="M167" s="2" t="s">
        <v>17</v>
      </c>
      <c r="N167">
        <v>1</v>
      </c>
    </row>
    <row r="168" ht="17" spans="1:14">
      <c r="A168" s="1" t="s">
        <v>182</v>
      </c>
      <c r="B168" t="s">
        <v>15</v>
      </c>
      <c r="C168" t="str">
        <f t="shared" si="8"/>
        <v>OS</v>
      </c>
      <c r="D168">
        <v>3</v>
      </c>
      <c r="E168" t="str">
        <f t="shared" si="9"/>
        <v>Inconsistent</v>
      </c>
      <c r="F168" t="str">
        <f t="shared" si="10"/>
        <v>Low</v>
      </c>
      <c r="G168" t="str">
        <f t="shared" si="11"/>
        <v>LOW</v>
      </c>
      <c r="H168">
        <v>0</v>
      </c>
      <c r="I168">
        <v>1</v>
      </c>
      <c r="J168">
        <v>1</v>
      </c>
      <c r="K168" t="s">
        <v>16</v>
      </c>
      <c r="L168" t="s">
        <v>16</v>
      </c>
      <c r="M168" s="2" t="s">
        <v>17</v>
      </c>
      <c r="N168">
        <v>1</v>
      </c>
    </row>
    <row r="169" ht="51" spans="1:14">
      <c r="A169" s="1" t="s">
        <v>183</v>
      </c>
      <c r="B169" t="s">
        <v>40</v>
      </c>
      <c r="C169" t="str">
        <f t="shared" si="8"/>
        <v>TS</v>
      </c>
      <c r="D169">
        <v>3</v>
      </c>
      <c r="E169" t="str">
        <f t="shared" si="9"/>
        <v>Consistent</v>
      </c>
      <c r="F169" t="str">
        <f t="shared" si="10"/>
        <v>High</v>
      </c>
      <c r="G169" t="str">
        <f t="shared" si="11"/>
        <v>HIGH</v>
      </c>
      <c r="H169">
        <v>0</v>
      </c>
      <c r="I169">
        <v>0</v>
      </c>
      <c r="J169">
        <v>1</v>
      </c>
      <c r="K169" t="s">
        <v>16</v>
      </c>
      <c r="L169" t="s">
        <v>16</v>
      </c>
      <c r="M169" s="2" t="s">
        <v>17</v>
      </c>
      <c r="N169">
        <v>1</v>
      </c>
    </row>
    <row r="170" ht="17" spans="1:14">
      <c r="A170" s="1" t="s">
        <v>184</v>
      </c>
      <c r="B170" t="s">
        <v>22</v>
      </c>
      <c r="C170" t="str">
        <f t="shared" si="8"/>
        <v>OS</v>
      </c>
      <c r="D170">
        <v>3</v>
      </c>
      <c r="E170" t="str">
        <f t="shared" si="9"/>
        <v>Inconsistent</v>
      </c>
      <c r="F170" t="str">
        <f t="shared" si="10"/>
        <v>Low</v>
      </c>
      <c r="G170" t="str">
        <f t="shared" si="11"/>
        <v>LOW</v>
      </c>
      <c r="H170">
        <v>0</v>
      </c>
      <c r="I170">
        <v>1</v>
      </c>
      <c r="J170">
        <v>1</v>
      </c>
      <c r="K170"/>
      <c r="L170" t="s">
        <v>16</v>
      </c>
      <c r="M170" s="2" t="s">
        <v>17</v>
      </c>
      <c r="N170">
        <v>1</v>
      </c>
    </row>
    <row r="171" ht="17" spans="1:14">
      <c r="A171" s="1" t="s">
        <v>185</v>
      </c>
      <c r="B171" t="s">
        <v>40</v>
      </c>
      <c r="C171" t="str">
        <f t="shared" si="8"/>
        <v>TS</v>
      </c>
      <c r="D171">
        <v>3</v>
      </c>
      <c r="E171" t="str">
        <f t="shared" si="9"/>
        <v>Consistent</v>
      </c>
      <c r="F171" t="str">
        <f t="shared" si="10"/>
        <v>High</v>
      </c>
      <c r="G171" t="str">
        <f t="shared" si="11"/>
        <v>HIGH</v>
      </c>
      <c r="H171">
        <v>0</v>
      </c>
      <c r="I171">
        <v>0</v>
      </c>
      <c r="J171">
        <v>1</v>
      </c>
      <c r="K171" t="s">
        <v>16</v>
      </c>
      <c r="L171" t="s">
        <v>16</v>
      </c>
      <c r="M171" s="2" t="s">
        <v>17</v>
      </c>
      <c r="N171">
        <v>1</v>
      </c>
    </row>
    <row r="172" ht="34" spans="1:14">
      <c r="A172" s="1" t="s">
        <v>186</v>
      </c>
      <c r="B172" t="s">
        <v>22</v>
      </c>
      <c r="C172" t="str">
        <f t="shared" si="8"/>
        <v>OS</v>
      </c>
      <c r="D172">
        <v>3</v>
      </c>
      <c r="E172" t="str">
        <f t="shared" si="9"/>
        <v>Inconsistent</v>
      </c>
      <c r="F172" t="str">
        <f t="shared" si="10"/>
        <v>Low</v>
      </c>
      <c r="G172" t="str">
        <f t="shared" si="11"/>
        <v>LOW</v>
      </c>
      <c r="H172">
        <v>0</v>
      </c>
      <c r="I172">
        <v>0</v>
      </c>
      <c r="J172">
        <v>1</v>
      </c>
      <c r="K172" t="s">
        <v>16</v>
      </c>
      <c r="L172" t="s">
        <v>16</v>
      </c>
      <c r="M172" s="2" t="s">
        <v>17</v>
      </c>
      <c r="N172">
        <v>1</v>
      </c>
    </row>
    <row r="173" ht="34" spans="1:14">
      <c r="A173" s="1" t="s">
        <v>187</v>
      </c>
      <c r="B173" t="s">
        <v>22</v>
      </c>
      <c r="C173" t="str">
        <f t="shared" si="8"/>
        <v>OS</v>
      </c>
      <c r="D173">
        <v>3</v>
      </c>
      <c r="E173" t="str">
        <f t="shared" si="9"/>
        <v>Inconsistent</v>
      </c>
      <c r="F173" t="str">
        <f t="shared" si="10"/>
        <v>Low</v>
      </c>
      <c r="G173" t="str">
        <f t="shared" si="11"/>
        <v>LOW</v>
      </c>
      <c r="H173">
        <v>1</v>
      </c>
      <c r="I173">
        <v>0</v>
      </c>
      <c r="J173">
        <v>1</v>
      </c>
      <c r="K173" t="s">
        <v>16</v>
      </c>
      <c r="L173" t="s">
        <v>16</v>
      </c>
      <c r="M173" s="2" t="s">
        <v>17</v>
      </c>
      <c r="N173">
        <v>1</v>
      </c>
    </row>
    <row r="174" ht="17" spans="1:14">
      <c r="A174" s="1" t="s">
        <v>188</v>
      </c>
      <c r="B174" t="s">
        <v>22</v>
      </c>
      <c r="C174" t="str">
        <f t="shared" si="8"/>
        <v>OS</v>
      </c>
      <c r="D174">
        <v>3</v>
      </c>
      <c r="E174" t="str">
        <f t="shared" si="9"/>
        <v>Inconsistent</v>
      </c>
      <c r="F174" t="str">
        <f t="shared" si="10"/>
        <v>Low</v>
      </c>
      <c r="G174" t="str">
        <f t="shared" si="11"/>
        <v>LOW</v>
      </c>
      <c r="H174">
        <v>0</v>
      </c>
      <c r="I174">
        <v>0</v>
      </c>
      <c r="J174">
        <v>1</v>
      </c>
      <c r="K174" t="s">
        <v>16</v>
      </c>
      <c r="L174" t="s">
        <v>16</v>
      </c>
      <c r="M174" s="2" t="s">
        <v>17</v>
      </c>
      <c r="N174">
        <v>1</v>
      </c>
    </row>
    <row r="175" ht="17" spans="1:14">
      <c r="A175" s="1" t="s">
        <v>189</v>
      </c>
      <c r="B175" t="s">
        <v>22</v>
      </c>
      <c r="C175" t="str">
        <f t="shared" si="8"/>
        <v>OS</v>
      </c>
      <c r="D175">
        <v>3</v>
      </c>
      <c r="E175" t="str">
        <f t="shared" si="9"/>
        <v>Inconsistent</v>
      </c>
      <c r="F175" t="str">
        <f t="shared" si="10"/>
        <v>Low</v>
      </c>
      <c r="G175" t="str">
        <f t="shared" si="11"/>
        <v>LOW</v>
      </c>
      <c r="H175">
        <v>0</v>
      </c>
      <c r="I175">
        <v>0</v>
      </c>
      <c r="J175">
        <v>1</v>
      </c>
      <c r="K175" t="s">
        <v>16</v>
      </c>
      <c r="L175" t="s">
        <v>16</v>
      </c>
      <c r="M175" s="2" t="s">
        <v>17</v>
      </c>
      <c r="N175">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All_Reviews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2025-05-24T20:09:00Z</dcterms:created>
  <dcterms:modified xsi:type="dcterms:W3CDTF">2025-05-24T21:47:31Z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9030C2ADB9CC3E4D80CD316838F7F372_42</vt:lpwstr>
  </property>
  <property fmtid="{D5CDD505-2E9C-101B-9397-08002B2CF9AE}" pid="4" name="KSOProductBuildVer">
    <vt:lpwstr>1033-6.13.1.8710</vt:lpwstr>
  </property>
</Properties>
</file>