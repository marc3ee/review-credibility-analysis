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<sst xmlns="http://schemas.openxmlformats.org/spreadsheetml/2006/main" count="390" uniqueCount="105">
  <si>
    <t>Review</t>
  </si>
  <si>
    <t>Sentiment</t>
  </si>
  <si>
    <t>Sidedness</t>
  </si>
  <si>
    <t>Star Rating</t>
  </si>
  <si>
    <t>Consistency</t>
  </si>
  <si>
    <t>Info Diversity</t>
  </si>
  <si>
    <t>PERCEIVED HELPFULNESS</t>
  </si>
  <si>
    <t>PD_F</t>
  </si>
  <si>
    <t>PD_F_TMP</t>
  </si>
  <si>
    <t>MAN_UI</t>
  </si>
  <si>
    <t>SPM</t>
  </si>
  <si>
    <t>CREDIBILITY</t>
  </si>
  <si>
    <t>packaging: well packed and secured properly scent: mild and refreshing longevity: 3hrs or so</t>
  </si>
  <si>
    <t>POSITIVE</t>
  </si>
  <si>
    <t/>
  </si>
  <si>
    <t>packaging: secured scent: love it longevity: good for 1day great value for money, ideal for gifting, delicate and feminine fragrance, refreshing and invigorating scent,</t>
  </si>
  <si>
    <t>leaves a lingering fragrance, aromatic and soothing fragrance, subtle and elegant scent, light and airy fragrance,</t>
  </si>
  <si>
    <t>NEGATIVE</t>
  </si>
  <si>
    <t>refreshing and invigorating scent, delicate and feminine fragrance, unique and captivating scent, great value for money,</t>
  </si>
  <si>
    <t>congratulations! your information was successfully validated. your sim is now registered with smart. value for money: sulit scent: nice longevity: okay</t>
  </si>
  <si>
    <t>eto pinaka mabango sa lahat. . super thanks po grabe 3 nalang kasi pinag gift ko sya. . salamat po seller sa kabikis</t>
  </si>
  <si>
    <t>value for money: worth buying scent: sweet like vanilla longevity: stays awhile this is my third time to order this scent, my favorite among all variants. its sweet smell isn' t cloying and so i love it! the packaging is also nice and practical, hence, it' s a perfect gift this christmas! it' s worth more than the price i paid for.</t>
  </si>
  <si>
    <t>adds a touch of luxury, adds a touch of luxury, leaves a lingering fragrance, adds a touch of luxury, adds a touch of luxury, leaves a lingering fragrance,</t>
  </si>
  <si>
    <t>perfect for everyday use, gentle and pleasant aroma, great value for money, perfect for everyday use,</t>
  </si>
  <si>
    <t>perfect for everyday use, perfect for everyday use, perfect for everyday use, perfect for everyday use,</t>
  </si>
  <si>
    <t>unique and captivating scent, leaves a lingering fragrance, aromatic and soothing fragrance, suitable for all occasions, perfect for everyday use, gentle and pleasant aroma, great value for money, subtle and elegant scent,</t>
  </si>
  <si>
    <t>if meron ka na nung japanese cherry blossom na red. don' t but this na, kasi same lang sila ng smell ewan ko ba bat iba packaging</t>
  </si>
  <si>
    <t>how i wish to try it and smell the scent but it is plastic wrapped and i intend to give it as christmas gifts. it is affordable and properly packed by the seller. for the scent, the numerous positive feed here from other buyers is enough for me to trust this product.</t>
  </si>
  <si>
    <t>NEUTRAL</t>
  </si>
  <si>
    <t>ideal for gifting. . . hope to open it and try to smell the scent but i will give this as christmas gift to my friends amd relatives.</t>
  </si>
  <si>
    <t>perfectly packed so it was delivered with no damage. this is perfect christmas giveaway to friends, colleagues and relatives.</t>
  </si>
  <si>
    <t>great value for money and ideal for gifting. well packed by the seller too.</t>
  </si>
  <si>
    <t>ideal for gifting however, 1 of the bottles doesn' t have sticker or branding but fragrance was suitable for the price.</t>
  </si>
  <si>
    <t>value for money: tama sa presyo scent: mabango nman longevity: hindi nga lang ntagal yung amoy nya</t>
  </si>
  <si>
    <t>smells like musk, not refreshing at all. . . if youre in your 60s or 70s, pwede. . , will give it to my lola. . .</t>
  </si>
  <si>
    <t>i expected na mabango dhil yun ang review ng iba but it' s like alcohol, amoy alcohol sya. sayang ang money</t>
  </si>
  <si>
    <t>not my kind of fragrance, the smell easily fade. 10 mins after spraying wala na yung amoy pero matapang sa una don' t really like it.</t>
  </si>
  <si>
    <t>super bango ng pabango</t>
  </si>
  <si>
    <t>ambilis nawawala yung amoy niya. .</t>
  </si>
  <si>
    <t>scent: gone to quick</t>
  </si>
  <si>
    <t>cge serve its purpose.</t>
  </si>
  <si>
    <t>not long lasting pero mabango. zzzzzzzzzzzzzzzzzzzzzzzzzxxxxzxxzxx value for money: scent: longevity:</t>
  </si>
  <si>
    <t>it doesnt smell like fresh white musk. unang amoy ang baho at nakakahilo. if you keep spraying it amoy mango na sour candy then after mag settle yung scent mag aamoy oil mango for candle burner na nireregalo ng chinese ko na tita. yung dry down naman niya amoy sweet light musk. will not order again:) )</t>
  </si>
  <si>
    <t>ok nmn peru dq bet</t>
  </si>
  <si>
    <t>not ok</t>
  </si>
  <si>
    <t>sa 3 binili ko eto lang ndi mabango 1 star sa cuvumber at vanilla 5 star. . bunilu ko lng yan makiit para mg free shipping ako pero nkaka tuwa npka mura un cucumber at vanilla npka bango o at tumatagal</t>
  </si>
  <si>
    <t>wala akong na receive na mesert lily, kahit nag confirm si seller na pwede yung ni request kong mesert lily.</t>
  </si>
  <si>
    <t>kulang ng isa ang deniliver sa akin. narefund naman but hussle kase i was expecting 9 pcs for gift sana kulang tuloy.</t>
  </si>
  <si>
    <t>mabango naman sana kaso mabilis mawala amoy hinde sya tumatagal mas okay pa yung mga cologne na nabibili sa grocery</t>
  </si>
  <si>
    <t>scent: not reco.</t>
  </si>
  <si>
    <t>tama lqng kqso maloot di sulit s price</t>
  </si>
  <si>
    <t>wala nman amoy</t>
  </si>
  <si>
    <t>walang kwenta! ! ! ! peke! ! ! ! sayang pera nyo dito! bunch of scammers! kung may zero ratinf dito, more than zero pa ibibigay ko snyo! kala nyo pinupulot ng mga customers ang pera? ka inis talaga! wag na kayo umorder sa mga scammers na to!</t>
  </si>
  <si>
    <t>i received the wrong item</t>
  </si>
  <si>
    <t>bilis lang mawala ng amoy</t>
  </si>
  <si>
    <t>ok naman mabango so far thank you for this opportunity and look forward for your positive response</t>
  </si>
  <si>
    <t>mabaho haha sorry</t>
  </si>
  <si>
    <t>thank you sa seller, sa courier, at sa lazada. mabango rin naman. longevity: hindi tumatagal ang bango scent: banayad lang value for money: tama lang sa presyo</t>
  </si>
  <si>
    <t>scent: sweet sunrise mabango naman pero di ito yung scent na inorder ko. japanese cherry blossom scent ang inorder ko.</t>
  </si>
  <si>
    <t>good quality product,</t>
  </si>
  <si>
    <t>received my orders incomplete. informed the seller about the incomplete order when they sent a picture of the package before they sent it but they still pushed through with the incomplete order.</t>
  </si>
  <si>
    <t>mabilis ang proseso. maayos ang pagpapaship ni seller at mabilis din naideliver kaso sira ang sprayer nya, walang butas tapos may leak pa hassle gamitin. salamat po</t>
  </si>
  <si>
    <t>huh yung isa pabango open na. pang reregalo ko pa naman sana</t>
  </si>
  <si>
    <t>scent: not my type anyway try try lang kasi hehhee</t>
  </si>
  <si>
    <t>so far so good</t>
  </si>
  <si>
    <t>mabango oo pero hindi nag lalast ung amoy</t>
  </si>
  <si>
    <t>none of the scents do i like. sorry.</t>
  </si>
  <si>
    <t>not mabango.</t>
  </si>
  <si>
    <t>not really into this, the scents are great but their randomizer is not randomizing lol. 3 bottles of the same scent buti na lang goods sila for everyday scent.</t>
  </si>
  <si>
    <t>ok nman ung smells mabango. . but madali lng matanggal ung amoi. pro ok lng worth it pa din thank you lazada</t>
  </si>
  <si>
    <t>madali po mawala yung amoy, though mura at okay packaging nya</t>
  </si>
  <si>
    <t>fragrance is nice but not long lasting.</t>
  </si>
  <si>
    <t>complete and correct order received. naka bubble wrap kaso nakabuka sya wlang sealed kya lumabas ung isang perfume na maliit buti hindi nabasag. sna mxt time nka sealed na. di ko sil naamoy if mabango pang gift kc. its nice din n nka sealed ung perfume so classy hindi sya mukhang cheap.</t>
  </si>
  <si>
    <t>the scent is quite strong for my liking. and i can say that it is not my fave kind. may be i will ask anyone who will like it for free</t>
  </si>
  <si>
    <t>pweeeeeeeeeeeeeeeeeeeeeeeeeeeeeeeeeee eeeeeeedeeeeeeeeeeeeeeeeeeeeeeeeeeee naaaaaaaaaa!</t>
  </si>
  <si>
    <t>Low</t>
  </si>
  <si>
    <t>di ko gusto ung scent nya</t>
  </si>
  <si>
    <t>hindi naglalast ang amoyskin</t>
  </si>
  <si>
    <t>scent: not the usual japanese cherry blossom scent good thing i bought a small one only.</t>
  </si>
  <si>
    <t>scent: mababango lahat longevity: not long lasting value for money: very affordable</t>
  </si>
  <si>
    <t>hindi ko bet masyado ung iba scent na nilagay. ndi xa tumatagal.</t>
  </si>
  <si>
    <t>grabe yung lalagyan hindi maayos kailangan mo pang ilipat para di matapon. paki ayos naman seller yung takip sa part ng spray. not satisfied. . sorry for my very honest comment po</t>
  </si>
  <si>
    <t>wow gusto ko sya thanks for christmas gifts to my daughter</t>
  </si>
  <si>
    <t>okay naman yung pagkakadeliver. . nakawrap ng maayos walang basag o sira kaso yung product mabango sya pero nawawala agad ung amoy. . hindi matagal yung bango nya. .</t>
  </si>
  <si>
    <t>i love how it' s packed, very secure. but still, one of them has leaked. personally, i don' t like all of scents. delivery service is very efficient.</t>
  </si>
  <si>
    <t>happy but disappointed i ordered japanese cherry but i recieved sweet sunrise. tho mabango naman siya, for me amoy panlalaki siya haha.</t>
  </si>
  <si>
    <t>scent: little bit disappointed with the smell</t>
  </si>
  <si>
    <t>walang kwenta mai variation pa kayo nilagay d naman ito inorder ko sweet sunrise, pinadala niyo mesert lily yung amoy pa talaga na d ko gusto</t>
  </si>
  <si>
    <t>amoy lemon na floral pero mas nangongibabaw yung floral smell so di siya ganun ka refreshing amoyin</t>
  </si>
  <si>
    <t>i received this free small size body mist, mabango din, but i like the scent of 236 ml. size that i ordered. thank u seller for my free.</t>
  </si>
  <si>
    <t>mejo mabango lang</t>
  </si>
  <si>
    <t>mabango. .</t>
  </si>
  <si>
    <t>hindi mabango bilis mawala ng amoy pero ganda ng packaging very safe hindi naman budol dahil tama lang sa presyo nya kaya mura</t>
  </si>
  <si>
    <t>smells good but not as bad in my experience but it was not the same thing that was used</t>
  </si>
  <si>
    <t>di sya ganun kabango. pero okay na din nagtry lang naman ako. yung ibang scent siguro mas mabango itry ko din yung iba pag naubos na yang dalawang naorder ko.</t>
  </si>
  <si>
    <t>pwede na</t>
  </si>
  <si>
    <t>i waa not able to receive this because it was missing according to delivery man. and was charged to him.</t>
  </si>
  <si>
    <t>hindi ko mabigyan nang review kasi mali na man ang pinadala. . . hindi yung inorder ko na japanese cherry blossom. . . kung hindi na available dapat nagmessage kayo. . . kasi maintindihan ko pa yun. .</t>
  </si>
  <si>
    <t>gentle and pleasant aroma,</t>
  </si>
  <si>
    <t>ok lng naman for the price. pra sakin opinion di ko na gustoan ang amoy matapang benigay ki nlng sa mga pensan ko at yon type nila ang amoy. . . . koplet orders at wlang leak kc nka bubble wrap. thank yiu seller at sir delivery.</t>
  </si>
  <si>
    <t>ok nman cya. . mabango din peruh hindi cya tumatagalperuh nagustohan q nman. order nman ako ulit yung iban wala na kasi available na iba kya yan nlng kinoha ko thank u seller at ky kuya rider</t>
  </si>
  <si>
    <t>sorry, but i don' t like the smell</t>
  </si>
  <si>
    <t>nice product. i love it.</t>
  </si>
  <si>
    <t>parang hindi na katulad dati yung amoy na na order ko, parang ang bilis na mawala ng amoyy. unang order ko ng pabango dito, ang bango banging bango sakin mga kaworkmates ko kasi ang dikit ng amoy sa uniform ko ngayon na umorder ulit ako ang bilis mawala ng amoy.</t>
  </si>
  <si>
    <t>nakakahilo nman hindi mabango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</si>
</sst>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7"/>
  <sheetViews>
    <sheetView tabSelected="1" topLeftCell="A91" workbookViewId="0">
      <selection activeCell="B98" sqref="B98"/>
    </sheetView>
  </sheetViews>
  <sheetFormatPr defaultColWidth="9" defaultRowHeight="16.8"/>
  <cols>
    <col min="1" max="1" width="80.859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17" spans="1:12">
      <c r="A2" s="1" t="s">
        <v>12</v>
      </c>
      <c r="B2" t="s">
        <v>13</v>
      </c>
      <c r="C2" t="str">
        <f t="shared" ref="C2:C65" si="0">IF(B2="NEUTRAL","TS","OS")</f>
        <v>OS</v>
      </c>
      <c r="D2">
        <v>5</v>
      </c>
      <c r="E2" t="str">
        <f t="shared" ref="E2:E65" si="1">IF(C2="TS",IF(D2=3,"Consistent",IF(OR(D2=2,D2=4),"Partially Consistent","Inconsistent")),IF(D2=3,"Inconsistent",IF(AND(D2=5,B2="POSITIVE"),"Consistent",IF(AND(D2=1,B2="NEGATIVE"),"Consistent",IF(AND(D2=4,B2="POSITIVE"),"Partially Consistent",IF(AND(D2=2,B2="NEGATIVE"),"Partially Consistent","Inconsistent"))))))</f>
        <v>Consistent</v>
      </c>
      <c r="F2" t="str">
        <f t="shared" ref="F2:F65" si="2">IF(C2="TS","High","Low")</f>
        <v>Low</v>
      </c>
      <c r="G2" t="str">
        <f t="shared" ref="G2:G65" si="3">IF(AND(B2="NEUTRAL",F2="Low"),"LOW",IF(AND(C2="TS",F2="High",D2=3),"HIGH",IF(AND(C2="TS",F2="High",OR(D2=2,D2=4)),"MODERATE",IF(AND(C2="TS",F2="High",OR(D2=1,D2=5)),"LOW",IF(AND(C2="OS",E2="Consistent",OR(D2=1,D2=5)),"MODERATE",IF(AND(C2="OS",E2="Partially Consistent",OR(D2=2,D2=4)),"MODERATE","LOW"))))))</f>
        <v>MODERATE</v>
      </c>
      <c r="H2">
        <v>1</v>
      </c>
      <c r="I2">
        <v>0</v>
      </c>
      <c r="J2">
        <v>1</v>
      </c>
      <c r="K2" t="s">
        <v>14</v>
      </c>
      <c r="L2" t="s">
        <v>14</v>
      </c>
    </row>
    <row r="3" ht="34" spans="1:12">
      <c r="A3" s="1" t="s">
        <v>15</v>
      </c>
      <c r="B3" t="s">
        <v>13</v>
      </c>
      <c r="C3" t="str">
        <f t="shared" si="0"/>
        <v>OS</v>
      </c>
      <c r="D3">
        <v>5</v>
      </c>
      <c r="E3" t="str">
        <f t="shared" si="1"/>
        <v>Consistent</v>
      </c>
      <c r="F3" t="str">
        <f t="shared" si="2"/>
        <v>Low</v>
      </c>
      <c r="G3" t="str">
        <f t="shared" si="3"/>
        <v>MODERATE</v>
      </c>
      <c r="H3">
        <v>1</v>
      </c>
      <c r="I3">
        <v>1</v>
      </c>
      <c r="J3">
        <v>0</v>
      </c>
      <c r="K3"/>
      <c r="L3" t="s">
        <v>14</v>
      </c>
    </row>
    <row r="4" ht="34" spans="1:12">
      <c r="A4" s="1" t="s">
        <v>16</v>
      </c>
      <c r="B4" t="s">
        <v>17</v>
      </c>
      <c r="C4" t="str">
        <f t="shared" si="0"/>
        <v>OS</v>
      </c>
      <c r="D4">
        <v>5</v>
      </c>
      <c r="E4" t="str">
        <f t="shared" si="1"/>
        <v>Inconsistent</v>
      </c>
      <c r="F4" t="str">
        <f t="shared" si="2"/>
        <v>Low</v>
      </c>
      <c r="G4" t="str">
        <f t="shared" si="3"/>
        <v>LOW</v>
      </c>
      <c r="H4">
        <v>0</v>
      </c>
      <c r="I4">
        <v>1</v>
      </c>
      <c r="J4">
        <v>0</v>
      </c>
      <c r="K4"/>
      <c r="L4" t="s">
        <v>14</v>
      </c>
    </row>
    <row r="5" ht="34" spans="1:12">
      <c r="A5" s="1" t="s">
        <v>18</v>
      </c>
      <c r="B5" t="s">
        <v>13</v>
      </c>
      <c r="C5" t="str">
        <f t="shared" si="0"/>
        <v>OS</v>
      </c>
      <c r="D5">
        <v>5</v>
      </c>
      <c r="E5" t="str">
        <f t="shared" si="1"/>
        <v>Consistent</v>
      </c>
      <c r="F5" t="str">
        <f t="shared" si="2"/>
        <v>Low</v>
      </c>
      <c r="G5" t="str">
        <f t="shared" si="3"/>
        <v>MODERATE</v>
      </c>
      <c r="H5">
        <v>0</v>
      </c>
      <c r="I5">
        <v>1</v>
      </c>
      <c r="J5">
        <v>0</v>
      </c>
      <c r="K5"/>
      <c r="L5" t="s">
        <v>14</v>
      </c>
    </row>
    <row r="6" ht="34" spans="1:12">
      <c r="A6" s="1" t="s">
        <v>19</v>
      </c>
      <c r="B6" t="s">
        <v>13</v>
      </c>
      <c r="C6" t="str">
        <f t="shared" si="0"/>
        <v>OS</v>
      </c>
      <c r="D6">
        <v>5</v>
      </c>
      <c r="E6" t="str">
        <f t="shared" si="1"/>
        <v>Consistent</v>
      </c>
      <c r="F6" t="str">
        <f t="shared" si="2"/>
        <v>Low</v>
      </c>
      <c r="G6" t="str">
        <f t="shared" si="3"/>
        <v>MODERATE</v>
      </c>
      <c r="H6">
        <v>1</v>
      </c>
      <c r="I6">
        <v>0</v>
      </c>
      <c r="J6">
        <v>1</v>
      </c>
      <c r="K6" t="s">
        <v>14</v>
      </c>
      <c r="L6" t="s">
        <v>14</v>
      </c>
    </row>
    <row r="7" ht="34" spans="1:12">
      <c r="A7" s="1" t="s">
        <v>20</v>
      </c>
      <c r="B7" t="s">
        <v>13</v>
      </c>
      <c r="C7" t="str">
        <f t="shared" si="0"/>
        <v>OS</v>
      </c>
      <c r="D7">
        <v>5</v>
      </c>
      <c r="E7" t="str">
        <f t="shared" si="1"/>
        <v>Consistent</v>
      </c>
      <c r="F7" t="str">
        <f t="shared" si="2"/>
        <v>Low</v>
      </c>
      <c r="G7" t="str">
        <f t="shared" si="3"/>
        <v>MODERATE</v>
      </c>
      <c r="H7">
        <v>0</v>
      </c>
      <c r="I7">
        <v>0</v>
      </c>
      <c r="J7">
        <v>1</v>
      </c>
      <c r="K7" t="s">
        <v>14</v>
      </c>
      <c r="L7" t="s">
        <v>14</v>
      </c>
    </row>
    <row r="8" ht="68" spans="1:12">
      <c r="A8" s="1" t="s">
        <v>21</v>
      </c>
      <c r="B8" t="s">
        <v>13</v>
      </c>
      <c r="C8" t="str">
        <f t="shared" si="0"/>
        <v>OS</v>
      </c>
      <c r="D8">
        <v>5</v>
      </c>
      <c r="E8" t="str">
        <f t="shared" si="1"/>
        <v>Consistent</v>
      </c>
      <c r="F8" t="str">
        <f t="shared" si="2"/>
        <v>Low</v>
      </c>
      <c r="G8" t="str">
        <f t="shared" si="3"/>
        <v>MODERATE</v>
      </c>
      <c r="H8">
        <v>1</v>
      </c>
      <c r="I8">
        <v>1</v>
      </c>
      <c r="J8">
        <v>1</v>
      </c>
      <c r="K8" t="s">
        <v>14</v>
      </c>
      <c r="L8" t="s">
        <v>14</v>
      </c>
    </row>
    <row r="9" ht="34" spans="1:11">
      <c r="A9" s="1" t="s">
        <v>22</v>
      </c>
      <c r="B9" t="s">
        <v>17</v>
      </c>
      <c r="C9" t="str">
        <f t="shared" si="0"/>
        <v>OS</v>
      </c>
      <c r="D9">
        <v>5</v>
      </c>
      <c r="E9" t="str">
        <f t="shared" si="1"/>
        <v>Inconsistent</v>
      </c>
      <c r="F9" t="str">
        <f t="shared" si="2"/>
        <v>Low</v>
      </c>
      <c r="G9" t="str">
        <f t="shared" si="3"/>
        <v>LOW</v>
      </c>
      <c r="H9">
        <v>0</v>
      </c>
      <c r="I9">
        <v>1</v>
      </c>
      <c r="J9">
        <v>0</v>
      </c>
      <c r="K9">
        <v>1</v>
      </c>
    </row>
    <row r="10" ht="17" spans="1:12">
      <c r="A10" s="1" t="s">
        <v>23</v>
      </c>
      <c r="B10" t="s">
        <v>13</v>
      </c>
      <c r="C10" t="str">
        <f t="shared" si="0"/>
        <v>OS</v>
      </c>
      <c r="D10">
        <v>5</v>
      </c>
      <c r="E10" t="str">
        <f t="shared" si="1"/>
        <v>Consistent</v>
      </c>
      <c r="F10" t="str">
        <f t="shared" si="2"/>
        <v>Low</v>
      </c>
      <c r="G10" t="str">
        <f t="shared" si="3"/>
        <v>MODERATE</v>
      </c>
      <c r="H10">
        <v>0</v>
      </c>
      <c r="I10">
        <v>1</v>
      </c>
      <c r="J10">
        <v>0</v>
      </c>
      <c r="K10" t="s">
        <v>14</v>
      </c>
      <c r="L10" t="s">
        <v>14</v>
      </c>
    </row>
    <row r="11" ht="17" spans="1:12">
      <c r="A11" s="1" t="s">
        <v>24</v>
      </c>
      <c r="B11" t="s">
        <v>13</v>
      </c>
      <c r="C11" t="str">
        <f t="shared" si="0"/>
        <v>OS</v>
      </c>
      <c r="D11">
        <v>5</v>
      </c>
      <c r="E11" t="str">
        <f t="shared" si="1"/>
        <v>Consistent</v>
      </c>
      <c r="F11" t="str">
        <f t="shared" si="2"/>
        <v>Low</v>
      </c>
      <c r="G11" t="str">
        <f t="shared" si="3"/>
        <v>MODERATE</v>
      </c>
      <c r="H11">
        <v>0</v>
      </c>
      <c r="I11">
        <v>1</v>
      </c>
      <c r="J11">
        <v>0</v>
      </c>
      <c r="K11" t="s">
        <v>14</v>
      </c>
      <c r="L11" t="s">
        <v>14</v>
      </c>
    </row>
    <row r="12" ht="51" spans="1:12">
      <c r="A12" s="1" t="s">
        <v>25</v>
      </c>
      <c r="B12" t="s">
        <v>13</v>
      </c>
      <c r="C12" t="str">
        <f t="shared" si="0"/>
        <v>OS</v>
      </c>
      <c r="D12">
        <v>4</v>
      </c>
      <c r="E12" t="str">
        <f t="shared" si="1"/>
        <v>Partially Consistent</v>
      </c>
      <c r="F12" t="str">
        <f t="shared" si="2"/>
        <v>Low</v>
      </c>
      <c r="G12" t="str">
        <f t="shared" si="3"/>
        <v>MODERATE</v>
      </c>
      <c r="H12">
        <v>0</v>
      </c>
      <c r="I12">
        <v>1</v>
      </c>
      <c r="J12">
        <v>0</v>
      </c>
      <c r="K12" t="s">
        <v>14</v>
      </c>
      <c r="L12" t="s">
        <v>14</v>
      </c>
    </row>
    <row r="13" ht="34" spans="1:12">
      <c r="A13" s="1" t="s">
        <v>26</v>
      </c>
      <c r="B13" t="s">
        <v>17</v>
      </c>
      <c r="C13" t="str">
        <f t="shared" si="0"/>
        <v>OS</v>
      </c>
      <c r="D13">
        <v>4</v>
      </c>
      <c r="E13" t="str">
        <f t="shared" si="1"/>
        <v>Inconsistent</v>
      </c>
      <c r="F13" t="str">
        <f t="shared" si="2"/>
        <v>Low</v>
      </c>
      <c r="G13" t="str">
        <f t="shared" si="3"/>
        <v>LOW</v>
      </c>
      <c r="H13">
        <v>0</v>
      </c>
      <c r="I13">
        <v>0</v>
      </c>
      <c r="J13">
        <v>1</v>
      </c>
      <c r="K13" t="s">
        <v>14</v>
      </c>
      <c r="L13" t="s">
        <v>14</v>
      </c>
    </row>
    <row r="14" ht="51" spans="1:12">
      <c r="A14" s="1" t="s">
        <v>27</v>
      </c>
      <c r="B14" t="s">
        <v>28</v>
      </c>
      <c r="C14" t="str">
        <f t="shared" si="0"/>
        <v>TS</v>
      </c>
      <c r="D14">
        <v>4</v>
      </c>
      <c r="E14" t="str">
        <f t="shared" si="1"/>
        <v>Partially Consistent</v>
      </c>
      <c r="F14" t="str">
        <f t="shared" si="2"/>
        <v>High</v>
      </c>
      <c r="G14" t="str">
        <f t="shared" si="3"/>
        <v>MODERATE</v>
      </c>
      <c r="H14">
        <v>0</v>
      </c>
      <c r="I14">
        <v>0</v>
      </c>
      <c r="J14">
        <v>1</v>
      </c>
      <c r="K14" t="s">
        <v>14</v>
      </c>
      <c r="L14" t="s">
        <v>14</v>
      </c>
    </row>
    <row r="15" ht="34" spans="1:12">
      <c r="A15" s="1" t="s">
        <v>29</v>
      </c>
      <c r="B15" t="s">
        <v>13</v>
      </c>
      <c r="C15" t="str">
        <f t="shared" si="0"/>
        <v>OS</v>
      </c>
      <c r="D15">
        <v>4</v>
      </c>
      <c r="E15" t="str">
        <f t="shared" si="1"/>
        <v>Partially Consistent</v>
      </c>
      <c r="F15" t="str">
        <f t="shared" si="2"/>
        <v>Low</v>
      </c>
      <c r="G15" t="str">
        <f t="shared" si="3"/>
        <v>MODERATE</v>
      </c>
      <c r="H15">
        <v>0</v>
      </c>
      <c r="I15">
        <v>0</v>
      </c>
      <c r="J15">
        <v>1</v>
      </c>
      <c r="K15" t="s">
        <v>14</v>
      </c>
      <c r="L15" t="s">
        <v>14</v>
      </c>
    </row>
    <row r="16" ht="51" spans="1:12">
      <c r="A16" s="1" t="s">
        <v>27</v>
      </c>
      <c r="B16" t="s">
        <v>28</v>
      </c>
      <c r="C16" t="str">
        <f t="shared" si="0"/>
        <v>TS</v>
      </c>
      <c r="D16">
        <v>4</v>
      </c>
      <c r="E16" t="str">
        <f t="shared" si="1"/>
        <v>Partially Consistent</v>
      </c>
      <c r="F16" t="str">
        <f t="shared" si="2"/>
        <v>High</v>
      </c>
      <c r="G16" t="str">
        <f t="shared" si="3"/>
        <v>MODERATE</v>
      </c>
      <c r="H16">
        <v>0</v>
      </c>
      <c r="I16">
        <v>0</v>
      </c>
      <c r="J16">
        <v>1</v>
      </c>
      <c r="K16" t="s">
        <v>14</v>
      </c>
      <c r="L16" t="s">
        <v>14</v>
      </c>
    </row>
    <row r="17" ht="51" spans="1:12">
      <c r="A17" s="1" t="s">
        <v>27</v>
      </c>
      <c r="B17" t="s">
        <v>28</v>
      </c>
      <c r="C17" t="str">
        <f t="shared" si="0"/>
        <v>TS</v>
      </c>
      <c r="D17">
        <v>4</v>
      </c>
      <c r="E17" t="str">
        <f t="shared" si="1"/>
        <v>Partially Consistent</v>
      </c>
      <c r="F17" t="str">
        <f t="shared" si="2"/>
        <v>High</v>
      </c>
      <c r="G17" t="str">
        <f t="shared" si="3"/>
        <v>MODERATE</v>
      </c>
      <c r="H17">
        <v>0</v>
      </c>
      <c r="I17">
        <v>0</v>
      </c>
      <c r="J17">
        <v>1</v>
      </c>
      <c r="K17" t="s">
        <v>14</v>
      </c>
      <c r="L17" t="s">
        <v>14</v>
      </c>
    </row>
    <row r="18" ht="34" spans="1:12">
      <c r="A18" s="1" t="s">
        <v>30</v>
      </c>
      <c r="B18" t="s">
        <v>13</v>
      </c>
      <c r="C18" t="str">
        <f t="shared" si="0"/>
        <v>OS</v>
      </c>
      <c r="D18">
        <v>4</v>
      </c>
      <c r="E18" t="str">
        <f t="shared" si="1"/>
        <v>Partially Consistent</v>
      </c>
      <c r="F18" t="str">
        <f t="shared" si="2"/>
        <v>Low</v>
      </c>
      <c r="G18" t="str">
        <f t="shared" si="3"/>
        <v>MODERATE</v>
      </c>
      <c r="H18">
        <v>0</v>
      </c>
      <c r="I18">
        <v>0</v>
      </c>
      <c r="J18">
        <v>1</v>
      </c>
      <c r="K18" t="s">
        <v>14</v>
      </c>
      <c r="L18" t="s">
        <v>14</v>
      </c>
    </row>
    <row r="19" ht="17" spans="1:12">
      <c r="A19" s="1" t="s">
        <v>31</v>
      </c>
      <c r="B19" t="s">
        <v>13</v>
      </c>
      <c r="C19" t="str">
        <f t="shared" si="0"/>
        <v>OS</v>
      </c>
      <c r="D19">
        <v>4</v>
      </c>
      <c r="E19" t="str">
        <f t="shared" si="1"/>
        <v>Partially Consistent</v>
      </c>
      <c r="F19" t="str">
        <f t="shared" si="2"/>
        <v>Low</v>
      </c>
      <c r="G19" t="str">
        <f t="shared" si="3"/>
        <v>MODERATE</v>
      </c>
      <c r="H19">
        <v>0</v>
      </c>
      <c r="I19">
        <v>1</v>
      </c>
      <c r="J19">
        <v>1</v>
      </c>
      <c r="K19" t="s">
        <v>14</v>
      </c>
      <c r="L19" t="s">
        <v>14</v>
      </c>
    </row>
    <row r="20" ht="34" spans="1:12">
      <c r="A20" s="1" t="s">
        <v>32</v>
      </c>
      <c r="B20" t="s">
        <v>28</v>
      </c>
      <c r="C20" t="str">
        <f t="shared" si="0"/>
        <v>TS</v>
      </c>
      <c r="D20">
        <v>4</v>
      </c>
      <c r="E20" t="str">
        <f t="shared" si="1"/>
        <v>Partially Consistent</v>
      </c>
      <c r="F20" t="str">
        <f t="shared" si="2"/>
        <v>High</v>
      </c>
      <c r="G20" t="str">
        <f t="shared" si="3"/>
        <v>MODERATE</v>
      </c>
      <c r="H20">
        <v>0</v>
      </c>
      <c r="I20">
        <v>0</v>
      </c>
      <c r="J20">
        <v>1</v>
      </c>
      <c r="K20" t="s">
        <v>14</v>
      </c>
      <c r="L20" t="s">
        <v>14</v>
      </c>
    </row>
    <row r="21" ht="34" spans="1:12">
      <c r="A21" s="1" t="s">
        <v>33</v>
      </c>
      <c r="B21" t="s">
        <v>28</v>
      </c>
      <c r="C21" t="str">
        <f t="shared" si="0"/>
        <v>TS</v>
      </c>
      <c r="D21">
        <v>4</v>
      </c>
      <c r="E21" t="str">
        <f t="shared" si="1"/>
        <v>Partially Consistent</v>
      </c>
      <c r="F21" t="str">
        <f t="shared" si="2"/>
        <v>High</v>
      </c>
      <c r="G21" t="str">
        <f t="shared" si="3"/>
        <v>MODERATE</v>
      </c>
      <c r="H21">
        <v>1</v>
      </c>
      <c r="I21">
        <v>0</v>
      </c>
      <c r="J21">
        <v>1</v>
      </c>
      <c r="K21" t="s">
        <v>14</v>
      </c>
      <c r="L21" t="s">
        <v>14</v>
      </c>
    </row>
    <row r="22" ht="17" spans="1:12">
      <c r="A22" s="1" t="s">
        <v>34</v>
      </c>
      <c r="B22" t="s">
        <v>17</v>
      </c>
      <c r="C22" t="str">
        <f t="shared" si="0"/>
        <v>OS</v>
      </c>
      <c r="D22">
        <v>2</v>
      </c>
      <c r="E22" t="str">
        <f t="shared" si="1"/>
        <v>Partially Consistent</v>
      </c>
      <c r="F22" t="str">
        <f t="shared" si="2"/>
        <v>Low</v>
      </c>
      <c r="G22" t="str">
        <f t="shared" si="3"/>
        <v>MODERATE</v>
      </c>
      <c r="H22">
        <v>0</v>
      </c>
      <c r="I22">
        <v>0</v>
      </c>
      <c r="J22">
        <v>1</v>
      </c>
      <c r="K22" t="s">
        <v>14</v>
      </c>
      <c r="L22" t="s">
        <v>14</v>
      </c>
    </row>
    <row r="23" ht="34" spans="1:12">
      <c r="A23" s="1" t="s">
        <v>35</v>
      </c>
      <c r="B23" t="s">
        <v>28</v>
      </c>
      <c r="C23" t="str">
        <f t="shared" si="0"/>
        <v>TS</v>
      </c>
      <c r="D23">
        <v>2</v>
      </c>
      <c r="E23" t="str">
        <f t="shared" si="1"/>
        <v>Partially Consistent</v>
      </c>
      <c r="F23" t="str">
        <f t="shared" si="2"/>
        <v>High</v>
      </c>
      <c r="G23" t="str">
        <f t="shared" si="3"/>
        <v>MODERATE</v>
      </c>
      <c r="H23">
        <v>0</v>
      </c>
      <c r="I23">
        <v>0</v>
      </c>
      <c r="J23">
        <v>1</v>
      </c>
      <c r="K23" t="s">
        <v>14</v>
      </c>
      <c r="L23" t="s">
        <v>14</v>
      </c>
    </row>
    <row r="24" ht="34" spans="1:12">
      <c r="A24" s="1" t="s">
        <v>36</v>
      </c>
      <c r="B24" t="s">
        <v>17</v>
      </c>
      <c r="C24" t="str">
        <f t="shared" si="0"/>
        <v>OS</v>
      </c>
      <c r="D24">
        <v>2</v>
      </c>
      <c r="E24" t="str">
        <f t="shared" si="1"/>
        <v>Partially Consistent</v>
      </c>
      <c r="F24" t="str">
        <f t="shared" si="2"/>
        <v>Low</v>
      </c>
      <c r="G24" t="str">
        <f t="shared" si="3"/>
        <v>MODERATE</v>
      </c>
      <c r="H24">
        <v>0</v>
      </c>
      <c r="I24">
        <v>1</v>
      </c>
      <c r="J24">
        <v>1</v>
      </c>
      <c r="K24" t="s">
        <v>14</v>
      </c>
      <c r="L24" t="s">
        <v>14</v>
      </c>
    </row>
    <row r="25" ht="17" spans="1:12">
      <c r="A25" s="1" t="s">
        <v>37</v>
      </c>
      <c r="B25" t="s">
        <v>13</v>
      </c>
      <c r="C25" t="str">
        <f t="shared" si="0"/>
        <v>OS</v>
      </c>
      <c r="D25">
        <v>2</v>
      </c>
      <c r="E25" t="str">
        <f t="shared" si="1"/>
        <v>Inconsistent</v>
      </c>
      <c r="F25" t="str">
        <f t="shared" si="2"/>
        <v>Low</v>
      </c>
      <c r="G25" t="str">
        <f t="shared" si="3"/>
        <v>LOW</v>
      </c>
      <c r="H25">
        <v>0</v>
      </c>
      <c r="I25">
        <v>0</v>
      </c>
      <c r="J25">
        <v>1</v>
      </c>
      <c r="K25" t="s">
        <v>14</v>
      </c>
      <c r="L25" t="s">
        <v>14</v>
      </c>
    </row>
    <row r="26" ht="17" spans="1:12">
      <c r="A26" s="1" t="s">
        <v>38</v>
      </c>
      <c r="B26" t="s">
        <v>17</v>
      </c>
      <c r="C26" t="str">
        <f t="shared" si="0"/>
        <v>OS</v>
      </c>
      <c r="D26">
        <v>2</v>
      </c>
      <c r="E26" t="str">
        <f t="shared" si="1"/>
        <v>Partially Consistent</v>
      </c>
      <c r="F26" t="str">
        <f t="shared" si="2"/>
        <v>Low</v>
      </c>
      <c r="G26" t="str">
        <f t="shared" si="3"/>
        <v>MODERATE</v>
      </c>
      <c r="H26">
        <v>0</v>
      </c>
      <c r="I26">
        <v>0</v>
      </c>
      <c r="J26">
        <v>1</v>
      </c>
      <c r="K26" t="s">
        <v>14</v>
      </c>
      <c r="L26" t="s">
        <v>14</v>
      </c>
    </row>
    <row r="27" ht="17" spans="1:12">
      <c r="A27" s="1" t="s">
        <v>39</v>
      </c>
      <c r="B27" t="s">
        <v>17</v>
      </c>
      <c r="C27" t="str">
        <f t="shared" si="0"/>
        <v>OS</v>
      </c>
      <c r="D27">
        <v>2</v>
      </c>
      <c r="E27" t="str">
        <f t="shared" si="1"/>
        <v>Partially Consistent</v>
      </c>
      <c r="F27" t="str">
        <f t="shared" si="2"/>
        <v>Low</v>
      </c>
      <c r="G27" t="str">
        <f t="shared" si="3"/>
        <v>MODERATE</v>
      </c>
      <c r="H27">
        <v>1</v>
      </c>
      <c r="I27">
        <v>0</v>
      </c>
      <c r="J27">
        <v>1</v>
      </c>
      <c r="K27" t="s">
        <v>14</v>
      </c>
      <c r="L27" t="s">
        <v>14</v>
      </c>
    </row>
    <row r="28" ht="17" spans="1:12">
      <c r="A28" s="1" t="s">
        <v>40</v>
      </c>
      <c r="B28" t="s">
        <v>28</v>
      </c>
      <c r="C28" t="str">
        <f t="shared" si="0"/>
        <v>TS</v>
      </c>
      <c r="D28">
        <v>2</v>
      </c>
      <c r="E28" t="str">
        <f t="shared" si="1"/>
        <v>Partially Consistent</v>
      </c>
      <c r="F28" t="str">
        <f t="shared" si="2"/>
        <v>High</v>
      </c>
      <c r="G28" t="str">
        <f t="shared" si="3"/>
        <v>MODERATE</v>
      </c>
      <c r="H28">
        <v>0</v>
      </c>
      <c r="I28">
        <v>0</v>
      </c>
      <c r="J28">
        <v>1</v>
      </c>
      <c r="K28" t="s">
        <v>14</v>
      </c>
      <c r="L28" t="s">
        <v>14</v>
      </c>
    </row>
    <row r="29" ht="34" spans="1:12">
      <c r="A29" s="1" t="s">
        <v>41</v>
      </c>
      <c r="B29" t="s">
        <v>17</v>
      </c>
      <c r="C29" t="str">
        <f t="shared" si="0"/>
        <v>OS</v>
      </c>
      <c r="D29">
        <v>2</v>
      </c>
      <c r="E29" t="str">
        <f t="shared" si="1"/>
        <v>Partially Consistent</v>
      </c>
      <c r="F29" t="str">
        <f t="shared" si="2"/>
        <v>Low</v>
      </c>
      <c r="G29" t="str">
        <f t="shared" si="3"/>
        <v>MODERATE</v>
      </c>
      <c r="H29">
        <v>1</v>
      </c>
      <c r="I29">
        <v>0</v>
      </c>
      <c r="J29">
        <v>1</v>
      </c>
      <c r="K29">
        <v>1</v>
      </c>
      <c r="L29" t="s">
        <v>14</v>
      </c>
    </row>
    <row r="30" ht="68" spans="1:12">
      <c r="A30" s="1" t="s">
        <v>42</v>
      </c>
      <c r="B30" t="s">
        <v>17</v>
      </c>
      <c r="C30" t="str">
        <f t="shared" si="0"/>
        <v>OS</v>
      </c>
      <c r="D30">
        <v>2</v>
      </c>
      <c r="E30" t="str">
        <f t="shared" si="1"/>
        <v>Partially Consistent</v>
      </c>
      <c r="F30" t="str">
        <f t="shared" si="2"/>
        <v>Low</v>
      </c>
      <c r="G30" t="str">
        <f t="shared" si="3"/>
        <v>MODERATE</v>
      </c>
      <c r="H30">
        <v>1</v>
      </c>
      <c r="I30">
        <v>0</v>
      </c>
      <c r="J30">
        <v>1</v>
      </c>
      <c r="K30" t="s">
        <v>14</v>
      </c>
      <c r="L30" t="s">
        <v>14</v>
      </c>
    </row>
    <row r="31" ht="17" spans="1:12">
      <c r="A31" s="1" t="s">
        <v>43</v>
      </c>
      <c r="B31" t="s">
        <v>28</v>
      </c>
      <c r="C31" t="str">
        <f t="shared" si="0"/>
        <v>TS</v>
      </c>
      <c r="D31">
        <v>2</v>
      </c>
      <c r="E31" t="str">
        <f t="shared" si="1"/>
        <v>Partially Consistent</v>
      </c>
      <c r="F31" t="str">
        <f t="shared" si="2"/>
        <v>High</v>
      </c>
      <c r="G31" t="str">
        <f t="shared" si="3"/>
        <v>MODERATE</v>
      </c>
      <c r="H31">
        <v>0</v>
      </c>
      <c r="I31">
        <v>0</v>
      </c>
      <c r="J31">
        <v>1</v>
      </c>
      <c r="K31" t="s">
        <v>14</v>
      </c>
      <c r="L31" t="s">
        <v>14</v>
      </c>
    </row>
    <row r="32" ht="17" spans="1:12">
      <c r="A32" s="1" t="s">
        <v>44</v>
      </c>
      <c r="B32" t="s">
        <v>17</v>
      </c>
      <c r="C32" t="str">
        <f t="shared" si="0"/>
        <v>OS</v>
      </c>
      <c r="D32">
        <v>1</v>
      </c>
      <c r="E32" t="str">
        <f t="shared" si="1"/>
        <v>Consistent</v>
      </c>
      <c r="F32" t="str">
        <f t="shared" si="2"/>
        <v>Low</v>
      </c>
      <c r="G32" t="str">
        <f t="shared" si="3"/>
        <v>MODERATE</v>
      </c>
      <c r="H32">
        <v>0</v>
      </c>
      <c r="I32">
        <v>0</v>
      </c>
      <c r="J32">
        <v>1</v>
      </c>
      <c r="K32" t="s">
        <v>14</v>
      </c>
      <c r="L32" t="s">
        <v>14</v>
      </c>
    </row>
    <row r="33" ht="34" spans="1:12">
      <c r="A33" s="1" t="s">
        <v>45</v>
      </c>
      <c r="B33" t="s">
        <v>17</v>
      </c>
      <c r="C33" t="str">
        <f t="shared" si="0"/>
        <v>OS</v>
      </c>
      <c r="D33">
        <v>1</v>
      </c>
      <c r="E33" t="str">
        <f t="shared" si="1"/>
        <v>Consistent</v>
      </c>
      <c r="F33" t="str">
        <f t="shared" si="2"/>
        <v>Low</v>
      </c>
      <c r="G33" t="str">
        <f t="shared" si="3"/>
        <v>MODERATE</v>
      </c>
      <c r="H33">
        <v>0</v>
      </c>
      <c r="I33">
        <v>0</v>
      </c>
      <c r="J33">
        <v>1</v>
      </c>
      <c r="K33" t="s">
        <v>14</v>
      </c>
      <c r="L33" t="s">
        <v>14</v>
      </c>
    </row>
    <row r="34" ht="34" spans="1:12">
      <c r="A34" s="1" t="s">
        <v>46</v>
      </c>
      <c r="B34" t="s">
        <v>17</v>
      </c>
      <c r="C34" t="str">
        <f t="shared" si="0"/>
        <v>OS</v>
      </c>
      <c r="D34">
        <v>1</v>
      </c>
      <c r="E34" t="str">
        <f t="shared" si="1"/>
        <v>Consistent</v>
      </c>
      <c r="F34" t="str">
        <f t="shared" si="2"/>
        <v>Low</v>
      </c>
      <c r="G34" t="str">
        <f t="shared" si="3"/>
        <v>MODERATE</v>
      </c>
      <c r="H34">
        <v>0</v>
      </c>
      <c r="I34">
        <v>0</v>
      </c>
      <c r="J34">
        <v>1</v>
      </c>
      <c r="K34" t="s">
        <v>14</v>
      </c>
      <c r="L34" t="s">
        <v>14</v>
      </c>
    </row>
    <row r="35" ht="34" spans="1:12">
      <c r="A35" s="1" t="s">
        <v>47</v>
      </c>
      <c r="B35" t="s">
        <v>17</v>
      </c>
      <c r="C35" t="str">
        <f t="shared" si="0"/>
        <v>OS</v>
      </c>
      <c r="D35">
        <v>1</v>
      </c>
      <c r="E35" t="str">
        <f t="shared" si="1"/>
        <v>Consistent</v>
      </c>
      <c r="F35" t="str">
        <f t="shared" si="2"/>
        <v>Low</v>
      </c>
      <c r="G35" t="str">
        <f t="shared" si="3"/>
        <v>MODERATE</v>
      </c>
      <c r="H35">
        <v>0</v>
      </c>
      <c r="I35">
        <v>0</v>
      </c>
      <c r="J35">
        <v>1</v>
      </c>
      <c r="K35" t="s">
        <v>14</v>
      </c>
      <c r="L35" t="s">
        <v>14</v>
      </c>
    </row>
    <row r="36" ht="34" spans="1:12">
      <c r="A36" s="1" t="s">
        <v>48</v>
      </c>
      <c r="B36" t="s">
        <v>28</v>
      </c>
      <c r="C36" t="str">
        <f t="shared" si="0"/>
        <v>TS</v>
      </c>
      <c r="D36">
        <v>1</v>
      </c>
      <c r="E36" t="str">
        <f t="shared" si="1"/>
        <v>Inconsistent</v>
      </c>
      <c r="F36" t="str">
        <f t="shared" si="2"/>
        <v>High</v>
      </c>
      <c r="G36" t="str">
        <f t="shared" si="3"/>
        <v>LOW</v>
      </c>
      <c r="H36">
        <v>0</v>
      </c>
      <c r="I36">
        <v>0</v>
      </c>
      <c r="J36">
        <v>1</v>
      </c>
      <c r="K36" t="s">
        <v>14</v>
      </c>
      <c r="L36" t="s">
        <v>14</v>
      </c>
    </row>
    <row r="37" ht="17" spans="1:12">
      <c r="A37" s="1" t="s">
        <v>49</v>
      </c>
      <c r="B37" t="s">
        <v>17</v>
      </c>
      <c r="C37" t="str">
        <f t="shared" si="0"/>
        <v>OS</v>
      </c>
      <c r="D37">
        <v>1</v>
      </c>
      <c r="E37" t="str">
        <f t="shared" si="1"/>
        <v>Consistent</v>
      </c>
      <c r="F37" t="str">
        <f t="shared" si="2"/>
        <v>Low</v>
      </c>
      <c r="G37" t="str">
        <f t="shared" si="3"/>
        <v>MODERATE</v>
      </c>
      <c r="H37">
        <v>1</v>
      </c>
      <c r="I37">
        <v>0</v>
      </c>
      <c r="J37">
        <v>1</v>
      </c>
      <c r="K37" t="s">
        <v>14</v>
      </c>
      <c r="L37" t="s">
        <v>14</v>
      </c>
    </row>
    <row r="38" ht="17" spans="1:12">
      <c r="A38" s="1" t="s">
        <v>50</v>
      </c>
      <c r="B38" t="s">
        <v>13</v>
      </c>
      <c r="C38" t="str">
        <f t="shared" si="0"/>
        <v>OS</v>
      </c>
      <c r="D38">
        <v>1</v>
      </c>
      <c r="E38" t="str">
        <f t="shared" si="1"/>
        <v>Inconsistent</v>
      </c>
      <c r="F38" t="str">
        <f t="shared" si="2"/>
        <v>Low</v>
      </c>
      <c r="G38" t="str">
        <f t="shared" si="3"/>
        <v>LOW</v>
      </c>
      <c r="H38">
        <v>0</v>
      </c>
      <c r="I38">
        <v>0</v>
      </c>
      <c r="J38">
        <v>1</v>
      </c>
      <c r="K38" t="s">
        <v>14</v>
      </c>
      <c r="L38" t="s">
        <v>14</v>
      </c>
    </row>
    <row r="39" ht="17" spans="1:12">
      <c r="A39" s="1" t="s">
        <v>51</v>
      </c>
      <c r="B39" t="s">
        <v>17</v>
      </c>
      <c r="C39" t="str">
        <f t="shared" si="0"/>
        <v>OS</v>
      </c>
      <c r="D39">
        <v>1</v>
      </c>
      <c r="E39" t="str">
        <f t="shared" si="1"/>
        <v>Consistent</v>
      </c>
      <c r="F39" t="str">
        <f t="shared" si="2"/>
        <v>Low</v>
      </c>
      <c r="G39" t="str">
        <f t="shared" si="3"/>
        <v>MODERATE</v>
      </c>
      <c r="H39">
        <v>0</v>
      </c>
      <c r="I39">
        <v>0</v>
      </c>
      <c r="J39">
        <v>1</v>
      </c>
      <c r="K39" t="s">
        <v>14</v>
      </c>
      <c r="L39" t="s">
        <v>14</v>
      </c>
    </row>
    <row r="40" ht="51" spans="1:12">
      <c r="A40" s="1" t="s">
        <v>52</v>
      </c>
      <c r="B40" t="s">
        <v>17</v>
      </c>
      <c r="C40" t="str">
        <f t="shared" si="0"/>
        <v>OS</v>
      </c>
      <c r="D40">
        <v>1</v>
      </c>
      <c r="E40" t="str">
        <f t="shared" si="1"/>
        <v>Consistent</v>
      </c>
      <c r="F40" t="str">
        <f t="shared" si="2"/>
        <v>Low</v>
      </c>
      <c r="G40" t="str">
        <f t="shared" si="3"/>
        <v>MODERATE</v>
      </c>
      <c r="H40">
        <v>0</v>
      </c>
      <c r="I40">
        <v>0</v>
      </c>
      <c r="J40">
        <v>1</v>
      </c>
      <c r="K40" t="s">
        <v>14</v>
      </c>
      <c r="L40" t="s">
        <v>14</v>
      </c>
    </row>
    <row r="41" ht="17" spans="1:12">
      <c r="A41" s="1" t="s">
        <v>53</v>
      </c>
      <c r="B41" t="s">
        <v>17</v>
      </c>
      <c r="C41" t="str">
        <f t="shared" si="0"/>
        <v>OS</v>
      </c>
      <c r="D41">
        <v>1</v>
      </c>
      <c r="E41" t="str">
        <f t="shared" si="1"/>
        <v>Consistent</v>
      </c>
      <c r="F41" t="str">
        <f t="shared" si="2"/>
        <v>Low</v>
      </c>
      <c r="G41" t="str">
        <f t="shared" si="3"/>
        <v>MODERATE</v>
      </c>
      <c r="H41">
        <v>0</v>
      </c>
      <c r="I41">
        <v>0</v>
      </c>
      <c r="J41">
        <v>1</v>
      </c>
      <c r="K41" t="s">
        <v>14</v>
      </c>
      <c r="L41" t="s">
        <v>14</v>
      </c>
    </row>
    <row r="42" ht="17" spans="1:12">
      <c r="A42" s="1" t="s">
        <v>54</v>
      </c>
      <c r="B42" t="s">
        <v>17</v>
      </c>
      <c r="C42" t="str">
        <f t="shared" si="0"/>
        <v>OS</v>
      </c>
      <c r="D42">
        <v>3</v>
      </c>
      <c r="E42" t="str">
        <f t="shared" si="1"/>
        <v>Inconsistent</v>
      </c>
      <c r="F42" t="str">
        <f t="shared" si="2"/>
        <v>Low</v>
      </c>
      <c r="G42" t="str">
        <f t="shared" si="3"/>
        <v>LOW</v>
      </c>
      <c r="H42">
        <v>0</v>
      </c>
      <c r="I42">
        <v>0</v>
      </c>
      <c r="J42">
        <v>1</v>
      </c>
      <c r="K42" t="s">
        <v>14</v>
      </c>
      <c r="L42" t="s">
        <v>14</v>
      </c>
    </row>
    <row r="43" ht="17" spans="1:12">
      <c r="A43" s="1" t="s">
        <v>55</v>
      </c>
      <c r="B43" t="s">
        <v>13</v>
      </c>
      <c r="C43" t="str">
        <f t="shared" si="0"/>
        <v>OS</v>
      </c>
      <c r="D43">
        <v>3</v>
      </c>
      <c r="E43" t="str">
        <f t="shared" si="1"/>
        <v>Inconsistent</v>
      </c>
      <c r="F43" t="str">
        <f t="shared" si="2"/>
        <v>Low</v>
      </c>
      <c r="G43" t="str">
        <f t="shared" si="3"/>
        <v>LOW</v>
      </c>
      <c r="H43">
        <v>0</v>
      </c>
      <c r="I43">
        <v>0</v>
      </c>
      <c r="J43">
        <v>1</v>
      </c>
      <c r="K43" t="s">
        <v>14</v>
      </c>
      <c r="L43" t="s">
        <v>14</v>
      </c>
    </row>
    <row r="44" ht="17" spans="1:12">
      <c r="A44" s="1" t="s">
        <v>56</v>
      </c>
      <c r="B44" t="s">
        <v>17</v>
      </c>
      <c r="C44" t="str">
        <f t="shared" si="0"/>
        <v>OS</v>
      </c>
      <c r="D44">
        <v>3</v>
      </c>
      <c r="E44" t="str">
        <f t="shared" si="1"/>
        <v>Inconsistent</v>
      </c>
      <c r="F44" t="str">
        <f t="shared" si="2"/>
        <v>Low</v>
      </c>
      <c r="G44" t="str">
        <f t="shared" si="3"/>
        <v>LOW</v>
      </c>
      <c r="H44">
        <v>0</v>
      </c>
      <c r="I44">
        <v>0</v>
      </c>
      <c r="J44">
        <v>1</v>
      </c>
      <c r="K44" t="s">
        <v>14</v>
      </c>
      <c r="L44" t="s">
        <v>14</v>
      </c>
    </row>
    <row r="45" ht="34" spans="1:12">
      <c r="A45" s="1" t="s">
        <v>57</v>
      </c>
      <c r="B45" t="s">
        <v>13</v>
      </c>
      <c r="C45" t="str">
        <f t="shared" si="0"/>
        <v>OS</v>
      </c>
      <c r="D45">
        <v>3</v>
      </c>
      <c r="E45" t="str">
        <f t="shared" si="1"/>
        <v>Inconsistent</v>
      </c>
      <c r="F45" t="str">
        <f t="shared" si="2"/>
        <v>Low</v>
      </c>
      <c r="G45" t="str">
        <f t="shared" si="3"/>
        <v>LOW</v>
      </c>
      <c r="H45">
        <v>1</v>
      </c>
      <c r="I45">
        <v>0</v>
      </c>
      <c r="J45">
        <v>1</v>
      </c>
      <c r="K45" t="s">
        <v>14</v>
      </c>
      <c r="L45" t="s">
        <v>14</v>
      </c>
    </row>
    <row r="46" ht="34" spans="1:12">
      <c r="A46" s="1" t="s">
        <v>58</v>
      </c>
      <c r="B46" t="s">
        <v>17</v>
      </c>
      <c r="C46" t="str">
        <f t="shared" si="0"/>
        <v>OS</v>
      </c>
      <c r="D46">
        <v>3</v>
      </c>
      <c r="E46" t="str">
        <f t="shared" si="1"/>
        <v>Inconsistent</v>
      </c>
      <c r="F46" t="str">
        <f t="shared" si="2"/>
        <v>Low</v>
      </c>
      <c r="G46" t="str">
        <f t="shared" si="3"/>
        <v>LOW</v>
      </c>
      <c r="H46">
        <v>1</v>
      </c>
      <c r="I46">
        <v>0</v>
      </c>
      <c r="J46">
        <v>1</v>
      </c>
      <c r="K46" t="s">
        <v>14</v>
      </c>
      <c r="L46" t="s">
        <v>14</v>
      </c>
    </row>
    <row r="47" ht="17" spans="1:12">
      <c r="A47" s="1" t="s">
        <v>59</v>
      </c>
      <c r="B47" t="s">
        <v>13</v>
      </c>
      <c r="C47" t="str">
        <f t="shared" si="0"/>
        <v>OS</v>
      </c>
      <c r="D47">
        <v>3</v>
      </c>
      <c r="E47" t="str">
        <f t="shared" si="1"/>
        <v>Inconsistent</v>
      </c>
      <c r="F47" t="str">
        <f t="shared" si="2"/>
        <v>Low</v>
      </c>
      <c r="G47" t="str">
        <f t="shared" si="3"/>
        <v>LOW</v>
      </c>
      <c r="H47">
        <v>0</v>
      </c>
      <c r="I47">
        <v>1</v>
      </c>
      <c r="J47">
        <v>0</v>
      </c>
      <c r="K47" t="s">
        <v>14</v>
      </c>
      <c r="L47" t="s">
        <v>14</v>
      </c>
    </row>
    <row r="48" ht="34" spans="1:12">
      <c r="A48" s="1" t="s">
        <v>60</v>
      </c>
      <c r="B48" t="s">
        <v>17</v>
      </c>
      <c r="C48" t="str">
        <f t="shared" si="0"/>
        <v>OS</v>
      </c>
      <c r="D48">
        <v>3</v>
      </c>
      <c r="E48" t="str">
        <f t="shared" si="1"/>
        <v>Inconsistent</v>
      </c>
      <c r="F48" t="str">
        <f t="shared" si="2"/>
        <v>Low</v>
      </c>
      <c r="G48" t="str">
        <f t="shared" si="3"/>
        <v>LOW</v>
      </c>
      <c r="H48">
        <v>0</v>
      </c>
      <c r="I48">
        <v>0</v>
      </c>
      <c r="J48">
        <v>1</v>
      </c>
      <c r="K48" t="s">
        <v>14</v>
      </c>
      <c r="L48" t="s">
        <v>14</v>
      </c>
    </row>
    <row r="49" ht="34" spans="1:12">
      <c r="A49" s="1" t="s">
        <v>61</v>
      </c>
      <c r="B49" t="s">
        <v>28</v>
      </c>
      <c r="C49" t="str">
        <f t="shared" si="0"/>
        <v>TS</v>
      </c>
      <c r="D49">
        <v>3</v>
      </c>
      <c r="E49" t="str">
        <f t="shared" si="1"/>
        <v>Consistent</v>
      </c>
      <c r="F49" t="str">
        <f t="shared" si="2"/>
        <v>High</v>
      </c>
      <c r="G49" t="str">
        <f t="shared" si="3"/>
        <v>HIGH</v>
      </c>
      <c r="H49">
        <v>0</v>
      </c>
      <c r="I49">
        <v>0</v>
      </c>
      <c r="J49">
        <v>1</v>
      </c>
      <c r="K49" t="s">
        <v>14</v>
      </c>
      <c r="L49" t="s">
        <v>14</v>
      </c>
    </row>
    <row r="50" ht="17" spans="1:12">
      <c r="A50" s="1" t="s">
        <v>62</v>
      </c>
      <c r="B50" t="s">
        <v>17</v>
      </c>
      <c r="C50" t="str">
        <f t="shared" si="0"/>
        <v>OS</v>
      </c>
      <c r="D50">
        <v>3</v>
      </c>
      <c r="E50" t="str">
        <f t="shared" si="1"/>
        <v>Inconsistent</v>
      </c>
      <c r="F50" t="str">
        <f t="shared" si="2"/>
        <v>Low</v>
      </c>
      <c r="G50" t="str">
        <f t="shared" si="3"/>
        <v>LOW</v>
      </c>
      <c r="H50">
        <v>0</v>
      </c>
      <c r="I50">
        <v>0</v>
      </c>
      <c r="J50">
        <v>1</v>
      </c>
      <c r="K50" t="s">
        <v>14</v>
      </c>
      <c r="L50" t="s">
        <v>14</v>
      </c>
    </row>
    <row r="51" ht="17" spans="1:12">
      <c r="A51" s="1" t="s">
        <v>63</v>
      </c>
      <c r="B51" t="s">
        <v>28</v>
      </c>
      <c r="C51" t="str">
        <f t="shared" si="0"/>
        <v>TS</v>
      </c>
      <c r="D51">
        <v>3</v>
      </c>
      <c r="E51" t="str">
        <f t="shared" si="1"/>
        <v>Consistent</v>
      </c>
      <c r="F51" t="str">
        <f t="shared" si="2"/>
        <v>High</v>
      </c>
      <c r="G51" t="str">
        <f t="shared" si="3"/>
        <v>HIGH</v>
      </c>
      <c r="H51">
        <v>1</v>
      </c>
      <c r="I51">
        <v>0</v>
      </c>
      <c r="J51">
        <v>1</v>
      </c>
      <c r="K51" t="s">
        <v>14</v>
      </c>
      <c r="L51" t="s">
        <v>14</v>
      </c>
    </row>
    <row r="52" ht="17" spans="1:12">
      <c r="A52" s="1" t="s">
        <v>64</v>
      </c>
      <c r="B52" t="s">
        <v>13</v>
      </c>
      <c r="C52" t="str">
        <f t="shared" si="0"/>
        <v>OS</v>
      </c>
      <c r="D52">
        <v>3</v>
      </c>
      <c r="E52" t="str">
        <f t="shared" si="1"/>
        <v>Inconsistent</v>
      </c>
      <c r="F52" t="str">
        <f t="shared" si="2"/>
        <v>Low</v>
      </c>
      <c r="G52" t="str">
        <f t="shared" si="3"/>
        <v>LOW</v>
      </c>
      <c r="H52">
        <v>0</v>
      </c>
      <c r="I52">
        <v>0</v>
      </c>
      <c r="J52">
        <v>1</v>
      </c>
      <c r="K52" t="s">
        <v>14</v>
      </c>
      <c r="L52" t="s">
        <v>14</v>
      </c>
    </row>
    <row r="53" ht="17" spans="1:12">
      <c r="A53" s="1" t="s">
        <v>65</v>
      </c>
      <c r="B53" t="s">
        <v>28</v>
      </c>
      <c r="C53" t="str">
        <f t="shared" si="0"/>
        <v>TS</v>
      </c>
      <c r="D53">
        <v>3</v>
      </c>
      <c r="E53" t="str">
        <f t="shared" si="1"/>
        <v>Consistent</v>
      </c>
      <c r="F53" t="str">
        <f t="shared" si="2"/>
        <v>High</v>
      </c>
      <c r="G53" t="str">
        <f t="shared" si="3"/>
        <v>HIGH</v>
      </c>
      <c r="H53">
        <v>0</v>
      </c>
      <c r="I53">
        <v>0</v>
      </c>
      <c r="J53">
        <v>1</v>
      </c>
      <c r="K53" t="s">
        <v>14</v>
      </c>
      <c r="L53" t="s">
        <v>14</v>
      </c>
    </row>
    <row r="54" ht="17" spans="1:12">
      <c r="A54" s="1" t="s">
        <v>66</v>
      </c>
      <c r="B54" t="s">
        <v>17</v>
      </c>
      <c r="C54" t="str">
        <f t="shared" si="0"/>
        <v>OS</v>
      </c>
      <c r="D54">
        <v>3</v>
      </c>
      <c r="E54" t="str">
        <f t="shared" si="1"/>
        <v>Inconsistent</v>
      </c>
      <c r="F54" t="str">
        <f t="shared" si="2"/>
        <v>Low</v>
      </c>
      <c r="G54" t="str">
        <f t="shared" si="3"/>
        <v>LOW</v>
      </c>
      <c r="H54">
        <v>0</v>
      </c>
      <c r="I54">
        <v>0</v>
      </c>
      <c r="J54">
        <v>1</v>
      </c>
      <c r="K54" t="s">
        <v>14</v>
      </c>
      <c r="L54" t="s">
        <v>14</v>
      </c>
    </row>
    <row r="55" ht="17" spans="1:12">
      <c r="A55" s="1" t="s">
        <v>67</v>
      </c>
      <c r="B55" t="s">
        <v>17</v>
      </c>
      <c r="C55" t="str">
        <f t="shared" si="0"/>
        <v>OS</v>
      </c>
      <c r="D55">
        <v>3</v>
      </c>
      <c r="E55" t="str">
        <f t="shared" si="1"/>
        <v>Inconsistent</v>
      </c>
      <c r="F55" t="str">
        <f t="shared" si="2"/>
        <v>Low</v>
      </c>
      <c r="G55" t="str">
        <f t="shared" si="3"/>
        <v>LOW</v>
      </c>
      <c r="H55">
        <v>0</v>
      </c>
      <c r="I55">
        <v>0</v>
      </c>
      <c r="J55">
        <v>1</v>
      </c>
      <c r="K55" t="s">
        <v>14</v>
      </c>
      <c r="L55" t="s">
        <v>14</v>
      </c>
    </row>
    <row r="56" ht="34" spans="1:12">
      <c r="A56" s="1" t="s">
        <v>68</v>
      </c>
      <c r="B56" t="s">
        <v>28</v>
      </c>
      <c r="C56" t="str">
        <f t="shared" si="0"/>
        <v>TS</v>
      </c>
      <c r="D56">
        <v>3</v>
      </c>
      <c r="E56" t="str">
        <f t="shared" si="1"/>
        <v>Consistent</v>
      </c>
      <c r="F56" t="str">
        <f t="shared" si="2"/>
        <v>High</v>
      </c>
      <c r="G56" t="str">
        <f t="shared" si="3"/>
        <v>HIGH</v>
      </c>
      <c r="H56">
        <v>0</v>
      </c>
      <c r="I56">
        <v>0</v>
      </c>
      <c r="J56">
        <v>1</v>
      </c>
      <c r="K56" t="s">
        <v>14</v>
      </c>
      <c r="L56" t="s">
        <v>14</v>
      </c>
    </row>
    <row r="57" ht="34" spans="1:12">
      <c r="A57" s="1" t="s">
        <v>69</v>
      </c>
      <c r="B57" t="s">
        <v>28</v>
      </c>
      <c r="C57" t="str">
        <f t="shared" si="0"/>
        <v>TS</v>
      </c>
      <c r="D57">
        <v>3</v>
      </c>
      <c r="E57" t="str">
        <f t="shared" si="1"/>
        <v>Consistent</v>
      </c>
      <c r="F57" t="str">
        <f t="shared" si="2"/>
        <v>High</v>
      </c>
      <c r="G57" t="str">
        <f t="shared" si="3"/>
        <v>HIGH</v>
      </c>
      <c r="H57">
        <v>0</v>
      </c>
      <c r="I57">
        <v>0</v>
      </c>
      <c r="J57">
        <v>1</v>
      </c>
      <c r="K57" t="s">
        <v>14</v>
      </c>
      <c r="L57" t="s">
        <v>14</v>
      </c>
    </row>
    <row r="58" ht="17" spans="1:12">
      <c r="A58" s="1" t="s">
        <v>70</v>
      </c>
      <c r="B58" t="s">
        <v>28</v>
      </c>
      <c r="C58" t="str">
        <f t="shared" si="0"/>
        <v>TS</v>
      </c>
      <c r="D58">
        <v>3</v>
      </c>
      <c r="E58" t="str">
        <f t="shared" si="1"/>
        <v>Consistent</v>
      </c>
      <c r="F58" t="str">
        <f t="shared" si="2"/>
        <v>High</v>
      </c>
      <c r="G58" t="str">
        <f t="shared" si="3"/>
        <v>HIGH</v>
      </c>
      <c r="H58">
        <v>0</v>
      </c>
      <c r="I58">
        <v>0</v>
      </c>
      <c r="J58">
        <v>1</v>
      </c>
      <c r="K58" t="s">
        <v>14</v>
      </c>
      <c r="L58" t="s">
        <v>14</v>
      </c>
    </row>
    <row r="59" ht="17" spans="1:12">
      <c r="A59" s="1" t="s">
        <v>71</v>
      </c>
      <c r="B59" t="s">
        <v>28</v>
      </c>
      <c r="C59" t="str">
        <f t="shared" si="0"/>
        <v>TS</v>
      </c>
      <c r="D59">
        <v>3</v>
      </c>
      <c r="E59" t="str">
        <f t="shared" si="1"/>
        <v>Consistent</v>
      </c>
      <c r="F59" t="str">
        <f t="shared" si="2"/>
        <v>High</v>
      </c>
      <c r="G59" t="str">
        <f t="shared" si="3"/>
        <v>HIGH</v>
      </c>
      <c r="H59">
        <v>0</v>
      </c>
      <c r="I59">
        <v>0</v>
      </c>
      <c r="J59">
        <v>1</v>
      </c>
      <c r="K59" t="s">
        <v>14</v>
      </c>
      <c r="L59" t="s">
        <v>14</v>
      </c>
    </row>
    <row r="60" ht="68" spans="1:12">
      <c r="A60" s="1" t="s">
        <v>72</v>
      </c>
      <c r="B60" t="s">
        <v>28</v>
      </c>
      <c r="C60" t="str">
        <f t="shared" si="0"/>
        <v>TS</v>
      </c>
      <c r="D60">
        <v>3</v>
      </c>
      <c r="E60" t="str">
        <f t="shared" si="1"/>
        <v>Consistent</v>
      </c>
      <c r="F60" t="str">
        <f t="shared" si="2"/>
        <v>High</v>
      </c>
      <c r="G60" t="str">
        <f t="shared" si="3"/>
        <v>HIGH</v>
      </c>
      <c r="H60">
        <v>0</v>
      </c>
      <c r="I60">
        <v>0</v>
      </c>
      <c r="J60">
        <v>1</v>
      </c>
      <c r="K60" t="s">
        <v>14</v>
      </c>
      <c r="L60" t="s">
        <v>14</v>
      </c>
    </row>
    <row r="61" ht="34" spans="1:12">
      <c r="A61" s="1" t="s">
        <v>73</v>
      </c>
      <c r="B61" t="s">
        <v>28</v>
      </c>
      <c r="C61" t="str">
        <f t="shared" si="0"/>
        <v>TS</v>
      </c>
      <c r="D61">
        <v>3</v>
      </c>
      <c r="E61" t="str">
        <f t="shared" si="1"/>
        <v>Consistent</v>
      </c>
      <c r="F61" t="str">
        <f t="shared" si="2"/>
        <v>High</v>
      </c>
      <c r="G61" t="str">
        <f t="shared" si="3"/>
        <v>HIGH</v>
      </c>
      <c r="H61">
        <v>0</v>
      </c>
      <c r="I61">
        <v>0</v>
      </c>
      <c r="J61">
        <v>1</v>
      </c>
      <c r="K61" t="s">
        <v>14</v>
      </c>
      <c r="L61" t="s">
        <v>14</v>
      </c>
    </row>
    <row r="62" ht="34" spans="1:12">
      <c r="A62" s="1" t="s">
        <v>74</v>
      </c>
      <c r="B62" t="s">
        <v>28</v>
      </c>
      <c r="C62" t="str">
        <f t="shared" si="0"/>
        <v>TS</v>
      </c>
      <c r="D62">
        <v>3</v>
      </c>
      <c r="E62" t="str">
        <f t="shared" si="1"/>
        <v>Consistent</v>
      </c>
      <c r="F62" t="s">
        <v>75</v>
      </c>
      <c r="G62" t="str">
        <f t="shared" si="3"/>
        <v>LOW</v>
      </c>
      <c r="H62">
        <v>0</v>
      </c>
      <c r="I62">
        <v>0</v>
      </c>
      <c r="J62">
        <v>1</v>
      </c>
      <c r="K62">
        <v>1</v>
      </c>
      <c r="L62" t="s">
        <v>14</v>
      </c>
    </row>
    <row r="63" ht="17" spans="1:12">
      <c r="A63" s="1" t="s">
        <v>76</v>
      </c>
      <c r="B63" t="s">
        <v>17</v>
      </c>
      <c r="C63" t="str">
        <f t="shared" si="0"/>
        <v>OS</v>
      </c>
      <c r="D63">
        <v>3</v>
      </c>
      <c r="E63" t="str">
        <f t="shared" si="1"/>
        <v>Inconsistent</v>
      </c>
      <c r="F63" t="str">
        <f t="shared" si="2"/>
        <v>Low</v>
      </c>
      <c r="G63" t="str">
        <f t="shared" si="3"/>
        <v>LOW</v>
      </c>
      <c r="H63">
        <v>0</v>
      </c>
      <c r="I63">
        <v>0</v>
      </c>
      <c r="J63">
        <v>1</v>
      </c>
      <c r="K63" t="s">
        <v>14</v>
      </c>
      <c r="L63" t="s">
        <v>14</v>
      </c>
    </row>
    <row r="64" ht="17" spans="1:12">
      <c r="A64" s="1" t="s">
        <v>77</v>
      </c>
      <c r="B64" t="s">
        <v>17</v>
      </c>
      <c r="C64" t="str">
        <f t="shared" si="0"/>
        <v>OS</v>
      </c>
      <c r="D64">
        <v>3</v>
      </c>
      <c r="E64" t="str">
        <f t="shared" si="1"/>
        <v>Inconsistent</v>
      </c>
      <c r="F64" t="str">
        <f t="shared" si="2"/>
        <v>Low</v>
      </c>
      <c r="G64" t="str">
        <f t="shared" si="3"/>
        <v>LOW</v>
      </c>
      <c r="H64">
        <v>0</v>
      </c>
      <c r="I64">
        <v>0</v>
      </c>
      <c r="J64">
        <v>1</v>
      </c>
      <c r="K64" t="s">
        <v>14</v>
      </c>
      <c r="L64" t="s">
        <v>14</v>
      </c>
    </row>
    <row r="65" ht="17" spans="1:12">
      <c r="A65" s="1" t="s">
        <v>78</v>
      </c>
      <c r="B65" t="s">
        <v>17</v>
      </c>
      <c r="C65" t="str">
        <f t="shared" si="0"/>
        <v>OS</v>
      </c>
      <c r="D65">
        <v>3</v>
      </c>
      <c r="E65" t="str">
        <f t="shared" si="1"/>
        <v>Inconsistent</v>
      </c>
      <c r="F65" t="str">
        <f t="shared" si="2"/>
        <v>Low</v>
      </c>
      <c r="G65" t="str">
        <f t="shared" si="3"/>
        <v>LOW</v>
      </c>
      <c r="H65">
        <v>1</v>
      </c>
      <c r="I65">
        <v>0</v>
      </c>
      <c r="J65">
        <v>1</v>
      </c>
      <c r="K65" t="s">
        <v>14</v>
      </c>
      <c r="L65" t="s">
        <v>14</v>
      </c>
    </row>
    <row r="66" ht="17" spans="1:12">
      <c r="A66" s="1" t="s">
        <v>79</v>
      </c>
      <c r="B66" t="s">
        <v>17</v>
      </c>
      <c r="C66" t="str">
        <f t="shared" ref="C66:C98" si="4">IF(B66="NEUTRAL","TS","OS")</f>
        <v>OS</v>
      </c>
      <c r="D66">
        <v>3</v>
      </c>
      <c r="E66" t="str">
        <f t="shared" ref="E66:E98" si="5">IF(C66="TS",IF(D66=3,"Consistent",IF(OR(D66=2,D66=4),"Partially Consistent","Inconsistent")),IF(D66=3,"Inconsistent",IF(AND(D66=5,B66="POSITIVE"),"Consistent",IF(AND(D66=1,B66="NEGATIVE"),"Consistent",IF(AND(D66=4,B66="POSITIVE"),"Partially Consistent",IF(AND(D66=2,B66="NEGATIVE"),"Partially Consistent","Inconsistent"))))))</f>
        <v>Inconsistent</v>
      </c>
      <c r="F66" t="str">
        <f t="shared" ref="F66:F98" si="6">IF(C66="TS","High","Low")</f>
        <v>Low</v>
      </c>
      <c r="G66" t="str">
        <f t="shared" ref="G66:G98" si="7">IF(AND(B66="NEUTRAL",F66="Low"),"LOW",IF(AND(C66="TS",F66="High",D66=3),"HIGH",IF(AND(C66="TS",F66="High",OR(D66=2,D66=4)),"MODERATE",IF(AND(C66="TS",F66="High",OR(D66=1,D66=5)),"LOW",IF(AND(C66="OS",E66="Consistent",OR(D66=1,D66=5)),"MODERATE",IF(AND(C66="OS",E66="Partially Consistent",OR(D66=2,D66=4)),"MODERATE","LOW"))))))</f>
        <v>LOW</v>
      </c>
      <c r="H66">
        <v>1</v>
      </c>
      <c r="I66">
        <v>0</v>
      </c>
      <c r="J66">
        <v>1</v>
      </c>
      <c r="K66" t="s">
        <v>14</v>
      </c>
      <c r="L66" t="s">
        <v>14</v>
      </c>
    </row>
    <row r="67" ht="17" spans="1:12">
      <c r="A67" s="1" t="s">
        <v>80</v>
      </c>
      <c r="B67" t="s">
        <v>17</v>
      </c>
      <c r="C67" t="str">
        <f t="shared" si="4"/>
        <v>OS</v>
      </c>
      <c r="D67">
        <v>3</v>
      </c>
      <c r="E67" t="str">
        <f t="shared" si="5"/>
        <v>Inconsistent</v>
      </c>
      <c r="F67" t="str">
        <f t="shared" si="6"/>
        <v>Low</v>
      </c>
      <c r="G67" t="str">
        <f t="shared" si="7"/>
        <v>LOW</v>
      </c>
      <c r="H67">
        <v>0</v>
      </c>
      <c r="I67">
        <v>0</v>
      </c>
      <c r="J67">
        <v>1</v>
      </c>
      <c r="K67" t="s">
        <v>14</v>
      </c>
      <c r="L67" t="s">
        <v>14</v>
      </c>
    </row>
    <row r="68" ht="34" spans="1:12">
      <c r="A68" s="1" t="s">
        <v>81</v>
      </c>
      <c r="B68" t="s">
        <v>17</v>
      </c>
      <c r="C68" t="str">
        <f t="shared" si="4"/>
        <v>OS</v>
      </c>
      <c r="D68">
        <v>3</v>
      </c>
      <c r="E68" t="str">
        <f t="shared" si="5"/>
        <v>Inconsistent</v>
      </c>
      <c r="F68" t="str">
        <f t="shared" si="6"/>
        <v>Low</v>
      </c>
      <c r="G68" t="str">
        <f t="shared" si="7"/>
        <v>LOW</v>
      </c>
      <c r="H68">
        <v>0</v>
      </c>
      <c r="I68">
        <v>0</v>
      </c>
      <c r="J68">
        <v>1</v>
      </c>
      <c r="K68" t="s">
        <v>14</v>
      </c>
      <c r="L68" t="s">
        <v>14</v>
      </c>
    </row>
    <row r="69" ht="17" spans="1:12">
      <c r="A69" s="1" t="s">
        <v>82</v>
      </c>
      <c r="B69" t="s">
        <v>13</v>
      </c>
      <c r="C69" t="str">
        <f t="shared" si="4"/>
        <v>OS</v>
      </c>
      <c r="D69">
        <v>3</v>
      </c>
      <c r="E69" t="str">
        <f t="shared" si="5"/>
        <v>Inconsistent</v>
      </c>
      <c r="F69" t="str">
        <f t="shared" si="6"/>
        <v>Low</v>
      </c>
      <c r="G69" t="str">
        <f t="shared" si="7"/>
        <v>LOW</v>
      </c>
      <c r="H69">
        <v>0</v>
      </c>
      <c r="I69">
        <v>0</v>
      </c>
      <c r="J69">
        <v>1</v>
      </c>
      <c r="K69" t="s">
        <v>14</v>
      </c>
      <c r="L69" t="s">
        <v>14</v>
      </c>
    </row>
    <row r="70" ht="34" spans="1:12">
      <c r="A70" s="1" t="s">
        <v>83</v>
      </c>
      <c r="B70" t="s">
        <v>28</v>
      </c>
      <c r="C70" t="str">
        <f t="shared" si="4"/>
        <v>TS</v>
      </c>
      <c r="D70">
        <v>3</v>
      </c>
      <c r="E70" t="str">
        <f t="shared" si="5"/>
        <v>Consistent</v>
      </c>
      <c r="F70" t="str">
        <f t="shared" si="6"/>
        <v>High</v>
      </c>
      <c r="G70" t="str">
        <f t="shared" si="7"/>
        <v>HIGH</v>
      </c>
      <c r="H70">
        <v>0</v>
      </c>
      <c r="I70">
        <v>0</v>
      </c>
      <c r="J70">
        <v>1</v>
      </c>
      <c r="K70" t="s">
        <v>14</v>
      </c>
      <c r="L70" t="s">
        <v>14</v>
      </c>
    </row>
    <row r="71" ht="34" spans="1:12">
      <c r="A71" s="1" t="s">
        <v>84</v>
      </c>
      <c r="B71" t="s">
        <v>28</v>
      </c>
      <c r="C71" t="str">
        <f t="shared" si="4"/>
        <v>TS</v>
      </c>
      <c r="D71">
        <v>3</v>
      </c>
      <c r="E71" t="str">
        <f t="shared" si="5"/>
        <v>Consistent</v>
      </c>
      <c r="F71" t="str">
        <f t="shared" si="6"/>
        <v>High</v>
      </c>
      <c r="G71" t="str">
        <f t="shared" si="7"/>
        <v>HIGH</v>
      </c>
      <c r="H71">
        <v>0</v>
      </c>
      <c r="I71">
        <v>0</v>
      </c>
      <c r="J71">
        <v>1</v>
      </c>
      <c r="K71" t="s">
        <v>14</v>
      </c>
      <c r="L71" t="s">
        <v>14</v>
      </c>
    </row>
    <row r="72" ht="34" spans="1:12">
      <c r="A72" s="1" t="s">
        <v>85</v>
      </c>
      <c r="B72" t="s">
        <v>28</v>
      </c>
      <c r="C72" t="str">
        <f t="shared" si="4"/>
        <v>TS</v>
      </c>
      <c r="D72">
        <v>3</v>
      </c>
      <c r="E72" t="str">
        <f t="shared" si="5"/>
        <v>Consistent</v>
      </c>
      <c r="F72" t="str">
        <f t="shared" si="6"/>
        <v>High</v>
      </c>
      <c r="G72" t="str">
        <f t="shared" si="7"/>
        <v>HIGH</v>
      </c>
      <c r="H72">
        <v>0</v>
      </c>
      <c r="I72">
        <v>0</v>
      </c>
      <c r="J72">
        <v>1</v>
      </c>
      <c r="K72" t="s">
        <v>14</v>
      </c>
      <c r="L72" t="s">
        <v>14</v>
      </c>
    </row>
    <row r="73" ht="17" spans="1:12">
      <c r="A73" s="1" t="s">
        <v>86</v>
      </c>
      <c r="B73" t="s">
        <v>17</v>
      </c>
      <c r="C73" t="str">
        <f t="shared" si="4"/>
        <v>OS</v>
      </c>
      <c r="D73">
        <v>3</v>
      </c>
      <c r="E73" t="str">
        <f t="shared" si="5"/>
        <v>Inconsistent</v>
      </c>
      <c r="F73" t="str">
        <f t="shared" si="6"/>
        <v>Low</v>
      </c>
      <c r="G73" t="str">
        <f t="shared" si="7"/>
        <v>LOW</v>
      </c>
      <c r="H73">
        <v>1</v>
      </c>
      <c r="I73">
        <v>0</v>
      </c>
      <c r="J73">
        <v>1</v>
      </c>
      <c r="K73" t="s">
        <v>14</v>
      </c>
      <c r="L73" t="s">
        <v>14</v>
      </c>
    </row>
    <row r="74" ht="34" spans="1:12">
      <c r="A74" s="1" t="s">
        <v>60</v>
      </c>
      <c r="B74" t="s">
        <v>17</v>
      </c>
      <c r="C74" t="str">
        <f t="shared" si="4"/>
        <v>OS</v>
      </c>
      <c r="D74">
        <v>3</v>
      </c>
      <c r="E74" t="str">
        <f t="shared" si="5"/>
        <v>Inconsistent</v>
      </c>
      <c r="F74" t="str">
        <f t="shared" si="6"/>
        <v>Low</v>
      </c>
      <c r="G74" t="str">
        <f t="shared" si="7"/>
        <v>LOW</v>
      </c>
      <c r="H74">
        <v>0</v>
      </c>
      <c r="I74">
        <v>0</v>
      </c>
      <c r="J74">
        <v>1</v>
      </c>
      <c r="K74" t="s">
        <v>14</v>
      </c>
      <c r="L74" t="s">
        <v>14</v>
      </c>
    </row>
    <row r="75" ht="34" spans="1:12">
      <c r="A75" s="1" t="s">
        <v>87</v>
      </c>
      <c r="B75" t="s">
        <v>17</v>
      </c>
      <c r="C75" t="str">
        <f t="shared" si="4"/>
        <v>OS</v>
      </c>
      <c r="D75">
        <v>3</v>
      </c>
      <c r="E75" t="str">
        <f t="shared" si="5"/>
        <v>Inconsistent</v>
      </c>
      <c r="F75" t="str">
        <f t="shared" si="6"/>
        <v>Low</v>
      </c>
      <c r="G75" t="str">
        <f t="shared" si="7"/>
        <v>LOW</v>
      </c>
      <c r="H75">
        <v>0</v>
      </c>
      <c r="I75">
        <v>0</v>
      </c>
      <c r="J75">
        <v>1</v>
      </c>
      <c r="K75" t="s">
        <v>14</v>
      </c>
      <c r="L75" t="s">
        <v>14</v>
      </c>
    </row>
    <row r="76" ht="34" spans="1:12">
      <c r="A76" s="1" t="s">
        <v>88</v>
      </c>
      <c r="B76" t="s">
        <v>17</v>
      </c>
      <c r="C76" t="str">
        <f t="shared" si="4"/>
        <v>OS</v>
      </c>
      <c r="D76">
        <v>3</v>
      </c>
      <c r="E76" t="str">
        <f t="shared" si="5"/>
        <v>Inconsistent</v>
      </c>
      <c r="F76" t="str">
        <f t="shared" si="6"/>
        <v>Low</v>
      </c>
      <c r="G76" t="str">
        <f t="shared" si="7"/>
        <v>LOW</v>
      </c>
      <c r="H76">
        <v>0</v>
      </c>
      <c r="I76">
        <v>0</v>
      </c>
      <c r="J76">
        <v>1</v>
      </c>
      <c r="K76" t="s">
        <v>14</v>
      </c>
      <c r="L76" t="s">
        <v>14</v>
      </c>
    </row>
    <row r="77" ht="34" spans="1:12">
      <c r="A77" s="1" t="s">
        <v>60</v>
      </c>
      <c r="B77" t="s">
        <v>17</v>
      </c>
      <c r="C77" t="str">
        <f t="shared" si="4"/>
        <v>OS</v>
      </c>
      <c r="D77">
        <v>3</v>
      </c>
      <c r="E77" t="str">
        <f t="shared" si="5"/>
        <v>Inconsistent</v>
      </c>
      <c r="F77" t="str">
        <f t="shared" si="6"/>
        <v>Low</v>
      </c>
      <c r="G77" t="str">
        <f t="shared" si="7"/>
        <v>LOW</v>
      </c>
      <c r="H77">
        <v>0</v>
      </c>
      <c r="I77">
        <v>0</v>
      </c>
      <c r="J77">
        <v>1</v>
      </c>
      <c r="K77" t="s">
        <v>14</v>
      </c>
      <c r="L77" t="s">
        <v>14</v>
      </c>
    </row>
    <row r="78" ht="34" spans="1:12">
      <c r="A78" s="1" t="s">
        <v>89</v>
      </c>
      <c r="B78" t="s">
        <v>28</v>
      </c>
      <c r="C78" t="str">
        <f t="shared" si="4"/>
        <v>TS</v>
      </c>
      <c r="D78">
        <v>3</v>
      </c>
      <c r="E78" t="str">
        <f t="shared" si="5"/>
        <v>Consistent</v>
      </c>
      <c r="F78" t="str">
        <f t="shared" si="6"/>
        <v>High</v>
      </c>
      <c r="G78" t="str">
        <f t="shared" si="7"/>
        <v>HIGH</v>
      </c>
      <c r="H78">
        <v>0</v>
      </c>
      <c r="I78">
        <v>0</v>
      </c>
      <c r="J78">
        <v>1</v>
      </c>
      <c r="K78" t="s">
        <v>14</v>
      </c>
      <c r="L78" t="s">
        <v>14</v>
      </c>
    </row>
    <row r="79" ht="17" spans="1:12">
      <c r="A79" s="1" t="s">
        <v>90</v>
      </c>
      <c r="B79" t="s">
        <v>28</v>
      </c>
      <c r="C79" t="str">
        <f t="shared" si="4"/>
        <v>TS</v>
      </c>
      <c r="D79">
        <v>3</v>
      </c>
      <c r="E79" t="str">
        <f t="shared" si="5"/>
        <v>Consistent</v>
      </c>
      <c r="F79" t="str">
        <f t="shared" si="6"/>
        <v>High</v>
      </c>
      <c r="G79" t="str">
        <f t="shared" si="7"/>
        <v>HIGH</v>
      </c>
      <c r="H79">
        <v>0</v>
      </c>
      <c r="I79">
        <v>0</v>
      </c>
      <c r="J79">
        <v>1</v>
      </c>
      <c r="K79" t="s">
        <v>14</v>
      </c>
      <c r="L79" t="s">
        <v>14</v>
      </c>
    </row>
    <row r="80" ht="17" spans="1:12">
      <c r="A80" s="1" t="s">
        <v>91</v>
      </c>
      <c r="B80" t="s">
        <v>13</v>
      </c>
      <c r="C80" t="str">
        <f t="shared" si="4"/>
        <v>OS</v>
      </c>
      <c r="D80">
        <v>3</v>
      </c>
      <c r="E80" t="str">
        <f t="shared" si="5"/>
        <v>Inconsistent</v>
      </c>
      <c r="F80" t="str">
        <f t="shared" si="6"/>
        <v>Low</v>
      </c>
      <c r="G80" t="str">
        <f t="shared" si="7"/>
        <v>LOW</v>
      </c>
      <c r="H80">
        <v>0</v>
      </c>
      <c r="I80">
        <v>0</v>
      </c>
      <c r="J80">
        <v>1</v>
      </c>
      <c r="K80" t="s">
        <v>14</v>
      </c>
      <c r="L80" t="s">
        <v>14</v>
      </c>
    </row>
    <row r="81" ht="34" spans="1:12">
      <c r="A81" s="1" t="s">
        <v>92</v>
      </c>
      <c r="B81" t="s">
        <v>28</v>
      </c>
      <c r="C81" t="str">
        <f t="shared" si="4"/>
        <v>TS</v>
      </c>
      <c r="D81">
        <v>3</v>
      </c>
      <c r="E81" t="str">
        <f t="shared" si="5"/>
        <v>Consistent</v>
      </c>
      <c r="F81" t="str">
        <f t="shared" si="6"/>
        <v>High</v>
      </c>
      <c r="G81" t="str">
        <f t="shared" si="7"/>
        <v>HIGH</v>
      </c>
      <c r="H81">
        <v>0</v>
      </c>
      <c r="I81">
        <v>0</v>
      </c>
      <c r="J81">
        <v>1</v>
      </c>
      <c r="K81" t="s">
        <v>14</v>
      </c>
      <c r="L81" t="s">
        <v>14</v>
      </c>
    </row>
    <row r="82" ht="17" spans="1:12">
      <c r="A82" s="1" t="s">
        <v>93</v>
      </c>
      <c r="B82" t="s">
        <v>28</v>
      </c>
      <c r="C82" t="str">
        <f t="shared" si="4"/>
        <v>TS</v>
      </c>
      <c r="D82">
        <v>3</v>
      </c>
      <c r="E82" t="str">
        <f t="shared" si="5"/>
        <v>Consistent</v>
      </c>
      <c r="F82" t="str">
        <f t="shared" si="6"/>
        <v>High</v>
      </c>
      <c r="G82" t="str">
        <f t="shared" si="7"/>
        <v>HIGH</v>
      </c>
      <c r="H82">
        <v>0</v>
      </c>
      <c r="I82">
        <v>0</v>
      </c>
      <c r="J82">
        <v>1</v>
      </c>
      <c r="K82" t="s">
        <v>14</v>
      </c>
      <c r="L82" t="s">
        <v>14</v>
      </c>
    </row>
    <row r="83" ht="34" spans="1:12">
      <c r="A83" s="1" t="s">
        <v>94</v>
      </c>
      <c r="B83" t="s">
        <v>28</v>
      </c>
      <c r="C83" t="str">
        <f t="shared" si="4"/>
        <v>TS</v>
      </c>
      <c r="D83">
        <v>3</v>
      </c>
      <c r="E83" t="str">
        <f t="shared" si="5"/>
        <v>Consistent</v>
      </c>
      <c r="F83" t="str">
        <f t="shared" si="6"/>
        <v>High</v>
      </c>
      <c r="G83" t="str">
        <f t="shared" si="7"/>
        <v>HIGH</v>
      </c>
      <c r="H83">
        <v>0</v>
      </c>
      <c r="I83">
        <v>0</v>
      </c>
      <c r="J83">
        <v>1</v>
      </c>
      <c r="K83" t="s">
        <v>14</v>
      </c>
      <c r="L83" t="s">
        <v>14</v>
      </c>
    </row>
    <row r="84" ht="17" spans="1:12">
      <c r="A84" s="1" t="s">
        <v>95</v>
      </c>
      <c r="B84" t="s">
        <v>28</v>
      </c>
      <c r="C84" t="str">
        <f t="shared" si="4"/>
        <v>TS</v>
      </c>
      <c r="D84">
        <v>3</v>
      </c>
      <c r="E84" t="str">
        <f t="shared" si="5"/>
        <v>Consistent</v>
      </c>
      <c r="F84" t="str">
        <f t="shared" si="6"/>
        <v>High</v>
      </c>
      <c r="G84" t="str">
        <f t="shared" si="7"/>
        <v>HIGH</v>
      </c>
      <c r="H84">
        <v>0</v>
      </c>
      <c r="I84">
        <v>0</v>
      </c>
      <c r="J84">
        <v>1</v>
      </c>
      <c r="K84" t="s">
        <v>14</v>
      </c>
      <c r="L84" t="s">
        <v>14</v>
      </c>
    </row>
    <row r="85" ht="34" spans="1:12">
      <c r="A85" s="1" t="s">
        <v>96</v>
      </c>
      <c r="B85" t="s">
        <v>17</v>
      </c>
      <c r="C85" t="str">
        <f t="shared" si="4"/>
        <v>OS</v>
      </c>
      <c r="D85">
        <v>3</v>
      </c>
      <c r="E85" t="str">
        <f t="shared" si="5"/>
        <v>Inconsistent</v>
      </c>
      <c r="F85" t="str">
        <f t="shared" si="6"/>
        <v>Low</v>
      </c>
      <c r="G85" t="str">
        <f t="shared" si="7"/>
        <v>LOW</v>
      </c>
      <c r="H85">
        <v>0</v>
      </c>
      <c r="I85">
        <v>0</v>
      </c>
      <c r="J85">
        <v>1</v>
      </c>
      <c r="K85" t="s">
        <v>14</v>
      </c>
      <c r="L85" t="s">
        <v>14</v>
      </c>
    </row>
    <row r="86" ht="34" spans="1:12">
      <c r="A86" s="1" t="s">
        <v>97</v>
      </c>
      <c r="B86" t="s">
        <v>17</v>
      </c>
      <c r="C86" t="str">
        <f t="shared" si="4"/>
        <v>OS</v>
      </c>
      <c r="D86">
        <v>3</v>
      </c>
      <c r="E86" t="str">
        <f t="shared" si="5"/>
        <v>Inconsistent</v>
      </c>
      <c r="F86" t="str">
        <f t="shared" si="6"/>
        <v>Low</v>
      </c>
      <c r="G86" t="str">
        <f t="shared" si="7"/>
        <v>LOW</v>
      </c>
      <c r="H86">
        <v>0</v>
      </c>
      <c r="I86">
        <v>0</v>
      </c>
      <c r="J86">
        <v>1</v>
      </c>
      <c r="K86" t="s">
        <v>14</v>
      </c>
      <c r="L86" t="s">
        <v>14</v>
      </c>
    </row>
    <row r="87" ht="34" spans="1:12">
      <c r="A87" s="1" t="s">
        <v>60</v>
      </c>
      <c r="B87" t="s">
        <v>17</v>
      </c>
      <c r="C87" t="str">
        <f t="shared" si="4"/>
        <v>OS</v>
      </c>
      <c r="D87">
        <v>3</v>
      </c>
      <c r="E87" t="str">
        <f t="shared" si="5"/>
        <v>Inconsistent</v>
      </c>
      <c r="F87" t="str">
        <f t="shared" si="6"/>
        <v>Low</v>
      </c>
      <c r="G87" t="str">
        <f t="shared" si="7"/>
        <v>LOW</v>
      </c>
      <c r="H87">
        <v>0</v>
      </c>
      <c r="I87">
        <v>0</v>
      </c>
      <c r="J87">
        <v>1</v>
      </c>
      <c r="K87" t="s">
        <v>14</v>
      </c>
      <c r="L87" t="s">
        <v>14</v>
      </c>
    </row>
    <row r="88" ht="17" spans="1:12">
      <c r="A88" s="1" t="s">
        <v>98</v>
      </c>
      <c r="B88" t="s">
        <v>17</v>
      </c>
      <c r="C88" t="str">
        <f t="shared" si="4"/>
        <v>OS</v>
      </c>
      <c r="D88">
        <v>3</v>
      </c>
      <c r="E88" t="str">
        <f t="shared" si="5"/>
        <v>Inconsistent</v>
      </c>
      <c r="F88" t="str">
        <f t="shared" si="6"/>
        <v>Low</v>
      </c>
      <c r="G88" t="str">
        <f t="shared" si="7"/>
        <v>LOW</v>
      </c>
      <c r="H88">
        <v>0</v>
      </c>
      <c r="I88">
        <v>1</v>
      </c>
      <c r="J88">
        <v>0</v>
      </c>
      <c r="K88" t="s">
        <v>14</v>
      </c>
      <c r="L88" t="s">
        <v>14</v>
      </c>
    </row>
    <row r="89" ht="51" spans="1:12">
      <c r="A89" s="1" t="s">
        <v>99</v>
      </c>
      <c r="B89" t="s">
        <v>28</v>
      </c>
      <c r="C89" t="str">
        <f>IF(B89="NEUTRAL","TS","OS")</f>
        <v>TS</v>
      </c>
      <c r="D89">
        <v>3</v>
      </c>
      <c r="E89" t="str">
        <f>IF(C89="TS",IF(D89=3,"Consistent",IF(OR(D89=2,D89=4),"Partially Consistent","Inconsistent")),IF(D89=3,"Inconsistent",IF(AND(D89=5,B89="POSITIVE"),"Consistent",IF(AND(D89=1,B89="NEGATIVE"),"Consistent",IF(AND(D89=4,B89="POSITIVE"),"Partially Consistent",IF(AND(D89=2,B89="NEGATIVE"),"Partially Consistent","Inconsistent"))))))</f>
        <v>Consistent</v>
      </c>
      <c r="F89" t="str">
        <f>IF(C89="TS","High","Low")</f>
        <v>High</v>
      </c>
      <c r="G89" t="str">
        <f>IF(AND(B89="NEUTRAL",F89="Low"),"LOW",IF(AND(C89="TS",F89="High",D89=3),"HIGH",IF(AND(C89="TS",F89="High",OR(D89=2,D89=4)),"MODERATE",IF(AND(C89="TS",F89="High",OR(D89=1,D89=5)),"LOW",IF(AND(C89="OS",E89="Consistent",OR(D89=1,D89=5)),"MODERATE",IF(AND(C89="OS",E89="Partially Consistent",OR(D89=2,D89=4)),"MODERATE","LOW"))))))</f>
        <v>HIGH</v>
      </c>
      <c r="H89">
        <v>0</v>
      </c>
      <c r="I89">
        <v>0</v>
      </c>
      <c r="J89">
        <v>1</v>
      </c>
      <c r="K89" t="s">
        <v>14</v>
      </c>
      <c r="L89" t="s">
        <v>14</v>
      </c>
    </row>
    <row r="90" ht="34" spans="1:12">
      <c r="A90" s="1" t="s">
        <v>100</v>
      </c>
      <c r="B90" t="s">
        <v>13</v>
      </c>
      <c r="C90" t="str">
        <f>IF(B90="NEUTRAL","TS","OS")</f>
        <v>OS</v>
      </c>
      <c r="D90">
        <v>3</v>
      </c>
      <c r="E90" t="str">
        <f>IF(C90="TS",IF(D90=3,"Consistent",IF(OR(D90=2,D90=4),"Partially Consistent","Inconsistent")),IF(D90=3,"Inconsistent",IF(AND(D90=5,B90="POSITIVE"),"Consistent",IF(AND(D90=1,B90="NEGATIVE"),"Consistent",IF(AND(D90=4,B90="POSITIVE"),"Partially Consistent",IF(AND(D90=2,B90="NEGATIVE"),"Partially Consistent","Inconsistent"))))))</f>
        <v>Inconsistent</v>
      </c>
      <c r="F90" t="str">
        <f>IF(C90="TS","High","Low")</f>
        <v>Low</v>
      </c>
      <c r="G90" t="str">
        <f>IF(AND(B90="NEUTRAL",F90="Low"),"LOW",IF(AND(C90="TS",F90="High",D90=3),"HIGH",IF(AND(C90="TS",F90="High",OR(D90=2,D90=4)),"MODERATE",IF(AND(C90="TS",F90="High",OR(D90=1,D90=5)),"LOW",IF(AND(C90="OS",E90="Consistent",OR(D90=1,D90=5)),"MODERATE",IF(AND(C90="OS",E90="Partially Consistent",OR(D90=2,D90=4)),"MODERATE","LOW"))))))</f>
        <v>LOW</v>
      </c>
      <c r="H90">
        <v>0</v>
      </c>
      <c r="I90">
        <v>0</v>
      </c>
      <c r="J90">
        <v>1</v>
      </c>
      <c r="K90" t="s">
        <v>14</v>
      </c>
      <c r="L90" t="s">
        <v>14</v>
      </c>
    </row>
    <row r="91" ht="34" spans="1:12">
      <c r="A91" s="1" t="s">
        <v>60</v>
      </c>
      <c r="B91" t="s">
        <v>17</v>
      </c>
      <c r="C91" t="str">
        <f>IF(B91="NEUTRAL","TS","OS")</f>
        <v>OS</v>
      </c>
      <c r="D91">
        <v>3</v>
      </c>
      <c r="E91" t="str">
        <f>IF(C91="TS",IF(D91=3,"Consistent",IF(OR(D91=2,D91=4),"Partially Consistent","Inconsistent")),IF(D91=3,"Inconsistent",IF(AND(D91=5,B91="POSITIVE"),"Consistent",IF(AND(D91=1,B91="NEGATIVE"),"Consistent",IF(AND(D91=4,B91="POSITIVE"),"Partially Consistent",IF(AND(D91=2,B91="NEGATIVE"),"Partially Consistent","Inconsistent"))))))</f>
        <v>Inconsistent</v>
      </c>
      <c r="F91" t="str">
        <f>IF(C91="TS","High","Low")</f>
        <v>Low</v>
      </c>
      <c r="G91" t="str">
        <f>IF(AND(B91="NEUTRAL",F91="Low"),"LOW",IF(AND(C91="TS",F91="High",D91=3),"HIGH",IF(AND(C91="TS",F91="High",OR(D91=2,D91=4)),"MODERATE",IF(AND(C91="TS",F91="High",OR(D91=1,D91=5)),"LOW",IF(AND(C91="OS",E91="Consistent",OR(D91=1,D91=5)),"MODERATE",IF(AND(C91="OS",E91="Partially Consistent",OR(D91=2,D91=4)),"MODERATE","LOW"))))))</f>
        <v>LOW</v>
      </c>
      <c r="H91">
        <v>0</v>
      </c>
      <c r="I91">
        <v>0</v>
      </c>
      <c r="J91">
        <v>1</v>
      </c>
      <c r="K91" t="s">
        <v>14</v>
      </c>
      <c r="L91" t="s">
        <v>14</v>
      </c>
    </row>
    <row r="92" ht="34" spans="1:12">
      <c r="A92" s="1" t="s">
        <v>60</v>
      </c>
      <c r="B92" t="s">
        <v>17</v>
      </c>
      <c r="C92" t="str">
        <f>IF(B92="NEUTRAL","TS","OS")</f>
        <v>OS</v>
      </c>
      <c r="D92">
        <v>3</v>
      </c>
      <c r="E92" t="str">
        <f>IF(C92="TS",IF(D92=3,"Consistent",IF(OR(D92=2,D92=4),"Partially Consistent","Inconsistent")),IF(D92=3,"Inconsistent",IF(AND(D92=5,B92="POSITIVE"),"Consistent",IF(AND(D92=1,B92="NEGATIVE"),"Consistent",IF(AND(D92=4,B92="POSITIVE"),"Partially Consistent",IF(AND(D92=2,B92="NEGATIVE"),"Partially Consistent","Inconsistent"))))))</f>
        <v>Inconsistent</v>
      </c>
      <c r="F92" t="str">
        <f>IF(C92="TS","High","Low")</f>
        <v>Low</v>
      </c>
      <c r="G92" t="str">
        <f>IF(AND(B92="NEUTRAL",F92="Low"),"LOW",IF(AND(C92="TS",F92="High",D92=3),"HIGH",IF(AND(C92="TS",F92="High",OR(D92=2,D92=4)),"MODERATE",IF(AND(C92="TS",F92="High",OR(D92=1,D92=5)),"LOW",IF(AND(C92="OS",E92="Consistent",OR(D92=1,D92=5)),"MODERATE",IF(AND(C92="OS",E92="Partially Consistent",OR(D92=2,D92=4)),"MODERATE","LOW"))))))</f>
        <v>LOW</v>
      </c>
      <c r="H92">
        <v>0</v>
      </c>
      <c r="I92">
        <v>0</v>
      </c>
      <c r="J92">
        <v>1</v>
      </c>
      <c r="K92" t="s">
        <v>14</v>
      </c>
      <c r="L92" t="s">
        <v>14</v>
      </c>
    </row>
    <row r="93" ht="17" spans="1:12">
      <c r="A93" s="1" t="s">
        <v>101</v>
      </c>
      <c r="B93" t="s">
        <v>17</v>
      </c>
      <c r="C93" t="str">
        <f>IF(B93="NEUTRAL","TS","OS")</f>
        <v>OS</v>
      </c>
      <c r="D93">
        <v>3</v>
      </c>
      <c r="E93" t="str">
        <f>IF(C93="TS",IF(D93=3,"Consistent",IF(OR(D93=2,D93=4),"Partially Consistent","Inconsistent")),IF(D93=3,"Inconsistent",IF(AND(D93=5,B93="POSITIVE"),"Consistent",IF(AND(D93=1,B93="NEGATIVE"),"Consistent",IF(AND(D93=4,B93="POSITIVE"),"Partially Consistent",IF(AND(D93=2,B93="NEGATIVE"),"Partially Consistent","Inconsistent"))))))</f>
        <v>Inconsistent</v>
      </c>
      <c r="F93" t="str">
        <f>IF(C93="TS","High","Low")</f>
        <v>Low</v>
      </c>
      <c r="G93" t="str">
        <f>IF(AND(B93="NEUTRAL",F93="Low"),"LOW",IF(AND(C93="TS",F93="High",D93=3),"HIGH",IF(AND(C93="TS",F93="High",OR(D93=2,D93=4)),"MODERATE",IF(AND(C93="TS",F93="High",OR(D93=1,D93=5)),"LOW",IF(AND(C93="OS",E93="Consistent",OR(D93=1,D93=5)),"MODERATE",IF(AND(C93="OS",E93="Partially Consistent",OR(D93=2,D93=4)),"MODERATE","LOW"))))))</f>
        <v>LOW</v>
      </c>
      <c r="H93">
        <v>0</v>
      </c>
      <c r="I93">
        <v>0</v>
      </c>
      <c r="J93">
        <v>1</v>
      </c>
      <c r="K93" t="s">
        <v>14</v>
      </c>
      <c r="L93" t="s">
        <v>14</v>
      </c>
    </row>
    <row r="94" ht="17" spans="1:12">
      <c r="A94" s="1" t="s">
        <v>102</v>
      </c>
      <c r="B94" t="s">
        <v>13</v>
      </c>
      <c r="C94" t="str">
        <f>IF(B94="NEUTRAL","TS","OS")</f>
        <v>OS</v>
      </c>
      <c r="D94">
        <v>3</v>
      </c>
      <c r="E94" t="str">
        <f>IF(C94="TS",IF(D94=3,"Consistent",IF(OR(D94=2,D94=4),"Partially Consistent","Inconsistent")),IF(D94=3,"Inconsistent",IF(AND(D94=5,B94="POSITIVE"),"Consistent",IF(AND(D94=1,B94="NEGATIVE"),"Consistent",IF(AND(D94=4,B94="POSITIVE"),"Partially Consistent",IF(AND(D94=2,B94="NEGATIVE"),"Partially Consistent","Inconsistent"))))))</f>
        <v>Inconsistent</v>
      </c>
      <c r="F94" t="str">
        <f>IF(C94="TS","High","Low")</f>
        <v>Low</v>
      </c>
      <c r="G94" t="str">
        <f>IF(AND(B94="NEUTRAL",F94="Low"),"LOW",IF(AND(C94="TS",F94="High",D94=3),"HIGH",IF(AND(C94="TS",F94="High",OR(D94=2,D94=4)),"MODERATE",IF(AND(C94="TS",F94="High",OR(D94=1,D94=5)),"LOW",IF(AND(C94="OS",E94="Consistent",OR(D94=1,D94=5)),"MODERATE",IF(AND(C94="OS",E94="Partially Consistent",OR(D94=2,D94=4)),"MODERATE","LOW"))))))</f>
        <v>LOW</v>
      </c>
      <c r="H94">
        <v>0</v>
      </c>
      <c r="I94">
        <v>0</v>
      </c>
      <c r="J94">
        <v>1</v>
      </c>
      <c r="K94" t="s">
        <v>14</v>
      </c>
      <c r="L94" t="s">
        <v>14</v>
      </c>
    </row>
    <row r="95" ht="51" spans="1:12">
      <c r="A95" s="1" t="s">
        <v>103</v>
      </c>
      <c r="B95" t="s">
        <v>17</v>
      </c>
      <c r="C95" t="str">
        <f>IF(B95="NEUTRAL","TS","OS")</f>
        <v>OS</v>
      </c>
      <c r="D95">
        <v>3</v>
      </c>
      <c r="E95" t="str">
        <f>IF(C95="TS",IF(D95=3,"Consistent",IF(OR(D95=2,D95=4),"Partially Consistent","Inconsistent")),IF(D95=3,"Inconsistent",IF(AND(D95=5,B95="POSITIVE"),"Consistent",IF(AND(D95=1,B95="NEGATIVE"),"Consistent",IF(AND(D95=4,B95="POSITIVE"),"Partially Consistent",IF(AND(D95=2,B95="NEGATIVE"),"Partially Consistent","Inconsistent"))))))</f>
        <v>Inconsistent</v>
      </c>
      <c r="F95" t="str">
        <f>IF(C95="TS","High","Low")</f>
        <v>Low</v>
      </c>
      <c r="G95" t="str">
        <f>IF(AND(B95="NEUTRAL",F95="Low"),"LOW",IF(AND(C95="TS",F95="High",D95=3),"HIGH",IF(AND(C95="TS",F95="High",OR(D95=2,D95=4)),"MODERATE",IF(AND(C95="TS",F95="High",OR(D95=1,D95=5)),"LOW",IF(AND(C95="OS",E95="Consistent",OR(D95=1,D95=5)),"MODERATE",IF(AND(C95="OS",E95="Partially Consistent",OR(D95=2,D95=4)),"MODERATE","LOW"))))))</f>
        <v>LOW</v>
      </c>
      <c r="H95">
        <v>0</v>
      </c>
      <c r="I95">
        <v>0</v>
      </c>
      <c r="J95">
        <v>1</v>
      </c>
      <c r="K95" t="s">
        <v>14</v>
      </c>
      <c r="L95" t="s">
        <v>14</v>
      </c>
    </row>
    <row r="96" ht="17" spans="1:12">
      <c r="A96" s="1" t="s">
        <v>104</v>
      </c>
      <c r="B96" t="s">
        <v>28</v>
      </c>
      <c r="C96" t="str">
        <f>IF(B96="NEUTRAL","TS","OS")</f>
        <v>TS</v>
      </c>
      <c r="D96">
        <v>3</v>
      </c>
      <c r="E96" t="str">
        <f>IF(C96="TS",IF(D96=3,"Consistent",IF(OR(D96=2,D96=4),"Partially Consistent","Inconsistent")),IF(D96=3,"Inconsistent",IF(AND(D96=5,B96="POSITIVE"),"Consistent",IF(AND(D96=1,B96="NEGATIVE"),"Consistent",IF(AND(D96=4,B96="POSITIVE"),"Partially Consistent",IF(AND(D96=2,B96="NEGATIVE"),"Partially Consistent","Inconsistent"))))))</f>
        <v>Consistent</v>
      </c>
      <c r="F96" t="str">
        <f>IF(C96="TS","High","Low")</f>
        <v>High</v>
      </c>
      <c r="G96" t="str">
        <f>IF(AND(B96="NEUTRAL",F96="Low"),"LOW",IF(AND(C96="TS",F96="High",D96=3),"HIGH",IF(AND(C96="TS",F96="High",OR(D96=2,D96=4)),"MODERATE",IF(AND(C96="TS",F96="High",OR(D96=1,D96=5)),"LOW",IF(AND(C96="OS",E96="Consistent",OR(D96=1,D96=5)),"MODERATE",IF(AND(C96="OS",E96="Partially Consistent",OR(D96=2,D96=4)),"MODERATE","LOW"))))))</f>
        <v>HIGH</v>
      </c>
      <c r="H96">
        <v>0</v>
      </c>
      <c r="I96">
        <v>0</v>
      </c>
      <c r="J96">
        <v>1</v>
      </c>
      <c r="K96" t="s">
        <v>14</v>
      </c>
      <c r="L96" t="s">
        <v>14</v>
      </c>
    </row>
    <row r="97" ht="34" spans="1:12">
      <c r="A97" s="1" t="s">
        <v>60</v>
      </c>
      <c r="B97" t="s">
        <v>17</v>
      </c>
      <c r="C97" t="str">
        <f>IF(B97="NEUTRAL","TS","OS")</f>
        <v>OS</v>
      </c>
      <c r="D97">
        <v>3</v>
      </c>
      <c r="E97" t="str">
        <f>IF(C97="TS",IF(D97=3,"Consistent",IF(OR(D97=2,D97=4),"Partially Consistent","Inconsistent")),IF(D97=3,"Inconsistent",IF(AND(D97=5,B97="POSITIVE"),"Consistent",IF(AND(D97=1,B97="NEGATIVE"),"Consistent",IF(AND(D97=4,B97="POSITIVE"),"Partially Consistent",IF(AND(D97=2,B97="NEGATIVE"),"Partially Consistent","Inconsistent"))))))</f>
        <v>Inconsistent</v>
      </c>
      <c r="F97" t="str">
        <f>IF(C97="TS","High","Low")</f>
        <v>Low</v>
      </c>
      <c r="G97" t="str">
        <f>IF(AND(B97="NEUTRAL",F97="Low"),"LOW",IF(AND(C97="TS",F97="High",D97=3),"HIGH",IF(AND(C97="TS",F97="High",OR(D97=2,D97=4)),"MODERATE",IF(AND(C97="TS",F97="High",OR(D97=1,D97=5)),"LOW",IF(AND(C97="OS",E97="Consistent",OR(D97=1,D97=5)),"MODERATE",IF(AND(C97="OS",E97="Partially Consistent",OR(D97=2,D97=4)),"MODERATE","LOW"))))))</f>
        <v>LOW</v>
      </c>
      <c r="H97">
        <v>0</v>
      </c>
      <c r="I97">
        <v>0</v>
      </c>
      <c r="J97">
        <v>1</v>
      </c>
      <c r="K97" t="s">
        <v>14</v>
      </c>
      <c r="L97"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2025-05-24T11:12:00Z</dcterms:created>
  <dcterms:modified xsi:type="dcterms:W3CDTF">2025-05-24T18:29:18Z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DAF83A86869D8B797E9F3168DE60F223_42</vt:lpwstr>
  </property>
  <property fmtid="{D5CDD505-2E9C-101B-9397-08002B2CF9AE}" pid="4" name="KSOProductBuildVer">
    <vt:lpwstr>1033-6.13.1.8710</vt:lpwstr>
  </property>
</Properties>
</file>