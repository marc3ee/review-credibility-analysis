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All_Review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<sst xmlns="http://schemas.openxmlformats.org/spreadsheetml/2006/main" count="623" uniqueCount="135">
  <si>
    <t>Review</t>
  </si>
  <si>
    <t>Sentiment</t>
  </si>
  <si>
    <t>Sidedness</t>
  </si>
  <si>
    <t>Star Rating</t>
  </si>
  <si>
    <t>Consistency</t>
  </si>
  <si>
    <t>Info Diversity</t>
  </si>
  <si>
    <t>PERCEIVED HELPFULNESS</t>
  </si>
  <si>
    <t>PD_F</t>
  </si>
  <si>
    <t>PD_F_TMP</t>
  </si>
  <si>
    <t>MAN_UI</t>
  </si>
  <si>
    <t>SPM</t>
  </si>
  <si>
    <t>CREDIBILITY</t>
  </si>
  <si>
    <t>Product_URL</t>
  </si>
  <si>
    <t>Product_Number</t>
  </si>
  <si>
    <t>the pink color is fun and trendy. , the midnight color gives a sophisticated look. , the (product) red color is eye-catching. , the dual-camera system captures stunning photos. ,</t>
  </si>
  <si>
    <t>NEUTRAL</t>
  </si>
  <si>
    <t/>
  </si>
  <si>
    <t>https://www.lazada.com.ph/products/pdp-i2389149360-s10880220744.html</t>
  </si>
  <si>
    <t>goodthe battery capacity is impressive. , the dual-camera system captures stunning photos. ,</t>
  </si>
  <si>
    <t>i received the item in the box and arrived safe. the phone has no issues except the sim card slot is difficult to open which caused it to be bent. overall i' m satisfied with my purchase.</t>
  </si>
  <si>
    <t>battery life: 10 camera quality: 10 performance: 10 brandnew sealed! thank you! the (product) red color is eye-catching. , the dual-camera system captures stunning photos. ,</t>
  </si>
  <si>
    <t>POSITIVE</t>
  </si>
  <si>
    <t>thank you seller, secured product naka bubble wrap yung unit sinigurado talaga ni seller na safe yung item. legit iphone, sealed upon delivery, 100% battery health. camera solid malinaw main camera, ultra wide and selfie camera working walang damage or scratches sobrang kinis as in brand new talaga thank you beyond the box.</t>
  </si>
  <si>
    <t>camera quality: super gandaaa battery life: good at first super kabado kami ng jowa ko 2 unit inorder namin, while unboxing kaba at excitement nararamdaman namin. pero pag bukas super worth it 1st ever iphone namin to. huhu thankyouu po</t>
  </si>
  <si>
    <t>legit! happy as well sa service ng courier nila. first delivery attempt was unsuccessful kasi may attitude ang rider but the following day ibang rider na nag handle ng parcel ko. btw got my ip13 very cheap vs other authorized stores i even checked several physical stores. my unit was verified at checkcoverage. apple. com.</t>
  </si>
  <si>
    <t>functionality: 10 quality: 10 material: 10 the midnight color gives a sophisticated look. , the dual-camera system captures stunning photos. ,</t>
  </si>
  <si>
    <t>brandnew sya and mabilis na deliver. 100% legit. quality: the battery capacity is impressive. , functionality: the dual-camera system captures stunning photos. ,</t>
  </si>
  <si>
    <t>7 days bago ko ni order received! so happy legit and brand new sealed. thank you btb nakaka kaba pala</t>
  </si>
  <si>
    <t>the midnight color gives a sophisticated look. , the midnight color gives a sophisticated look. , the battery capacity is impressive. , the dual-camera system captures stunning photos. , the pink color is fun and trendy. ,</t>
  </si>
  <si>
    <t>the dual-camera system captures stunning photos. , the dual-camera system captures stunning photos. , the dual-camera system captures stunning photos. , the midnight color gives a sophisticated look. ,</t>
  </si>
  <si>
    <t>it is legit guys! ! ! got it during 8. 8 received in just 1 day! super thank you! ! !</t>
  </si>
  <si>
    <t>placed my order last march 27, 2022 and dumating nung march 29, 2022. got this for 45, 700+ only. i think sulit na sya kasi 52, 490 ang original price nya. thank you lazada! !</t>
  </si>
  <si>
    <t>the midnight color gives a sophisticated look. , the dual-camera system captures stunning photos. , item is in best condition. first time buying above 30k worth of gadget here in lazada.</t>
  </si>
  <si>
    <t>the dual-camera system captures stunning photos, the pink color is fun and trendy thank you so much beyond the box fast shipping as well</t>
  </si>
  <si>
    <t>the dual-camera system captures stunning photos. , the (product) red color is eye-catching. , the battery capacity is impressive. ,</t>
  </si>
  <si>
    <t>very fast delivery. received it in a day after i placed my order. late review only very nice and legit. bought it during lazada' s bday sale so i got it on a very discounted price. so it' s really a good deal. thanks lazada, seller and rider. more power and god bless.</t>
  </si>
  <si>
    <t>1 day lang nadeliver/received agad. 100% legit. thanks, btb.</t>
  </si>
  <si>
    <t>the dual-camera system captures stunning photos. , the dual-camera system captures stunning photos. , the midnight color gives a sophisticated look. ,</t>
  </si>
  <si>
    <t>okay naman sya. . haven' t seen any problem yet. . . thanks</t>
  </si>
  <si>
    <t>the (product) red color is eye-catching. , the dual-camera system captures stunning photos. ,</t>
  </si>
  <si>
    <t>the dual-camera system captures stunning photos. , the midnight color gives a sophisticated look. , the (product) red color is eye-catching. ,</t>
  </si>
  <si>
    <t>satisfied with the phone but not so much with the packaging.</t>
  </si>
  <si>
    <t>NEGATIVE</t>
  </si>
  <si>
    <t>the box has dent. but the item is in good condition. fast delivery</t>
  </si>
  <si>
    <t>as of now, i dont have any issues with my phone as i have been using this for 5 days since it was delivered. my issue with this is the delivery date and the customer service from lazada that i had experienced. there were delays with my parcel as holy week was observed, but then the problem with the lazada was their tracker. its not updated. the said estimated delivery date was not reached and if i did not chat them everyday i could not get any updates. good thing the seller here, beyond the box was really accommodating as they have been replying to my queries but then they dont know the status also as ninja ph is the courier. i dont have a picture/proof but the delivery guy gave to me my parcel and was already opened. i was alarmed as nobody from lazada customer service told me that they will open my parcel. the guy told me when it was given to him by the coron hub, it was already opened. in short, ang alarming sa part ng customer na bukas na ang box pagdating sa akin, kaya napatagal ako sa pagbigay ng review dito since that day busy din ako sa work and i was thinking what to say as a review. would like to tell btb na kausapin ang courier ulit since nabuksan na parcel ko pagdating dito, thankful na walang nawala.</t>
  </si>
  <si>
    <t>takes time to deliver the package.</t>
  </si>
  <si>
    <t>bagal ng delivery. took a week to deliver e laguna lang naman ako. sana sa greenshills nlng ako kumuha</t>
  </si>
  <si>
    <t>please process our refund request. the item we received is not an iphone 13. this is a scam! ! ! ! lazada denied the refund! please process the request. the sticker was tampered to hide the details of the item, this is a scam! please help refund the 54k amount! thank you.</t>
  </si>
  <si>
    <t>packaging was not handled with care. box inside was open. i asked the rider to open it while i record it on camera. very disappointed.</t>
  </si>
  <si>
    <t>the courier throw my iphone in my garage. did not even call me. the phone maybe damage for throwing. very poor delivery. not acceptable.</t>
  </si>
  <si>
    <t>disappointed. got the package but the box has damage as seen on the posted pics. i hope the unit inside is not affected</t>
  </si>
  <si>
    <t>first time buying online, sobrang tagaaaaaaaaal iship. mas okay sa mismong store na lang bumili.</t>
  </si>
  <si>
    <t>mabilis malow battery. yung package nung dumating is basa. the package is not that safe. i had hard time setting up basic info here kasi loading lang naka ilang shutdown ako.</t>
  </si>
  <si>
    <t>enhanced workout metrics for better performance, stay connected and motivated all day, battery life: mabilis lang mag lowbat</t>
  </si>
  <si>
    <t>https://www.lazada.com.ph/products/pdp-i4665460902-s26890279439.html</t>
  </si>
  <si>
    <t>compatibility: ok na ok lalo na if apple user kaaa battery life: incredibly nagttagal! water resistance: havent tried it yet best purchase for the year 2024! legit sya! authentic and original! haha! nung una may doubtful akoo, but upon using it for a week, its a must have lalo na sa mga busy people reco talaga! lalo na kung apple user ka! bili na rin kayooo. . purchase it last december 20, now lang naka review cause chineck ko tlga full potential, sa battery mabilis bumaba pero di naman sya naglolobat agad, its like the usual iphone were using so nooo worries naman sa batt. normal lang kay apple talaga ung mabilis bumaba ang batt percent haha! ung airtag sa orange app yan, hehe!</t>
  </si>
  <si>
    <t>the package arrived a day after i ordered it. very straightforward and easy to use. packed well and securely.</t>
  </si>
  <si>
    <t>intelligent and personalized watchos 11, sleek and stylish design, enhanced workout metrics for better performance, long-lasting battery life, heart rate tracking for better fitness monitoring, stay connected and motivated all day, fall detection feature for added safety, stay connected and motivated all day, heart rate tracking for better fitness monitoring,</t>
  </si>
  <si>
    <t>incredible value for money, fall detection feature for added safety, incredible value for money, fall detection feature for added safety, incredible value for money, fall detection feature for added safety, incredible value for money, fall detection feature for added safety,</t>
  </si>
  <si>
    <t>arrived the following day! so glad i caught this on sale. so in love with the color too, very chic for a smartwatch. can' t wait to use this</t>
  </si>
  <si>
    <t>compatibility: enhanced workout metrics for better performance, track your health with ease, heart rate tracking for better fitness monitoring,</t>
  </si>
  <si>
    <t>heart rate tracking for better fitness monitoring, sleek and stylish design, aestheticccc</t>
  </si>
  <si>
    <t>i am so happy with my purchase! thank you so much lazada and beyond the box!</t>
  </si>
  <si>
    <t>compatibility: it just need an updated version of ios battery life: not yet tried water resistance: not yet tried over all the item is well packed</t>
  </si>
  <si>
    <t>intelligent and personalized watchos 11, sleek and stylish design, i hate the delivery took too long to deliver. cancelled my first order so i have to reorder</t>
  </si>
  <si>
    <t>incredible value for money, intelligent and personalized watchos 11</t>
  </si>
  <si>
    <t>super ganda and super sulit! best decision ever. sleek and stylish design, track your health with ease, intelligent and personalized watchos 11, heart rate tracking for better fitness monitoring, compatible with android devices, incredible value for money, enhanced workout metrics for better performance, stay connected and motivated all day,</t>
  </si>
  <si>
    <t>enhanced workout metrics for better performance, intelligent and personalized watchos 11, nabili ko lang to ng 10k+ super sulit! thank u so much beyond the box!</t>
  </si>
  <si>
    <t>stay connected and motivated all day, enhanced workout metrics for better performance, track your health with ease,</t>
  </si>
  <si>
    <t>enhanced workout metrics for better performance, stay connected and motivated all day, track your health with ease, incredible value for money, sleek and stylish design, long-lasting battery life,</t>
  </si>
  <si>
    <t>ayos na ayos! ang bilis ng delivery ah. in just more than 12 hrs! ganyan sana para sa lahat ng items! auos naman yung item mukang legit naman</t>
  </si>
  <si>
    <t>stay connected and motivated all day, heart rate tracking for better fitness monitoring, intelligent and personalized watchos 11,</t>
  </si>
  <si>
    <t>after checking reviews, apple watch pa rin talaga. just works seamlessly with my iphone and i can track my steps better coz di ko na need magisip if nasakin ba phone ko. no more daya! ang oa sa bilis ng delivery! ordered yesterday and nandito na today.</t>
  </si>
  <si>
    <t>incredible value for money, heart rate tracking for better fitness monitoring, 4. **review and revise**: regularly revisit topics you' ve studied to reinforce your understanding and retention. 5. **join study groups**: collaborate with peers to discuss difficult concepts and share insights. 6. **stay healthy**: prioritize sleep, nutrition, and exercise to maintain your physical and mental well-being.</t>
  </si>
  <si>
    <t>compatibility: sleek and stylish design, battery life: incredible value for money, hindi maganda pgkaka package ng item, walang bubble wrap which is very unsafe. tsambahan nlang kung dadating na maayos.</t>
  </si>
  <si>
    <t>original product. no issues!</t>
  </si>
  <si>
    <t>very fast delivery and super legit! ! ! connected on my iphone agad</t>
  </si>
  <si>
    <t>legit and bought it at a lower price. also shipping is quick and reliable. thank you!</t>
  </si>
  <si>
    <t>compatibility: incredible value for money,</t>
  </si>
  <si>
    <t>receive the package less than 24 hours. great service!</t>
  </si>
  <si>
    <t>fall detection feature for added safety, battery life: good water resistance: good</t>
  </si>
  <si>
    <t>compatibility: intelligent and personalized watchos 11,</t>
  </si>
  <si>
    <t>legit. thank you beyond the box. kinabukasan nareceive ko agad.</t>
  </si>
  <si>
    <t>compatibility: fits well on my wrist, easy to sync with my iphone battery life: reliable battery life, battery lasts long, easy to charge</t>
  </si>
  <si>
    <t>incredible value for money, enhanced workout metrics for better performance, compatible with android devices, heart rate tracking for better fitness monitoring, stay connected and motivated all day, long-lasting battery life, fall detection feature for added safety, sleek and stylish design,</t>
  </si>
  <si>
    <t>track your health with ease, long-lasting battery life, heart rate tracking for better fitness monitoring,</t>
  </si>
  <si>
    <t>stay connected and motivated all day,</t>
  </si>
  <si>
    <t>ang gandaa, thank u! heart rate tracking for better fitness monitoring, intelligent and personalized watchos 11</t>
  </si>
  <si>
    <t>legit</t>
  </si>
  <si>
    <t>stay connected and motivated all day, track your health with ease, incredible value for money,</t>
  </si>
  <si>
    <t>the supplier is known and reputable distributor of apple products. works as expected. excellent quality. fast delivery, well-packaged.</t>
  </si>
  <si>
    <t>mabilis po ba talaga na lowbatt ang apple watch? got it earlier at 50% then nakaka ilang mins palang ako nag bbrowse, down to 45% kaagad siya. also, matagal ba siya mag charge talaga?</t>
  </si>
  <si>
    <t>long-lasting battery life, fall detection feature for added safety, compatible with android devices,</t>
  </si>
  <si>
    <t>sleek and stylish design, fall detection feature for added safety, incredible value for money, enhanced workout metrics for better performance!</t>
  </si>
  <si>
    <t>edit: after almost 3weeks of usage. i observed since the first time i used the watch that the battery discharges even when not in use. for instance it just got fully charged to 100% but after taking it off from the charger it discharges up to 95% instantly within seconds. updating my rating to 3 stars from 5 for the product. ordered: 10/22 received: 10/23 i got my apple watch in less than 24hrs from check out. beyond the box sold it cheaper compared to other apple stores. i was doubtful at first because there is only 1 written review, but i trusted. received the item sealed, brand new and in good condition. tested it and was working as expected, was able to pair it with my iphone with no issues. i also checked, and product is authentic and has warranty. my only concern was i asked for a receipt but they didnt include it.</t>
  </si>
  <si>
    <t>legit apple product sealed. my 2nd purchase same model and color for my cousin! sleek design, perfect for on-the-go, seamless integration with apple ecosystem,</t>
  </si>
  <si>
    <t>https://www.lazada.com.ph/products/pdp-i2343919680-s10661362761.html</t>
  </si>
  <si>
    <t>long-lasting battery life, impressive camera quality</t>
  </si>
  <si>
    <t>legit! delivered right on time as committed. packed well. super steal for only 14k something. just finished setting it up now. installing kids apps. our toddler kid will surely love this! thank you!</t>
  </si>
  <si>
    <t>storage capacity: 64gb battery life: 10/10 super tagal ma lowbatt screen quality: 10/10 legit super solid, i got it for 14, 500 only. matagal ma lowbatt, and very smoky for playing games. i tried playing infinity nikki and it' s smooth. i' m using it to watch movies while working, casual gaming and doing notes. everything is worth it.</t>
  </si>
  <si>
    <t>reliable wi-fi and lte connectivity, fast and efficient performance, easy to use with ipados 15, large storage capacity for all your needs,</t>
  </si>
  <si>
    <t>legiteasy to use, sleek design, perfect for on-the-go, seamless integration with apple ecosystem,</t>
  </si>
  <si>
    <t>reliable wi-fi and lte connectivity, easy to use with ipados 15, sleek design, perfect for on-the-go, high-resolution display for immersive viewing, high-resolution display for immersive viewing, impressive camera quality, long-lasting battery life, seamless integration with apple ecosystem, battery life: fast and efficient performance,</t>
  </si>
  <si>
    <t>storage capacity: 64 easy to use with ipados 15, sleek design, perfect for on-the-go, seamless integration with apple ecosystem, easy to use with ipados 15,</t>
  </si>
  <si>
    <t>long-lasting battery life, got it for less than p14k. legit seller, thank you!</t>
  </si>
  <si>
    <t>battery life: 10 storage capacity: 10 screen quality: 10</t>
  </si>
  <si>
    <t>bilis lang dumating. 11 evening na checkout dumating agad ng 13. sealed ang box. no damage. ayos na ayos gamitin. legit! sulit pa dahil sa sale and voucher. enjoy ang bunso namin.</t>
  </si>
  <si>
    <t>the ipad 9th generation is a fantastic device that strikes a perfect balance between performance, versatility, and affordability. as an everyday tablet user, ive been thoroughly impressed with its capabilities. **performance: ** powered by the a13 bionic chip, the ipad 9th gen delivers smooth and responsive performance, whether im multitasking, playing graphics-intensive games, or streaming videos. apps open quickly, and theres no noticeable lag, making it a joy to use. **display: ** the 10. 2-inch retina display is vibrant and sharp, with excellent color accuracy and brightness. whether im watching movies, browsing photos, or reading ebooks, everything looks stunning. the true tone feature adjusts the screens color temperature based on ambient lighting, which is a nice touch for comfortable viewing. **camera and audio: ** the 12mp ultra wide front camera with center stage is a gam</t>
  </si>
  <si>
    <t>Low</t>
  </si>
  <si>
    <t>sealed talaga bought this as a gift thanks seller screen quality storage capacity battery life</t>
  </si>
  <si>
    <t>in fairness ang ganda at legit 100% nakuha ko under ng lazpaylater 6 months to pay, vongga keriii! ! ! naolllllll</t>
  </si>
  <si>
    <t>reliable wi-fi and lte connectivity, seamless integration with apple ecosystem, large storage capacity for all your needs,</t>
  </si>
  <si>
    <t>seamless integration with apple ecosystem, reliable wi-fi and lte connectivity, easy to use with ipados 15,</t>
  </si>
  <si>
    <t>high-resolution display for immersive viewing, reliable wi-fi and lte connectivity, screen quality: 1000000000</t>
  </si>
  <si>
    <t>screen quality: solid ang quality. sulit sulit sulit sulit sulit sulit sulit sulit sulit sulit sulit sulit</t>
  </si>
  <si>
    <t>high-resolution display for immersive viewing, sleek design, perfect for on-the-go, battery life: vvjj screen quality: gho happy ang anak ko, thanks</t>
  </si>
  <si>
    <t>screen quality: impressive camera quality, easy to use with ipados 15 thank yiu very muchh yeet yrtdrgghbb</t>
  </si>
  <si>
    <t>good packaging, good item, nakuha ko ng sale nakarating ng maayos maganda ang packaging. .</t>
  </si>
  <si>
    <t>delivery was late but they promised a voucher and they did give me one after delivery. the item is very good though yung box may scratch. overall very satisfied. with all the vouchers, got this for only $13k.</t>
  </si>
  <si>
    <t>functionality: works well and legit quality: affordable for the price material: plastic and doesn' t have a screen protector so any metal can scratch the screen if not careful. 4 stars because i didn' t like a bit about the packaging. i don' t know who should be blamed, may yupi po kase' yong box when i opened but the ipad is okay naman. i guess let' s be careful po next time sa paghandle.</t>
  </si>
  <si>
    <t>looks legit. working. however, there were dents on the ipad box when i received the package. hopefully they improve how they prepare their package.</t>
  </si>
  <si>
    <t>functionality: nagha hang po siya kapag nago open ng file huhu okay naman po siya over all pero yun lang po problema yung nagha hang po sya and pati yung keyboard pag ginagamit sa pagsearch sa pdfs.</t>
  </si>
  <si>
    <t>mostly ng mga nabili ko na gadgets online may ksamang resibo na pag ship plang ng product. dito khit nagrequest na ko, puro" will send it tomorrow" ang reply. ok nman ung product, legit nmn.</t>
  </si>
  <si>
    <t>it is genuine and original. very fast shipping, received my order onky just for two days thank you and god bless!</t>
  </si>
  <si>
    <t>item is legit checked with apple. very good buy because it was the cheapest in lazmall. item came in another box. should' ve had more protection.</t>
  </si>
  <si>
    <t>yes original apple product. thank you</t>
  </si>
  <si>
    <t>okay na siya, a bit laggy lang</t>
  </si>
  <si>
    <t>overrated. apple are control freaks when it comes to adding applications to the ipad. doesn' t have a back button. smooth operator. clear screen. no indication when charging.</t>
  </si>
  <si>
    <t>quality: refurbished the item is working just fine. however, the screen has some dust inside the screen which means it has been opened before. also, the unit is overheating when charging, thus it stopped charging and says charging will resume once it returned to its normal temperature. i should' ve ordered from apple store. i hope it will lasts kahit repaired/refurbished unit. not a good idea to buy the gadget online.</t>
  </si>
  <si>
    <t>packaging was bad the box is damaged</t>
  </si>
  <si>
    <t>i bought 2 ipads for my kids. ung isang ipad mabilis malowbat. i contacted the seller until now pala pang reply. bili na lang kayo sa ibang seller kasi pag may issue ang item nyo hindi kayo papansinin ng seller na to</t>
  </si>
  <si>
    <t>the device works fine but the powerbrick that comes with it overheats and refuses to charge. made this review after almost a month of use to make sure i was reviewing the device properly.</t>
  </si>
  <si>
    <t>yung unit ko may alikabok sa loob ng screen irereturn ko sana kaso hindi pa pala guaranteed na marerefund kaya kineep ko nalang. pero okay naman performance.</t>
  </si>
  <si>
    <t>storage capacity: large storage capacity for all your needs, screen quality: high-resolution display for immersive viewing, fast and efficient performance, seamless integration with apple ecosystem, seamless integration with apple ecosystem, reliable wi-fi and lte connectivity,</t>
  </si>
  <si>
    <t>long-lasting battery life, reliable wi-fi and lte connectivity, impressive camera quality,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</si>
</sst>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Font="1" applyFill="1" applyAlignment="1"/>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3"/>
  <sheetViews>
    <sheetView tabSelected="1" workbookViewId="0">
      <selection activeCell="M1" sqref="M$1:M$1048576"/>
    </sheetView>
  </sheetViews>
  <sheetFormatPr defaultColWidth="9" defaultRowHeight="16.8"/>
  <cols>
    <col min="1" max="1" width="80.734375" style="1" customWidth="1"/>
    <col min="13" max="13" width="67.5625" style="2" customWidth="1"/>
  </cols>
  <sheetData>
    <row r="1" ht="17" spans="1:14">
      <c r="A1" s="3" t="s">
        <v>0</v>
      </c>
      <c r="B1" s="4" t="s">
        <v>1</v>
      </c>
      <c r="C1" s="4" t="s">
        <v>2</v>
      </c>
      <c r="D1" s="4" t="s">
        <v>3</v>
      </c>
      <c r="E1" s="4" t="s">
        <v>4</v>
      </c>
      <c r="F1" s="4" t="s">
        <v>5</v>
      </c>
      <c r="G1" s="4" t="s">
        <v>6</v>
      </c>
      <c r="H1" s="4" t="s">
        <v>7</v>
      </c>
      <c r="I1" s="4" t="s">
        <v>8</v>
      </c>
      <c r="J1" s="4" t="s">
        <v>9</v>
      </c>
      <c r="K1" s="4" t="s">
        <v>10</v>
      </c>
      <c r="L1" s="4" t="s">
        <v>11</v>
      </c>
      <c r="M1" s="5" t="s">
        <v>12</v>
      </c>
      <c r="N1" s="4" t="s">
        <v>13</v>
      </c>
    </row>
    <row r="2" ht="34" spans="1:14">
      <c r="A2" s="1" t="s">
        <v>14</v>
      </c>
      <c r="B2" t="s">
        <v>15</v>
      </c>
      <c r="C2" t="str">
        <f t="shared" ref="C2:C65" si="0">IF(B2="NEUTRAL","TS","OS")</f>
        <v>TS</v>
      </c>
      <c r="D2">
        <v>5</v>
      </c>
      <c r="E2" t="str">
        <f t="shared" ref="E2:E65" si="1">IF(C2="TS",IF(D2=3,"Consistent",IF(OR(D2=2,D2=4),"Partially Consistent","Inconsistent")),IF(D2=3,"Inconsistent",IF(AND(D2=5,B2="POSITIVE"),"Consistent",IF(AND(D2=1,B2="NEGATIVE"),"Consistent",IF(AND(D2=4,B2="POSITIVE"),"Partially Consistent",IF(AND(D2=2,B2="NEGATIVE"),"Partially Consistent","Inconsistent"))))))</f>
        <v>Inconsistent</v>
      </c>
      <c r="F2" t="str">
        <f t="shared" ref="F2:F65" si="2">IF(C2="TS","High","Low")</f>
        <v>High</v>
      </c>
      <c r="G2" t="str">
        <f t="shared" ref="G2:G65" si="3">IF(AND(B2="NEUTRAL",F2="Low"),"LOW",IF(AND(C2="TS",F2="High",D2=3),"HIGH",IF(AND(C2="TS",F2="High",OR(D2=2,D2=4)),"MODERATE",IF(AND(C2="TS",F2="High",OR(D2=1,D2=5)),"LOW",IF(AND(C2="OS",E2="Consistent",OR(D2=1,D2=5)),"MODERATE",IF(AND(C2="OS",E2="Partially Consistent",OR(D2=2,D2=4)),"MODERATE","LOW"))))))</f>
        <v>LOW</v>
      </c>
      <c r="H2">
        <v>0</v>
      </c>
      <c r="I2">
        <v>0</v>
      </c>
      <c r="J2">
        <v>1</v>
      </c>
      <c r="K2" t="s">
        <v>16</v>
      </c>
      <c r="L2" t="s">
        <v>16</v>
      </c>
      <c r="M2" s="2" t="s">
        <v>17</v>
      </c>
      <c r="N2">
        <v>1</v>
      </c>
    </row>
    <row r="3" ht="17" spans="1:14">
      <c r="A3" s="1" t="s">
        <v>18</v>
      </c>
      <c r="B3" t="s">
        <v>15</v>
      </c>
      <c r="C3" t="str">
        <f t="shared" si="0"/>
        <v>TS</v>
      </c>
      <c r="D3">
        <v>5</v>
      </c>
      <c r="E3" t="str">
        <f t="shared" si="1"/>
        <v>Inconsistent</v>
      </c>
      <c r="F3" t="str">
        <f t="shared" si="2"/>
        <v>High</v>
      </c>
      <c r="G3" t="str">
        <f t="shared" si="3"/>
        <v>LOW</v>
      </c>
      <c r="H3">
        <v>0</v>
      </c>
      <c r="I3">
        <v>0</v>
      </c>
      <c r="J3">
        <v>1</v>
      </c>
      <c r="K3" t="s">
        <v>16</v>
      </c>
      <c r="L3" t="s">
        <v>16</v>
      </c>
      <c r="M3" s="2" t="s">
        <v>17</v>
      </c>
      <c r="N3">
        <v>1</v>
      </c>
    </row>
    <row r="4" ht="34" spans="1:14">
      <c r="A4" s="1" t="s">
        <v>19</v>
      </c>
      <c r="B4" t="s">
        <v>15</v>
      </c>
      <c r="C4" t="str">
        <f t="shared" si="0"/>
        <v>TS</v>
      </c>
      <c r="D4">
        <v>5</v>
      </c>
      <c r="E4" t="str">
        <f t="shared" si="1"/>
        <v>Inconsistent</v>
      </c>
      <c r="F4" t="str">
        <f t="shared" si="2"/>
        <v>High</v>
      </c>
      <c r="G4" t="str">
        <f t="shared" si="3"/>
        <v>LOW</v>
      </c>
      <c r="H4">
        <v>0</v>
      </c>
      <c r="I4">
        <v>0</v>
      </c>
      <c r="J4">
        <v>1</v>
      </c>
      <c r="K4" t="s">
        <v>16</v>
      </c>
      <c r="L4" t="s">
        <v>16</v>
      </c>
      <c r="M4" s="2" t="s">
        <v>17</v>
      </c>
      <c r="N4">
        <v>1</v>
      </c>
    </row>
    <row r="5" ht="34" spans="1:14">
      <c r="A5" s="1" t="s">
        <v>20</v>
      </c>
      <c r="B5" t="s">
        <v>21</v>
      </c>
      <c r="C5" t="str">
        <f t="shared" si="0"/>
        <v>OS</v>
      </c>
      <c r="D5">
        <v>5</v>
      </c>
      <c r="E5" t="str">
        <f t="shared" si="1"/>
        <v>Consistent</v>
      </c>
      <c r="F5" t="str">
        <f t="shared" si="2"/>
        <v>Low</v>
      </c>
      <c r="G5" t="str">
        <f t="shared" si="3"/>
        <v>MODERATE</v>
      </c>
      <c r="H5">
        <v>1</v>
      </c>
      <c r="I5">
        <v>1</v>
      </c>
      <c r="J5">
        <v>1</v>
      </c>
      <c r="K5" t="s">
        <v>16</v>
      </c>
      <c r="L5" t="s">
        <v>16</v>
      </c>
      <c r="M5" s="2" t="s">
        <v>17</v>
      </c>
      <c r="N5">
        <v>1</v>
      </c>
    </row>
    <row r="6" ht="68" spans="1:14">
      <c r="A6" s="1" t="s">
        <v>22</v>
      </c>
      <c r="B6" t="s">
        <v>21</v>
      </c>
      <c r="C6" t="str">
        <f t="shared" si="0"/>
        <v>OS</v>
      </c>
      <c r="D6">
        <v>5</v>
      </c>
      <c r="E6" t="str">
        <f t="shared" si="1"/>
        <v>Consistent</v>
      </c>
      <c r="F6" t="str">
        <f t="shared" si="2"/>
        <v>Low</v>
      </c>
      <c r="G6" t="str">
        <f t="shared" si="3"/>
        <v>MODERATE</v>
      </c>
      <c r="H6">
        <v>0</v>
      </c>
      <c r="I6">
        <v>0</v>
      </c>
      <c r="J6">
        <v>1</v>
      </c>
      <c r="K6" t="s">
        <v>16</v>
      </c>
      <c r="L6" t="s">
        <v>16</v>
      </c>
      <c r="M6" s="2" t="s">
        <v>17</v>
      </c>
      <c r="N6">
        <v>1</v>
      </c>
    </row>
    <row r="7" ht="51" spans="1:14">
      <c r="A7" s="1" t="s">
        <v>23</v>
      </c>
      <c r="B7" t="s">
        <v>21</v>
      </c>
      <c r="C7" t="str">
        <f t="shared" si="0"/>
        <v>OS</v>
      </c>
      <c r="D7">
        <v>5</v>
      </c>
      <c r="E7" t="str">
        <f t="shared" si="1"/>
        <v>Consistent</v>
      </c>
      <c r="F7" t="str">
        <f t="shared" si="2"/>
        <v>Low</v>
      </c>
      <c r="G7" t="str">
        <f t="shared" si="3"/>
        <v>MODERATE</v>
      </c>
      <c r="H7">
        <v>1</v>
      </c>
      <c r="I7">
        <v>0</v>
      </c>
      <c r="J7">
        <v>1</v>
      </c>
      <c r="K7" t="s">
        <v>16</v>
      </c>
      <c r="L7" t="s">
        <v>16</v>
      </c>
      <c r="M7" s="2" t="s">
        <v>17</v>
      </c>
      <c r="N7">
        <v>1</v>
      </c>
    </row>
    <row r="8" ht="68" spans="1:14">
      <c r="A8" s="1" t="s">
        <v>24</v>
      </c>
      <c r="B8" t="s">
        <v>15</v>
      </c>
      <c r="C8" t="str">
        <f t="shared" si="0"/>
        <v>TS</v>
      </c>
      <c r="D8">
        <v>5</v>
      </c>
      <c r="E8" t="str">
        <f t="shared" si="1"/>
        <v>Inconsistent</v>
      </c>
      <c r="F8" t="str">
        <f t="shared" si="2"/>
        <v>High</v>
      </c>
      <c r="G8" t="str">
        <f t="shared" si="3"/>
        <v>LOW</v>
      </c>
      <c r="H8">
        <v>0</v>
      </c>
      <c r="I8">
        <v>0</v>
      </c>
      <c r="J8">
        <v>1</v>
      </c>
      <c r="K8" t="s">
        <v>16</v>
      </c>
      <c r="L8" t="s">
        <v>16</v>
      </c>
      <c r="M8" s="2" t="s">
        <v>17</v>
      </c>
      <c r="N8">
        <v>1</v>
      </c>
    </row>
    <row r="9" ht="34" spans="1:14">
      <c r="A9" s="1" t="s">
        <v>25</v>
      </c>
      <c r="B9" t="s">
        <v>21</v>
      </c>
      <c r="C9" t="str">
        <f t="shared" si="0"/>
        <v>OS</v>
      </c>
      <c r="D9">
        <v>5</v>
      </c>
      <c r="E9" t="str">
        <f t="shared" si="1"/>
        <v>Consistent</v>
      </c>
      <c r="F9" t="str">
        <f t="shared" si="2"/>
        <v>Low</v>
      </c>
      <c r="G9" t="str">
        <f t="shared" si="3"/>
        <v>MODERATE</v>
      </c>
      <c r="H9">
        <v>1</v>
      </c>
      <c r="I9">
        <v>1</v>
      </c>
      <c r="J9">
        <v>0</v>
      </c>
      <c r="K9" t="s">
        <v>16</v>
      </c>
      <c r="L9" t="s">
        <v>16</v>
      </c>
      <c r="M9" s="2" t="s">
        <v>17</v>
      </c>
      <c r="N9">
        <v>1</v>
      </c>
    </row>
    <row r="10" ht="34" spans="1:14">
      <c r="A10" s="1" t="s">
        <v>26</v>
      </c>
      <c r="B10" t="s">
        <v>21</v>
      </c>
      <c r="C10" t="str">
        <f t="shared" si="0"/>
        <v>OS</v>
      </c>
      <c r="D10">
        <v>5</v>
      </c>
      <c r="E10" t="str">
        <f t="shared" si="1"/>
        <v>Consistent</v>
      </c>
      <c r="F10" t="str">
        <f t="shared" si="2"/>
        <v>Low</v>
      </c>
      <c r="G10" t="str">
        <f t="shared" si="3"/>
        <v>MODERATE</v>
      </c>
      <c r="H10">
        <v>1</v>
      </c>
      <c r="I10">
        <v>1</v>
      </c>
      <c r="J10">
        <v>0</v>
      </c>
      <c r="K10" t="s">
        <v>16</v>
      </c>
      <c r="L10" t="s">
        <v>16</v>
      </c>
      <c r="M10" s="2" t="s">
        <v>17</v>
      </c>
      <c r="N10">
        <v>1</v>
      </c>
    </row>
    <row r="11" ht="34" spans="1:14">
      <c r="A11" s="1" t="s">
        <v>27</v>
      </c>
      <c r="B11" t="s">
        <v>21</v>
      </c>
      <c r="C11" t="str">
        <f t="shared" si="0"/>
        <v>OS</v>
      </c>
      <c r="D11">
        <v>5</v>
      </c>
      <c r="E11" t="str">
        <f t="shared" si="1"/>
        <v>Consistent</v>
      </c>
      <c r="F11" t="str">
        <f t="shared" si="2"/>
        <v>Low</v>
      </c>
      <c r="G11" t="str">
        <f t="shared" si="3"/>
        <v>MODERATE</v>
      </c>
      <c r="H11">
        <v>0</v>
      </c>
      <c r="I11">
        <v>0</v>
      </c>
      <c r="J11">
        <v>1</v>
      </c>
      <c r="K11" t="s">
        <v>16</v>
      </c>
      <c r="L11" t="s">
        <v>16</v>
      </c>
      <c r="M11" s="2" t="s">
        <v>17</v>
      </c>
      <c r="N11">
        <v>1</v>
      </c>
    </row>
    <row r="12" ht="51" spans="1:14">
      <c r="A12" s="1" t="s">
        <v>28</v>
      </c>
      <c r="B12" t="s">
        <v>15</v>
      </c>
      <c r="C12" t="str">
        <f t="shared" si="0"/>
        <v>TS</v>
      </c>
      <c r="D12">
        <v>5</v>
      </c>
      <c r="E12" t="str">
        <f t="shared" si="1"/>
        <v>Inconsistent</v>
      </c>
      <c r="F12" t="str">
        <f t="shared" si="2"/>
        <v>High</v>
      </c>
      <c r="G12" t="str">
        <f t="shared" si="3"/>
        <v>LOW</v>
      </c>
      <c r="H12">
        <v>0</v>
      </c>
      <c r="I12">
        <v>0</v>
      </c>
      <c r="J12">
        <v>1</v>
      </c>
      <c r="K12" t="s">
        <v>16</v>
      </c>
      <c r="L12" t="s">
        <v>16</v>
      </c>
      <c r="M12" s="2" t="s">
        <v>17</v>
      </c>
      <c r="N12">
        <v>1</v>
      </c>
    </row>
    <row r="13" ht="51" spans="1:14">
      <c r="A13" s="1" t="s">
        <v>29</v>
      </c>
      <c r="B13" t="s">
        <v>15</v>
      </c>
      <c r="C13" t="str">
        <f t="shared" si="0"/>
        <v>TS</v>
      </c>
      <c r="D13">
        <v>5</v>
      </c>
      <c r="E13" t="str">
        <f t="shared" si="1"/>
        <v>Inconsistent</v>
      </c>
      <c r="F13" t="str">
        <f t="shared" si="2"/>
        <v>High</v>
      </c>
      <c r="G13" t="str">
        <f t="shared" si="3"/>
        <v>LOW</v>
      </c>
      <c r="H13">
        <v>0</v>
      </c>
      <c r="I13">
        <v>0</v>
      </c>
      <c r="J13">
        <v>1</v>
      </c>
      <c r="K13" t="s">
        <v>16</v>
      </c>
      <c r="L13" t="s">
        <v>16</v>
      </c>
      <c r="M13" s="2" t="s">
        <v>17</v>
      </c>
      <c r="N13">
        <v>1</v>
      </c>
    </row>
    <row r="14" ht="17" spans="1:14">
      <c r="A14" s="1" t="s">
        <v>30</v>
      </c>
      <c r="B14" t="s">
        <v>21</v>
      </c>
      <c r="C14" t="str">
        <f t="shared" si="0"/>
        <v>OS</v>
      </c>
      <c r="D14">
        <v>5</v>
      </c>
      <c r="E14" t="str">
        <f t="shared" si="1"/>
        <v>Consistent</v>
      </c>
      <c r="F14" t="str">
        <f t="shared" si="2"/>
        <v>Low</v>
      </c>
      <c r="G14" t="str">
        <f t="shared" si="3"/>
        <v>MODERATE</v>
      </c>
      <c r="H14">
        <v>0</v>
      </c>
      <c r="I14">
        <v>0</v>
      </c>
      <c r="J14">
        <v>1</v>
      </c>
      <c r="K14" t="s">
        <v>16</v>
      </c>
      <c r="L14" t="s">
        <v>16</v>
      </c>
      <c r="M14" s="2" t="s">
        <v>17</v>
      </c>
      <c r="N14">
        <v>1</v>
      </c>
    </row>
    <row r="15" ht="34" spans="1:14">
      <c r="A15" s="1" t="s">
        <v>31</v>
      </c>
      <c r="B15" t="s">
        <v>21</v>
      </c>
      <c r="C15" t="str">
        <f t="shared" si="0"/>
        <v>OS</v>
      </c>
      <c r="D15">
        <v>5</v>
      </c>
      <c r="E15" t="str">
        <f t="shared" si="1"/>
        <v>Consistent</v>
      </c>
      <c r="F15" t="str">
        <f t="shared" si="2"/>
        <v>Low</v>
      </c>
      <c r="G15" t="str">
        <f t="shared" si="3"/>
        <v>MODERATE</v>
      </c>
      <c r="H15">
        <v>0</v>
      </c>
      <c r="I15">
        <v>0</v>
      </c>
      <c r="J15">
        <v>1</v>
      </c>
      <c r="K15" t="s">
        <v>16</v>
      </c>
      <c r="L15" t="s">
        <v>16</v>
      </c>
      <c r="M15" s="2" t="s">
        <v>17</v>
      </c>
      <c r="N15">
        <v>1</v>
      </c>
    </row>
    <row r="16" ht="34" spans="1:14">
      <c r="A16" s="1" t="s">
        <v>32</v>
      </c>
      <c r="B16" t="s">
        <v>21</v>
      </c>
      <c r="C16" t="str">
        <f t="shared" si="0"/>
        <v>OS</v>
      </c>
      <c r="D16">
        <v>5</v>
      </c>
      <c r="E16" t="str">
        <f t="shared" si="1"/>
        <v>Consistent</v>
      </c>
      <c r="F16" t="str">
        <f t="shared" si="2"/>
        <v>Low</v>
      </c>
      <c r="G16" t="str">
        <f t="shared" si="3"/>
        <v>MODERATE</v>
      </c>
      <c r="H16">
        <v>0</v>
      </c>
      <c r="I16">
        <v>0</v>
      </c>
      <c r="J16">
        <v>1</v>
      </c>
      <c r="K16" t="s">
        <v>16</v>
      </c>
      <c r="L16" t="s">
        <v>16</v>
      </c>
      <c r="M16" s="2" t="s">
        <v>17</v>
      </c>
      <c r="N16">
        <v>1</v>
      </c>
    </row>
    <row r="17" ht="34" spans="1:14">
      <c r="A17" s="1" t="s">
        <v>33</v>
      </c>
      <c r="B17" t="s">
        <v>15</v>
      </c>
      <c r="C17" t="str">
        <f t="shared" si="0"/>
        <v>TS</v>
      </c>
      <c r="D17">
        <v>5</v>
      </c>
      <c r="E17" t="str">
        <f t="shared" si="1"/>
        <v>Inconsistent</v>
      </c>
      <c r="F17" t="str">
        <f t="shared" si="2"/>
        <v>High</v>
      </c>
      <c r="G17" t="str">
        <f t="shared" si="3"/>
        <v>LOW</v>
      </c>
      <c r="H17">
        <v>0</v>
      </c>
      <c r="I17">
        <v>0</v>
      </c>
      <c r="J17">
        <v>1</v>
      </c>
      <c r="K17" t="s">
        <v>16</v>
      </c>
      <c r="L17" t="s">
        <v>16</v>
      </c>
      <c r="M17" s="2" t="s">
        <v>17</v>
      </c>
      <c r="N17">
        <v>1</v>
      </c>
    </row>
    <row r="18" ht="34" spans="1:14">
      <c r="A18" s="1" t="s">
        <v>34</v>
      </c>
      <c r="B18" t="s">
        <v>15</v>
      </c>
      <c r="C18" t="str">
        <f t="shared" si="0"/>
        <v>TS</v>
      </c>
      <c r="D18">
        <v>5</v>
      </c>
      <c r="E18" t="str">
        <f t="shared" si="1"/>
        <v>Inconsistent</v>
      </c>
      <c r="F18" t="str">
        <f t="shared" si="2"/>
        <v>High</v>
      </c>
      <c r="G18" t="str">
        <f t="shared" si="3"/>
        <v>LOW</v>
      </c>
      <c r="H18">
        <v>0</v>
      </c>
      <c r="I18">
        <v>0</v>
      </c>
      <c r="J18">
        <v>1</v>
      </c>
      <c r="K18" t="s">
        <v>16</v>
      </c>
      <c r="L18" t="s">
        <v>16</v>
      </c>
      <c r="M18" s="2" t="s">
        <v>17</v>
      </c>
      <c r="N18">
        <v>1</v>
      </c>
    </row>
    <row r="19" ht="51" spans="1:14">
      <c r="A19" s="1" t="s">
        <v>35</v>
      </c>
      <c r="B19" t="s">
        <v>21</v>
      </c>
      <c r="C19" t="str">
        <f t="shared" si="0"/>
        <v>OS</v>
      </c>
      <c r="D19">
        <v>5</v>
      </c>
      <c r="E19" t="str">
        <f t="shared" si="1"/>
        <v>Consistent</v>
      </c>
      <c r="F19" t="str">
        <f t="shared" si="2"/>
        <v>Low</v>
      </c>
      <c r="G19" t="str">
        <f t="shared" si="3"/>
        <v>MODERATE</v>
      </c>
      <c r="H19">
        <v>0</v>
      </c>
      <c r="I19">
        <v>0</v>
      </c>
      <c r="J19">
        <v>1</v>
      </c>
      <c r="K19" t="s">
        <v>16</v>
      </c>
      <c r="L19" t="s">
        <v>16</v>
      </c>
      <c r="M19" s="2" t="s">
        <v>17</v>
      </c>
      <c r="N19">
        <v>1</v>
      </c>
    </row>
    <row r="20" ht="17" spans="1:14">
      <c r="A20" s="1" t="s">
        <v>36</v>
      </c>
      <c r="B20" t="s">
        <v>21</v>
      </c>
      <c r="C20" t="str">
        <f t="shared" si="0"/>
        <v>OS</v>
      </c>
      <c r="D20">
        <v>5</v>
      </c>
      <c r="E20" t="str">
        <f t="shared" si="1"/>
        <v>Consistent</v>
      </c>
      <c r="F20" t="str">
        <f t="shared" si="2"/>
        <v>Low</v>
      </c>
      <c r="G20" t="str">
        <f t="shared" si="3"/>
        <v>MODERATE</v>
      </c>
      <c r="H20">
        <v>0</v>
      </c>
      <c r="I20">
        <v>0</v>
      </c>
      <c r="J20">
        <v>1</v>
      </c>
      <c r="K20" t="s">
        <v>16</v>
      </c>
      <c r="L20" t="s">
        <v>16</v>
      </c>
      <c r="M20" s="2" t="s">
        <v>17</v>
      </c>
      <c r="N20">
        <v>1</v>
      </c>
    </row>
    <row r="21" ht="34" spans="1:14">
      <c r="A21" s="1" t="s">
        <v>37</v>
      </c>
      <c r="B21" t="s">
        <v>15</v>
      </c>
      <c r="C21" t="str">
        <f t="shared" si="0"/>
        <v>TS</v>
      </c>
      <c r="D21">
        <v>5</v>
      </c>
      <c r="E21" t="str">
        <f t="shared" si="1"/>
        <v>Inconsistent</v>
      </c>
      <c r="F21" t="str">
        <f t="shared" si="2"/>
        <v>High</v>
      </c>
      <c r="G21" t="str">
        <f t="shared" si="3"/>
        <v>LOW</v>
      </c>
      <c r="H21">
        <v>0</v>
      </c>
      <c r="I21">
        <v>0</v>
      </c>
      <c r="J21">
        <v>1</v>
      </c>
      <c r="K21" t="s">
        <v>16</v>
      </c>
      <c r="L21" t="s">
        <v>16</v>
      </c>
      <c r="M21" s="2" t="s">
        <v>17</v>
      </c>
      <c r="N21">
        <v>1</v>
      </c>
    </row>
    <row r="22" ht="17" spans="1:14">
      <c r="A22" s="1" t="s">
        <v>38</v>
      </c>
      <c r="B22" t="s">
        <v>21</v>
      </c>
      <c r="C22" t="str">
        <f t="shared" si="0"/>
        <v>OS</v>
      </c>
      <c r="D22">
        <v>4</v>
      </c>
      <c r="E22" t="str">
        <f t="shared" si="1"/>
        <v>Partially Consistent</v>
      </c>
      <c r="F22" t="str">
        <f t="shared" si="2"/>
        <v>Low</v>
      </c>
      <c r="G22" t="str">
        <f t="shared" si="3"/>
        <v>MODERATE</v>
      </c>
      <c r="H22">
        <v>0</v>
      </c>
      <c r="I22">
        <v>0</v>
      </c>
      <c r="J22">
        <v>1</v>
      </c>
      <c r="K22" t="s">
        <v>16</v>
      </c>
      <c r="L22" t="s">
        <v>16</v>
      </c>
      <c r="M22" s="2" t="s">
        <v>17</v>
      </c>
      <c r="N22">
        <v>1</v>
      </c>
    </row>
    <row r="23" ht="17" spans="1:14">
      <c r="A23" s="1" t="s">
        <v>39</v>
      </c>
      <c r="B23" t="s">
        <v>15</v>
      </c>
      <c r="C23" t="str">
        <f t="shared" si="0"/>
        <v>TS</v>
      </c>
      <c r="D23">
        <v>4</v>
      </c>
      <c r="E23" t="str">
        <f t="shared" si="1"/>
        <v>Partially Consistent</v>
      </c>
      <c r="F23" t="str">
        <f t="shared" si="2"/>
        <v>High</v>
      </c>
      <c r="G23" t="str">
        <f t="shared" si="3"/>
        <v>MODERATE</v>
      </c>
      <c r="H23">
        <v>0</v>
      </c>
      <c r="I23">
        <v>0</v>
      </c>
      <c r="J23">
        <v>1</v>
      </c>
      <c r="K23" t="s">
        <v>16</v>
      </c>
      <c r="L23" t="s">
        <v>16</v>
      </c>
      <c r="M23" s="2" t="s">
        <v>17</v>
      </c>
      <c r="N23">
        <v>1</v>
      </c>
    </row>
    <row r="24" ht="34" spans="1:14">
      <c r="A24" s="1" t="s">
        <v>40</v>
      </c>
      <c r="B24" t="s">
        <v>15</v>
      </c>
      <c r="C24" t="str">
        <f t="shared" si="0"/>
        <v>TS</v>
      </c>
      <c r="D24">
        <v>4</v>
      </c>
      <c r="E24" t="str">
        <f t="shared" si="1"/>
        <v>Partially Consistent</v>
      </c>
      <c r="F24" t="str">
        <f t="shared" si="2"/>
        <v>High</v>
      </c>
      <c r="G24" t="str">
        <f t="shared" si="3"/>
        <v>MODERATE</v>
      </c>
      <c r="H24">
        <v>0</v>
      </c>
      <c r="I24">
        <v>0</v>
      </c>
      <c r="J24">
        <v>1</v>
      </c>
      <c r="K24" t="s">
        <v>16</v>
      </c>
      <c r="L24" t="s">
        <v>16</v>
      </c>
      <c r="M24" s="2" t="s">
        <v>17</v>
      </c>
      <c r="N24">
        <v>1</v>
      </c>
    </row>
    <row r="25" ht="17" spans="1:14">
      <c r="A25" s="1" t="s">
        <v>41</v>
      </c>
      <c r="B25" t="s">
        <v>42</v>
      </c>
      <c r="C25" t="str">
        <f t="shared" si="0"/>
        <v>OS</v>
      </c>
      <c r="D25">
        <v>4</v>
      </c>
      <c r="E25" t="str">
        <f t="shared" si="1"/>
        <v>Inconsistent</v>
      </c>
      <c r="F25" t="str">
        <f t="shared" si="2"/>
        <v>Low</v>
      </c>
      <c r="G25" t="str">
        <f t="shared" si="3"/>
        <v>LOW</v>
      </c>
      <c r="H25">
        <v>0</v>
      </c>
      <c r="I25">
        <v>0</v>
      </c>
      <c r="J25">
        <v>1</v>
      </c>
      <c r="K25" t="s">
        <v>16</v>
      </c>
      <c r="L25" t="s">
        <v>16</v>
      </c>
      <c r="M25" s="2" t="s">
        <v>17</v>
      </c>
      <c r="N25">
        <v>1</v>
      </c>
    </row>
    <row r="26" ht="17" spans="1:14">
      <c r="A26" s="1" t="s">
        <v>43</v>
      </c>
      <c r="B26" t="s">
        <v>15</v>
      </c>
      <c r="C26" t="str">
        <f t="shared" si="0"/>
        <v>TS</v>
      </c>
      <c r="D26">
        <v>4</v>
      </c>
      <c r="E26" t="str">
        <f t="shared" si="1"/>
        <v>Partially Consistent</v>
      </c>
      <c r="F26" t="str">
        <f t="shared" si="2"/>
        <v>High</v>
      </c>
      <c r="G26" t="str">
        <f t="shared" si="3"/>
        <v>MODERATE</v>
      </c>
      <c r="H26">
        <v>0</v>
      </c>
      <c r="I26">
        <v>0</v>
      </c>
      <c r="J26">
        <v>1</v>
      </c>
      <c r="K26" t="s">
        <v>16</v>
      </c>
      <c r="L26" t="s">
        <v>16</v>
      </c>
      <c r="M26" s="2" t="s">
        <v>17</v>
      </c>
      <c r="N26">
        <v>1</v>
      </c>
    </row>
    <row r="27" ht="219" spans="1:14">
      <c r="A27" s="1" t="s">
        <v>44</v>
      </c>
      <c r="B27" t="s">
        <v>42</v>
      </c>
      <c r="C27" t="str">
        <f t="shared" si="0"/>
        <v>OS</v>
      </c>
      <c r="D27">
        <v>4</v>
      </c>
      <c r="E27" t="str">
        <f t="shared" si="1"/>
        <v>Inconsistent</v>
      </c>
      <c r="F27" t="str">
        <f t="shared" si="2"/>
        <v>Low</v>
      </c>
      <c r="G27" t="str">
        <f t="shared" si="3"/>
        <v>LOW</v>
      </c>
      <c r="H27">
        <v>0</v>
      </c>
      <c r="I27">
        <v>0</v>
      </c>
      <c r="J27">
        <v>1</v>
      </c>
      <c r="K27" t="s">
        <v>16</v>
      </c>
      <c r="L27" t="s">
        <v>16</v>
      </c>
      <c r="M27" s="2" t="s">
        <v>17</v>
      </c>
      <c r="N27">
        <v>1</v>
      </c>
    </row>
    <row r="28" ht="17" spans="1:14">
      <c r="A28" s="1" t="s">
        <v>45</v>
      </c>
      <c r="B28" t="s">
        <v>15</v>
      </c>
      <c r="C28" t="str">
        <f t="shared" si="0"/>
        <v>TS</v>
      </c>
      <c r="D28">
        <v>1</v>
      </c>
      <c r="E28" t="str">
        <f t="shared" si="1"/>
        <v>Inconsistent</v>
      </c>
      <c r="F28" t="str">
        <f t="shared" si="2"/>
        <v>High</v>
      </c>
      <c r="G28" t="str">
        <f t="shared" si="3"/>
        <v>LOW</v>
      </c>
      <c r="H28">
        <v>0</v>
      </c>
      <c r="I28">
        <v>0</v>
      </c>
      <c r="J28">
        <v>1</v>
      </c>
      <c r="K28" t="s">
        <v>16</v>
      </c>
      <c r="L28" t="s">
        <v>16</v>
      </c>
      <c r="M28" s="2" t="s">
        <v>17</v>
      </c>
      <c r="N28">
        <v>1</v>
      </c>
    </row>
    <row r="29" ht="34" spans="1:14">
      <c r="A29" s="1" t="s">
        <v>46</v>
      </c>
      <c r="B29" t="s">
        <v>42</v>
      </c>
      <c r="C29" t="str">
        <f t="shared" si="0"/>
        <v>OS</v>
      </c>
      <c r="D29">
        <v>1</v>
      </c>
      <c r="E29" t="str">
        <f t="shared" si="1"/>
        <v>Consistent</v>
      </c>
      <c r="F29" t="str">
        <f t="shared" si="2"/>
        <v>Low</v>
      </c>
      <c r="G29" t="str">
        <f t="shared" si="3"/>
        <v>MODERATE</v>
      </c>
      <c r="H29">
        <v>0</v>
      </c>
      <c r="I29">
        <v>0</v>
      </c>
      <c r="J29">
        <v>1</v>
      </c>
      <c r="K29" t="s">
        <v>16</v>
      </c>
      <c r="L29" t="s">
        <v>16</v>
      </c>
      <c r="M29" s="2" t="s">
        <v>17</v>
      </c>
      <c r="N29">
        <v>1</v>
      </c>
    </row>
    <row r="30" ht="51" spans="1:14">
      <c r="A30" s="1" t="s">
        <v>47</v>
      </c>
      <c r="B30" t="s">
        <v>42</v>
      </c>
      <c r="C30" t="str">
        <f t="shared" si="0"/>
        <v>OS</v>
      </c>
      <c r="D30">
        <v>1</v>
      </c>
      <c r="E30" t="str">
        <f t="shared" si="1"/>
        <v>Consistent</v>
      </c>
      <c r="F30" t="str">
        <f t="shared" si="2"/>
        <v>Low</v>
      </c>
      <c r="G30" t="str">
        <f t="shared" si="3"/>
        <v>MODERATE</v>
      </c>
      <c r="H30">
        <v>0</v>
      </c>
      <c r="I30">
        <v>0</v>
      </c>
      <c r="J30">
        <v>1</v>
      </c>
      <c r="K30" t="s">
        <v>16</v>
      </c>
      <c r="L30" t="s">
        <v>16</v>
      </c>
      <c r="M30" s="2" t="s">
        <v>17</v>
      </c>
      <c r="N30">
        <v>1</v>
      </c>
    </row>
    <row r="31" ht="34" spans="1:14">
      <c r="A31" s="1" t="s">
        <v>48</v>
      </c>
      <c r="B31" t="s">
        <v>42</v>
      </c>
      <c r="C31" t="str">
        <f t="shared" si="0"/>
        <v>OS</v>
      </c>
      <c r="D31">
        <v>1</v>
      </c>
      <c r="E31" t="str">
        <f t="shared" si="1"/>
        <v>Consistent</v>
      </c>
      <c r="F31" t="str">
        <f t="shared" si="2"/>
        <v>Low</v>
      </c>
      <c r="G31" t="str">
        <f t="shared" si="3"/>
        <v>MODERATE</v>
      </c>
      <c r="H31">
        <v>0</v>
      </c>
      <c r="I31">
        <v>0</v>
      </c>
      <c r="J31">
        <v>1</v>
      </c>
      <c r="K31" t="s">
        <v>16</v>
      </c>
      <c r="L31" t="s">
        <v>16</v>
      </c>
      <c r="M31" s="2" t="s">
        <v>17</v>
      </c>
      <c r="N31">
        <v>1</v>
      </c>
    </row>
    <row r="32" ht="34" spans="1:14">
      <c r="A32" s="1" t="s">
        <v>49</v>
      </c>
      <c r="B32" t="s">
        <v>42</v>
      </c>
      <c r="C32" t="str">
        <f t="shared" si="0"/>
        <v>OS</v>
      </c>
      <c r="D32">
        <v>1</v>
      </c>
      <c r="E32" t="str">
        <f t="shared" si="1"/>
        <v>Consistent</v>
      </c>
      <c r="F32" t="str">
        <f t="shared" si="2"/>
        <v>Low</v>
      </c>
      <c r="G32" t="str">
        <f t="shared" si="3"/>
        <v>MODERATE</v>
      </c>
      <c r="H32">
        <v>0</v>
      </c>
      <c r="I32">
        <v>0</v>
      </c>
      <c r="J32">
        <v>1</v>
      </c>
      <c r="K32" t="s">
        <v>16</v>
      </c>
      <c r="L32" t="s">
        <v>16</v>
      </c>
      <c r="M32" s="2" t="s">
        <v>17</v>
      </c>
      <c r="N32">
        <v>1</v>
      </c>
    </row>
    <row r="33" ht="17" spans="1:14">
      <c r="A33" s="1" t="s">
        <v>45</v>
      </c>
      <c r="B33" t="s">
        <v>15</v>
      </c>
      <c r="C33" t="str">
        <f t="shared" si="0"/>
        <v>TS</v>
      </c>
      <c r="D33">
        <v>1</v>
      </c>
      <c r="E33" t="str">
        <f t="shared" si="1"/>
        <v>Inconsistent</v>
      </c>
      <c r="F33" t="str">
        <f t="shared" si="2"/>
        <v>High</v>
      </c>
      <c r="G33" t="str">
        <f t="shared" si="3"/>
        <v>LOW</v>
      </c>
      <c r="H33">
        <v>0</v>
      </c>
      <c r="I33">
        <v>0</v>
      </c>
      <c r="J33">
        <v>1</v>
      </c>
      <c r="K33" t="s">
        <v>16</v>
      </c>
      <c r="L33" t="s">
        <v>16</v>
      </c>
      <c r="M33" s="2" t="s">
        <v>17</v>
      </c>
      <c r="N33">
        <v>1</v>
      </c>
    </row>
    <row r="34" ht="34" spans="1:14">
      <c r="A34" s="1" t="s">
        <v>46</v>
      </c>
      <c r="B34" t="s">
        <v>42</v>
      </c>
      <c r="C34" t="str">
        <f t="shared" si="0"/>
        <v>OS</v>
      </c>
      <c r="D34">
        <v>1</v>
      </c>
      <c r="E34" t="str">
        <f t="shared" si="1"/>
        <v>Consistent</v>
      </c>
      <c r="F34" t="str">
        <f t="shared" si="2"/>
        <v>Low</v>
      </c>
      <c r="G34" t="str">
        <f t="shared" si="3"/>
        <v>MODERATE</v>
      </c>
      <c r="H34">
        <v>0</v>
      </c>
      <c r="I34">
        <v>0</v>
      </c>
      <c r="J34">
        <v>1</v>
      </c>
      <c r="K34" t="s">
        <v>16</v>
      </c>
      <c r="L34" t="s">
        <v>16</v>
      </c>
      <c r="M34" s="2" t="s">
        <v>17</v>
      </c>
      <c r="N34">
        <v>1</v>
      </c>
    </row>
    <row r="35" ht="51" spans="1:14">
      <c r="A35" s="1" t="s">
        <v>47</v>
      </c>
      <c r="B35" t="s">
        <v>42</v>
      </c>
      <c r="C35" t="str">
        <f t="shared" si="0"/>
        <v>OS</v>
      </c>
      <c r="D35">
        <v>1</v>
      </c>
      <c r="E35" t="str">
        <f t="shared" si="1"/>
        <v>Consistent</v>
      </c>
      <c r="F35" t="str">
        <f t="shared" si="2"/>
        <v>Low</v>
      </c>
      <c r="G35" t="str">
        <f t="shared" si="3"/>
        <v>MODERATE</v>
      </c>
      <c r="H35">
        <v>0</v>
      </c>
      <c r="I35">
        <v>0</v>
      </c>
      <c r="J35">
        <v>1</v>
      </c>
      <c r="K35" t="s">
        <v>16</v>
      </c>
      <c r="L35" t="s">
        <v>16</v>
      </c>
      <c r="M35" s="2" t="s">
        <v>17</v>
      </c>
      <c r="N35">
        <v>1</v>
      </c>
    </row>
    <row r="36" ht="34" spans="1:14">
      <c r="A36" s="1" t="s">
        <v>48</v>
      </c>
      <c r="B36" t="s">
        <v>42</v>
      </c>
      <c r="C36" t="str">
        <f t="shared" si="0"/>
        <v>OS</v>
      </c>
      <c r="D36">
        <v>1</v>
      </c>
      <c r="E36" t="str">
        <f t="shared" si="1"/>
        <v>Consistent</v>
      </c>
      <c r="F36" t="str">
        <f t="shared" si="2"/>
        <v>Low</v>
      </c>
      <c r="G36" t="str">
        <f t="shared" si="3"/>
        <v>MODERATE</v>
      </c>
      <c r="H36">
        <v>0</v>
      </c>
      <c r="I36">
        <v>0</v>
      </c>
      <c r="J36">
        <v>1</v>
      </c>
      <c r="K36" t="s">
        <v>16</v>
      </c>
      <c r="L36" t="s">
        <v>16</v>
      </c>
      <c r="M36" s="2" t="s">
        <v>17</v>
      </c>
      <c r="N36">
        <v>1</v>
      </c>
    </row>
    <row r="37" ht="34" spans="1:14">
      <c r="A37" s="1" t="s">
        <v>49</v>
      </c>
      <c r="B37" t="s">
        <v>42</v>
      </c>
      <c r="C37" t="str">
        <f t="shared" si="0"/>
        <v>OS</v>
      </c>
      <c r="D37">
        <v>1</v>
      </c>
      <c r="E37" t="str">
        <f t="shared" si="1"/>
        <v>Consistent</v>
      </c>
      <c r="F37" t="str">
        <f t="shared" si="2"/>
        <v>Low</v>
      </c>
      <c r="G37" t="str">
        <f t="shared" si="3"/>
        <v>MODERATE</v>
      </c>
      <c r="H37">
        <v>0</v>
      </c>
      <c r="I37">
        <v>0</v>
      </c>
      <c r="J37">
        <v>1</v>
      </c>
      <c r="K37" t="s">
        <v>16</v>
      </c>
      <c r="L37" t="s">
        <v>16</v>
      </c>
      <c r="M37" s="2" t="s">
        <v>17</v>
      </c>
      <c r="N37">
        <v>1</v>
      </c>
    </row>
    <row r="38" ht="34" spans="1:14">
      <c r="A38" s="1" t="s">
        <v>50</v>
      </c>
      <c r="B38" t="s">
        <v>15</v>
      </c>
      <c r="C38" t="str">
        <f t="shared" si="0"/>
        <v>TS</v>
      </c>
      <c r="D38">
        <v>3</v>
      </c>
      <c r="E38" t="str">
        <f t="shared" si="1"/>
        <v>Consistent</v>
      </c>
      <c r="F38" t="str">
        <f t="shared" si="2"/>
        <v>High</v>
      </c>
      <c r="G38" t="str">
        <f t="shared" si="3"/>
        <v>HIGH</v>
      </c>
      <c r="H38">
        <v>0</v>
      </c>
      <c r="I38">
        <v>0</v>
      </c>
      <c r="J38">
        <v>1</v>
      </c>
      <c r="K38" t="s">
        <v>16</v>
      </c>
      <c r="L38" t="s">
        <v>16</v>
      </c>
      <c r="M38" s="2" t="s">
        <v>17</v>
      </c>
      <c r="N38">
        <v>1</v>
      </c>
    </row>
    <row r="39" ht="17" spans="1:14">
      <c r="A39" s="1" t="s">
        <v>51</v>
      </c>
      <c r="B39" t="s">
        <v>15</v>
      </c>
      <c r="C39" t="str">
        <f t="shared" si="0"/>
        <v>TS</v>
      </c>
      <c r="D39">
        <v>3</v>
      </c>
      <c r="E39" t="str">
        <f t="shared" si="1"/>
        <v>Consistent</v>
      </c>
      <c r="F39" t="str">
        <f t="shared" si="2"/>
        <v>High</v>
      </c>
      <c r="G39" t="str">
        <f t="shared" si="3"/>
        <v>HIGH</v>
      </c>
      <c r="H39">
        <v>0</v>
      </c>
      <c r="I39">
        <v>0</v>
      </c>
      <c r="J39">
        <v>1</v>
      </c>
      <c r="K39" t="s">
        <v>16</v>
      </c>
      <c r="L39" t="s">
        <v>16</v>
      </c>
      <c r="M39" s="2" t="s">
        <v>17</v>
      </c>
      <c r="N39">
        <v>1</v>
      </c>
    </row>
    <row r="40" ht="34" spans="1:14">
      <c r="A40" s="1" t="s">
        <v>52</v>
      </c>
      <c r="B40" t="s">
        <v>15</v>
      </c>
      <c r="C40" t="str">
        <f t="shared" si="0"/>
        <v>TS</v>
      </c>
      <c r="D40">
        <v>3</v>
      </c>
      <c r="E40" t="str">
        <f t="shared" si="1"/>
        <v>Consistent</v>
      </c>
      <c r="F40" t="str">
        <f t="shared" si="2"/>
        <v>High</v>
      </c>
      <c r="G40" t="str">
        <f t="shared" si="3"/>
        <v>HIGH</v>
      </c>
      <c r="H40">
        <v>0</v>
      </c>
      <c r="I40">
        <v>0</v>
      </c>
      <c r="J40">
        <v>1</v>
      </c>
      <c r="K40" t="s">
        <v>16</v>
      </c>
      <c r="L40" t="s">
        <v>16</v>
      </c>
      <c r="M40" s="2" t="s">
        <v>17</v>
      </c>
      <c r="N40">
        <v>1</v>
      </c>
    </row>
    <row r="41" ht="34" spans="1:14">
      <c r="A41" s="1" t="s">
        <v>53</v>
      </c>
      <c r="B41" t="s">
        <v>15</v>
      </c>
      <c r="C41" t="str">
        <f t="shared" si="0"/>
        <v>TS</v>
      </c>
      <c r="D41">
        <v>5</v>
      </c>
      <c r="E41" t="str">
        <f t="shared" si="1"/>
        <v>Inconsistent</v>
      </c>
      <c r="F41" t="str">
        <f t="shared" si="2"/>
        <v>High</v>
      </c>
      <c r="G41" t="str">
        <f t="shared" si="3"/>
        <v>LOW</v>
      </c>
      <c r="H41">
        <v>1</v>
      </c>
      <c r="I41">
        <v>1</v>
      </c>
      <c r="J41">
        <v>1</v>
      </c>
      <c r="K41" t="s">
        <v>16</v>
      </c>
      <c r="L41" t="s">
        <v>16</v>
      </c>
      <c r="M41" s="2" t="s">
        <v>54</v>
      </c>
      <c r="N41">
        <v>2</v>
      </c>
    </row>
    <row r="42" ht="118" spans="1:14">
      <c r="A42" s="1" t="s">
        <v>55</v>
      </c>
      <c r="B42" t="s">
        <v>15</v>
      </c>
      <c r="C42" t="str">
        <f t="shared" si="0"/>
        <v>TS</v>
      </c>
      <c r="D42">
        <v>5</v>
      </c>
      <c r="E42" t="str">
        <f t="shared" si="1"/>
        <v>Inconsistent</v>
      </c>
      <c r="F42" t="str">
        <f t="shared" si="2"/>
        <v>High</v>
      </c>
      <c r="G42" t="str">
        <f t="shared" si="3"/>
        <v>LOW</v>
      </c>
      <c r="H42">
        <v>1</v>
      </c>
      <c r="I42">
        <v>0</v>
      </c>
      <c r="J42">
        <v>1</v>
      </c>
      <c r="K42" t="s">
        <v>16</v>
      </c>
      <c r="L42" t="s">
        <v>16</v>
      </c>
      <c r="M42" s="2" t="s">
        <v>54</v>
      </c>
      <c r="N42">
        <v>2</v>
      </c>
    </row>
    <row r="43" ht="34" spans="1:14">
      <c r="A43" s="1" t="s">
        <v>56</v>
      </c>
      <c r="B43" t="s">
        <v>21</v>
      </c>
      <c r="C43" t="str">
        <f t="shared" si="0"/>
        <v>OS</v>
      </c>
      <c r="D43">
        <v>5</v>
      </c>
      <c r="E43" t="str">
        <f t="shared" si="1"/>
        <v>Consistent</v>
      </c>
      <c r="F43" t="str">
        <f t="shared" si="2"/>
        <v>Low</v>
      </c>
      <c r="G43" t="str">
        <f t="shared" si="3"/>
        <v>MODERATE</v>
      </c>
      <c r="H43">
        <v>0</v>
      </c>
      <c r="I43">
        <v>0</v>
      </c>
      <c r="J43">
        <v>1</v>
      </c>
      <c r="K43" t="s">
        <v>16</v>
      </c>
      <c r="L43" t="s">
        <v>16</v>
      </c>
      <c r="M43" s="2" t="s">
        <v>54</v>
      </c>
      <c r="N43">
        <v>2</v>
      </c>
    </row>
    <row r="44" ht="68" spans="1:14">
      <c r="A44" s="1" t="s">
        <v>57</v>
      </c>
      <c r="B44" t="s">
        <v>21</v>
      </c>
      <c r="C44" t="str">
        <f t="shared" si="0"/>
        <v>OS</v>
      </c>
      <c r="D44">
        <v>5</v>
      </c>
      <c r="E44" t="str">
        <f t="shared" si="1"/>
        <v>Consistent</v>
      </c>
      <c r="F44" t="str">
        <f t="shared" si="2"/>
        <v>Low</v>
      </c>
      <c r="G44" t="str">
        <f t="shared" si="3"/>
        <v>MODERATE</v>
      </c>
      <c r="H44">
        <v>0</v>
      </c>
      <c r="I44">
        <v>1</v>
      </c>
      <c r="J44">
        <v>0</v>
      </c>
      <c r="K44" t="s">
        <v>16</v>
      </c>
      <c r="L44" t="s">
        <v>16</v>
      </c>
      <c r="M44" s="2" t="s">
        <v>54</v>
      </c>
      <c r="N44">
        <v>2</v>
      </c>
    </row>
    <row r="45" ht="51" spans="1:14">
      <c r="A45" s="1" t="s">
        <v>58</v>
      </c>
      <c r="B45" t="s">
        <v>21</v>
      </c>
      <c r="C45" t="str">
        <f t="shared" si="0"/>
        <v>OS</v>
      </c>
      <c r="D45">
        <v>5</v>
      </c>
      <c r="E45" t="str">
        <f t="shared" si="1"/>
        <v>Consistent</v>
      </c>
      <c r="F45" t="str">
        <f t="shared" si="2"/>
        <v>Low</v>
      </c>
      <c r="G45" t="str">
        <f t="shared" si="3"/>
        <v>MODERATE</v>
      </c>
      <c r="H45">
        <v>0</v>
      </c>
      <c r="I45">
        <v>1</v>
      </c>
      <c r="J45">
        <v>0</v>
      </c>
      <c r="K45" t="s">
        <v>16</v>
      </c>
      <c r="L45" t="s">
        <v>16</v>
      </c>
      <c r="M45" s="2" t="s">
        <v>54</v>
      </c>
      <c r="N45">
        <v>2</v>
      </c>
    </row>
    <row r="46" ht="34" spans="1:14">
      <c r="A46" s="1" t="s">
        <v>59</v>
      </c>
      <c r="B46" t="s">
        <v>21</v>
      </c>
      <c r="C46" t="str">
        <f t="shared" si="0"/>
        <v>OS</v>
      </c>
      <c r="D46">
        <v>5</v>
      </c>
      <c r="E46" t="str">
        <f t="shared" si="1"/>
        <v>Consistent</v>
      </c>
      <c r="F46" t="str">
        <f t="shared" si="2"/>
        <v>Low</v>
      </c>
      <c r="G46" t="str">
        <f t="shared" si="3"/>
        <v>MODERATE</v>
      </c>
      <c r="H46">
        <v>0</v>
      </c>
      <c r="I46">
        <v>0</v>
      </c>
      <c r="J46">
        <v>1</v>
      </c>
      <c r="K46" t="s">
        <v>16</v>
      </c>
      <c r="L46" t="s">
        <v>16</v>
      </c>
      <c r="M46" s="2" t="s">
        <v>54</v>
      </c>
      <c r="N46">
        <v>2</v>
      </c>
    </row>
    <row r="47" ht="34" spans="1:14">
      <c r="A47" s="1" t="s">
        <v>60</v>
      </c>
      <c r="B47" t="s">
        <v>21</v>
      </c>
      <c r="C47" t="str">
        <f t="shared" si="0"/>
        <v>OS</v>
      </c>
      <c r="D47">
        <v>5</v>
      </c>
      <c r="E47" t="str">
        <f t="shared" si="1"/>
        <v>Consistent</v>
      </c>
      <c r="F47" t="str">
        <f t="shared" si="2"/>
        <v>Low</v>
      </c>
      <c r="G47" t="str">
        <f t="shared" si="3"/>
        <v>MODERATE</v>
      </c>
      <c r="H47">
        <v>1</v>
      </c>
      <c r="I47">
        <v>1</v>
      </c>
      <c r="J47">
        <v>0</v>
      </c>
      <c r="K47" t="s">
        <v>16</v>
      </c>
      <c r="L47" t="s">
        <v>16</v>
      </c>
      <c r="M47" s="2" t="s">
        <v>54</v>
      </c>
      <c r="N47">
        <v>2</v>
      </c>
    </row>
    <row r="48" ht="17" spans="1:14">
      <c r="A48" s="1" t="s">
        <v>61</v>
      </c>
      <c r="B48" t="s">
        <v>21</v>
      </c>
      <c r="C48" t="str">
        <f t="shared" si="0"/>
        <v>OS</v>
      </c>
      <c r="D48">
        <v>5</v>
      </c>
      <c r="E48" t="str">
        <f t="shared" si="1"/>
        <v>Consistent</v>
      </c>
      <c r="F48" t="str">
        <f t="shared" si="2"/>
        <v>Low</v>
      </c>
      <c r="G48" t="str">
        <f t="shared" si="3"/>
        <v>MODERATE</v>
      </c>
      <c r="H48">
        <v>0</v>
      </c>
      <c r="I48">
        <v>1</v>
      </c>
      <c r="J48">
        <v>1</v>
      </c>
      <c r="K48" t="s">
        <v>16</v>
      </c>
      <c r="L48" t="s">
        <v>16</v>
      </c>
      <c r="M48" s="2" t="s">
        <v>54</v>
      </c>
      <c r="N48">
        <v>2</v>
      </c>
    </row>
    <row r="49" ht="17" spans="1:14">
      <c r="A49" s="1" t="s">
        <v>62</v>
      </c>
      <c r="B49" t="s">
        <v>21</v>
      </c>
      <c r="C49" t="str">
        <f t="shared" si="0"/>
        <v>OS</v>
      </c>
      <c r="D49">
        <v>5</v>
      </c>
      <c r="E49" t="str">
        <f t="shared" si="1"/>
        <v>Consistent</v>
      </c>
      <c r="F49" t="str">
        <f t="shared" si="2"/>
        <v>Low</v>
      </c>
      <c r="G49" t="str">
        <f t="shared" si="3"/>
        <v>MODERATE</v>
      </c>
      <c r="H49">
        <v>0</v>
      </c>
      <c r="I49">
        <v>0</v>
      </c>
      <c r="J49">
        <v>1</v>
      </c>
      <c r="K49" t="s">
        <v>16</v>
      </c>
      <c r="L49" t="s">
        <v>16</v>
      </c>
      <c r="M49" s="2" t="s">
        <v>54</v>
      </c>
      <c r="N49">
        <v>2</v>
      </c>
    </row>
    <row r="50" ht="34" spans="1:14">
      <c r="A50" s="1" t="s">
        <v>63</v>
      </c>
      <c r="B50" t="s">
        <v>15</v>
      </c>
      <c r="C50" t="str">
        <f t="shared" si="0"/>
        <v>TS</v>
      </c>
      <c r="D50">
        <v>5</v>
      </c>
      <c r="E50" t="str">
        <f t="shared" si="1"/>
        <v>Inconsistent</v>
      </c>
      <c r="F50" t="str">
        <f t="shared" si="2"/>
        <v>High</v>
      </c>
      <c r="G50" t="str">
        <f t="shared" si="3"/>
        <v>LOW</v>
      </c>
      <c r="H50">
        <v>1</v>
      </c>
      <c r="I50">
        <v>0</v>
      </c>
      <c r="J50">
        <v>1</v>
      </c>
      <c r="K50" t="s">
        <v>16</v>
      </c>
      <c r="L50" t="s">
        <v>16</v>
      </c>
      <c r="M50" s="2" t="s">
        <v>54</v>
      </c>
      <c r="N50">
        <v>2</v>
      </c>
    </row>
    <row r="51" ht="34" spans="1:14">
      <c r="A51" s="1" t="s">
        <v>64</v>
      </c>
      <c r="B51" t="s">
        <v>42</v>
      </c>
      <c r="C51" t="str">
        <f t="shared" si="0"/>
        <v>OS</v>
      </c>
      <c r="D51">
        <v>5</v>
      </c>
      <c r="E51" t="str">
        <f t="shared" si="1"/>
        <v>Inconsistent</v>
      </c>
      <c r="F51" t="str">
        <f t="shared" si="2"/>
        <v>Low</v>
      </c>
      <c r="G51" t="str">
        <f t="shared" si="3"/>
        <v>LOW</v>
      </c>
      <c r="H51">
        <v>0</v>
      </c>
      <c r="I51">
        <v>1</v>
      </c>
      <c r="J51">
        <v>1</v>
      </c>
      <c r="K51" t="s">
        <v>16</v>
      </c>
      <c r="L51" t="s">
        <v>16</v>
      </c>
      <c r="M51" s="2" t="s">
        <v>54</v>
      </c>
      <c r="N51">
        <v>2</v>
      </c>
    </row>
    <row r="52" ht="17" spans="1:14">
      <c r="A52" s="1" t="s">
        <v>65</v>
      </c>
      <c r="B52" t="s">
        <v>21</v>
      </c>
      <c r="C52" t="str">
        <f t="shared" si="0"/>
        <v>OS</v>
      </c>
      <c r="D52">
        <v>5</v>
      </c>
      <c r="E52" t="str">
        <f t="shared" si="1"/>
        <v>Consistent</v>
      </c>
      <c r="F52" t="str">
        <f t="shared" si="2"/>
        <v>Low</v>
      </c>
      <c r="G52" t="str">
        <f t="shared" si="3"/>
        <v>MODERATE</v>
      </c>
      <c r="H52">
        <v>0</v>
      </c>
      <c r="I52">
        <v>1</v>
      </c>
      <c r="J52">
        <v>0</v>
      </c>
      <c r="K52" t="s">
        <v>16</v>
      </c>
      <c r="L52" t="s">
        <v>16</v>
      </c>
      <c r="M52" s="2" t="s">
        <v>54</v>
      </c>
      <c r="N52">
        <v>2</v>
      </c>
    </row>
    <row r="53" ht="68" spans="1:14">
      <c r="A53" s="1" t="s">
        <v>66</v>
      </c>
      <c r="B53" t="s">
        <v>21</v>
      </c>
      <c r="C53" t="str">
        <f t="shared" si="0"/>
        <v>OS</v>
      </c>
      <c r="D53">
        <v>5</v>
      </c>
      <c r="E53" t="str">
        <f t="shared" si="1"/>
        <v>Consistent</v>
      </c>
      <c r="F53" t="str">
        <f t="shared" si="2"/>
        <v>Low</v>
      </c>
      <c r="G53" t="str">
        <f t="shared" si="3"/>
        <v>MODERATE</v>
      </c>
      <c r="H53">
        <v>0</v>
      </c>
      <c r="I53">
        <v>1</v>
      </c>
      <c r="J53">
        <v>1</v>
      </c>
      <c r="K53" t="s">
        <v>16</v>
      </c>
      <c r="L53" t="s">
        <v>16</v>
      </c>
      <c r="M53" s="2" t="s">
        <v>54</v>
      </c>
      <c r="N53">
        <v>2</v>
      </c>
    </row>
    <row r="54" ht="34" spans="1:14">
      <c r="A54" s="1" t="s">
        <v>67</v>
      </c>
      <c r="B54" t="s">
        <v>21</v>
      </c>
      <c r="C54" t="str">
        <f t="shared" si="0"/>
        <v>OS</v>
      </c>
      <c r="D54">
        <v>5</v>
      </c>
      <c r="E54" t="str">
        <f t="shared" si="1"/>
        <v>Consistent</v>
      </c>
      <c r="F54" t="str">
        <f t="shared" si="2"/>
        <v>Low</v>
      </c>
      <c r="G54" t="str">
        <f t="shared" si="3"/>
        <v>MODERATE</v>
      </c>
      <c r="H54">
        <v>0</v>
      </c>
      <c r="I54">
        <v>1</v>
      </c>
      <c r="J54">
        <v>1</v>
      </c>
      <c r="K54" t="s">
        <v>16</v>
      </c>
      <c r="L54" t="s">
        <v>16</v>
      </c>
      <c r="M54" s="2" t="s">
        <v>54</v>
      </c>
      <c r="N54">
        <v>2</v>
      </c>
    </row>
    <row r="55" ht="34" spans="1:14">
      <c r="A55" s="1" t="s">
        <v>68</v>
      </c>
      <c r="B55" t="s">
        <v>21</v>
      </c>
      <c r="C55" t="str">
        <f t="shared" si="0"/>
        <v>OS</v>
      </c>
      <c r="D55">
        <v>5</v>
      </c>
      <c r="E55" t="str">
        <f t="shared" si="1"/>
        <v>Consistent</v>
      </c>
      <c r="F55" t="str">
        <f t="shared" si="2"/>
        <v>Low</v>
      </c>
      <c r="G55" t="str">
        <f t="shared" si="3"/>
        <v>MODERATE</v>
      </c>
      <c r="H55">
        <v>0</v>
      </c>
      <c r="I55">
        <v>1</v>
      </c>
      <c r="J55">
        <v>0</v>
      </c>
      <c r="K55" t="s">
        <v>16</v>
      </c>
      <c r="L55" t="s">
        <v>16</v>
      </c>
      <c r="M55" s="2" t="s">
        <v>54</v>
      </c>
      <c r="N55">
        <v>2</v>
      </c>
    </row>
    <row r="56" ht="34" spans="1:14">
      <c r="A56" s="1" t="s">
        <v>69</v>
      </c>
      <c r="B56" t="s">
        <v>21</v>
      </c>
      <c r="C56" t="str">
        <f t="shared" si="0"/>
        <v>OS</v>
      </c>
      <c r="D56">
        <v>5</v>
      </c>
      <c r="E56" t="str">
        <f t="shared" si="1"/>
        <v>Consistent</v>
      </c>
      <c r="F56" t="str">
        <f t="shared" si="2"/>
        <v>Low</v>
      </c>
      <c r="G56" t="str">
        <f t="shared" si="3"/>
        <v>MODERATE</v>
      </c>
      <c r="H56">
        <v>0</v>
      </c>
      <c r="I56">
        <v>1</v>
      </c>
      <c r="J56">
        <v>0</v>
      </c>
      <c r="K56" t="s">
        <v>16</v>
      </c>
      <c r="L56" t="s">
        <v>16</v>
      </c>
      <c r="M56" s="2" t="s">
        <v>54</v>
      </c>
      <c r="N56">
        <v>2</v>
      </c>
    </row>
    <row r="57" ht="34" spans="1:14">
      <c r="A57" s="1" t="s">
        <v>70</v>
      </c>
      <c r="B57" t="s">
        <v>15</v>
      </c>
      <c r="C57" t="str">
        <f t="shared" si="0"/>
        <v>TS</v>
      </c>
      <c r="D57">
        <v>5</v>
      </c>
      <c r="E57" t="str">
        <f t="shared" si="1"/>
        <v>Inconsistent</v>
      </c>
      <c r="F57" t="str">
        <f t="shared" si="2"/>
        <v>High</v>
      </c>
      <c r="G57" t="str">
        <f t="shared" si="3"/>
        <v>LOW</v>
      </c>
      <c r="H57">
        <v>0</v>
      </c>
      <c r="I57">
        <v>0</v>
      </c>
      <c r="J57">
        <v>1</v>
      </c>
      <c r="K57" t="s">
        <v>16</v>
      </c>
      <c r="L57" t="s">
        <v>16</v>
      </c>
      <c r="M57" s="2" t="s">
        <v>54</v>
      </c>
      <c r="N57">
        <v>2</v>
      </c>
    </row>
    <row r="58" ht="34" spans="1:14">
      <c r="A58" s="1" t="s">
        <v>71</v>
      </c>
      <c r="B58" t="s">
        <v>21</v>
      </c>
      <c r="C58" t="str">
        <f t="shared" si="0"/>
        <v>OS</v>
      </c>
      <c r="D58">
        <v>5</v>
      </c>
      <c r="E58" t="str">
        <f t="shared" si="1"/>
        <v>Consistent</v>
      </c>
      <c r="F58" t="str">
        <f t="shared" si="2"/>
        <v>Low</v>
      </c>
      <c r="G58" t="str">
        <f t="shared" si="3"/>
        <v>MODERATE</v>
      </c>
      <c r="H58">
        <v>0</v>
      </c>
      <c r="I58">
        <v>1</v>
      </c>
      <c r="J58">
        <v>0</v>
      </c>
      <c r="K58" t="s">
        <v>16</v>
      </c>
      <c r="L58" t="s">
        <v>16</v>
      </c>
      <c r="M58" s="2" t="s">
        <v>54</v>
      </c>
      <c r="N58">
        <v>2</v>
      </c>
    </row>
    <row r="59" ht="51" spans="1:14">
      <c r="A59" s="1" t="s">
        <v>72</v>
      </c>
      <c r="B59" t="s">
        <v>42</v>
      </c>
      <c r="C59" t="str">
        <f t="shared" si="0"/>
        <v>OS</v>
      </c>
      <c r="D59">
        <v>5</v>
      </c>
      <c r="E59" t="str">
        <f t="shared" si="1"/>
        <v>Inconsistent</v>
      </c>
      <c r="F59" t="str">
        <f t="shared" si="2"/>
        <v>Low</v>
      </c>
      <c r="G59" t="str">
        <f t="shared" si="3"/>
        <v>LOW</v>
      </c>
      <c r="H59">
        <v>0</v>
      </c>
      <c r="I59">
        <v>0</v>
      </c>
      <c r="J59">
        <v>1</v>
      </c>
      <c r="K59" t="s">
        <v>16</v>
      </c>
      <c r="L59" t="s">
        <v>16</v>
      </c>
      <c r="M59" s="2" t="s">
        <v>54</v>
      </c>
      <c r="N59">
        <v>2</v>
      </c>
    </row>
    <row r="60" ht="68" spans="1:14">
      <c r="A60" s="1" t="s">
        <v>73</v>
      </c>
      <c r="B60" t="s">
        <v>21</v>
      </c>
      <c r="C60" t="str">
        <f t="shared" si="0"/>
        <v>OS</v>
      </c>
      <c r="D60">
        <v>5</v>
      </c>
      <c r="E60" t="str">
        <f t="shared" si="1"/>
        <v>Consistent</v>
      </c>
      <c r="F60" t="str">
        <f t="shared" si="2"/>
        <v>Low</v>
      </c>
      <c r="G60" t="str">
        <f t="shared" si="3"/>
        <v>MODERATE</v>
      </c>
      <c r="H60">
        <v>1</v>
      </c>
      <c r="I60">
        <v>1</v>
      </c>
      <c r="J60">
        <v>1</v>
      </c>
      <c r="K60" t="s">
        <v>16</v>
      </c>
      <c r="L60" t="s">
        <v>16</v>
      </c>
      <c r="M60" s="2" t="s">
        <v>54</v>
      </c>
      <c r="N60">
        <v>2</v>
      </c>
    </row>
    <row r="61" ht="51" spans="1:14">
      <c r="A61" s="1" t="s">
        <v>74</v>
      </c>
      <c r="B61" t="s">
        <v>15</v>
      </c>
      <c r="C61" t="str">
        <f t="shared" si="0"/>
        <v>TS</v>
      </c>
      <c r="D61">
        <v>4</v>
      </c>
      <c r="E61" t="str">
        <f t="shared" si="1"/>
        <v>Partially Consistent</v>
      </c>
      <c r="F61" t="str">
        <f t="shared" si="2"/>
        <v>High</v>
      </c>
      <c r="G61" t="str">
        <f t="shared" si="3"/>
        <v>MODERATE</v>
      </c>
      <c r="H61">
        <v>1</v>
      </c>
      <c r="I61">
        <v>1</v>
      </c>
      <c r="J61">
        <v>0</v>
      </c>
      <c r="K61" t="s">
        <v>16</v>
      </c>
      <c r="L61" t="s">
        <v>16</v>
      </c>
      <c r="M61" s="2" t="s">
        <v>54</v>
      </c>
      <c r="N61">
        <v>2</v>
      </c>
    </row>
    <row r="62" ht="17" spans="1:14">
      <c r="A62" s="1" t="s">
        <v>75</v>
      </c>
      <c r="B62" t="s">
        <v>42</v>
      </c>
      <c r="C62" t="str">
        <f t="shared" si="0"/>
        <v>OS</v>
      </c>
      <c r="D62">
        <v>5</v>
      </c>
      <c r="E62" t="str">
        <f t="shared" si="1"/>
        <v>Inconsistent</v>
      </c>
      <c r="F62" t="str">
        <f t="shared" si="2"/>
        <v>Low</v>
      </c>
      <c r="G62" t="str">
        <f t="shared" si="3"/>
        <v>LOW</v>
      </c>
      <c r="H62">
        <v>0</v>
      </c>
      <c r="I62">
        <v>0</v>
      </c>
      <c r="J62">
        <v>1</v>
      </c>
      <c r="K62" t="s">
        <v>16</v>
      </c>
      <c r="L62" t="s">
        <v>16</v>
      </c>
      <c r="M62" s="2" t="s">
        <v>54</v>
      </c>
      <c r="N62">
        <v>2</v>
      </c>
    </row>
    <row r="63" ht="17" spans="1:14">
      <c r="A63" s="1" t="s">
        <v>76</v>
      </c>
      <c r="B63" t="s">
        <v>21</v>
      </c>
      <c r="C63" t="str">
        <f t="shared" si="0"/>
        <v>OS</v>
      </c>
      <c r="D63">
        <v>5</v>
      </c>
      <c r="E63" t="str">
        <f t="shared" si="1"/>
        <v>Consistent</v>
      </c>
      <c r="F63" t="str">
        <f t="shared" si="2"/>
        <v>Low</v>
      </c>
      <c r="G63" t="str">
        <f t="shared" si="3"/>
        <v>MODERATE</v>
      </c>
      <c r="H63">
        <v>0</v>
      </c>
      <c r="I63">
        <v>0</v>
      </c>
      <c r="J63">
        <v>1</v>
      </c>
      <c r="K63" t="s">
        <v>16</v>
      </c>
      <c r="L63" t="s">
        <v>16</v>
      </c>
      <c r="M63" s="2" t="s">
        <v>54</v>
      </c>
      <c r="N63">
        <v>2</v>
      </c>
    </row>
    <row r="64" ht="17" spans="1:14">
      <c r="A64" s="1" t="s">
        <v>77</v>
      </c>
      <c r="B64" t="s">
        <v>21</v>
      </c>
      <c r="C64" t="str">
        <f t="shared" si="0"/>
        <v>OS</v>
      </c>
      <c r="D64">
        <v>5</v>
      </c>
      <c r="E64" t="str">
        <f t="shared" si="1"/>
        <v>Consistent</v>
      </c>
      <c r="F64" t="str">
        <f t="shared" si="2"/>
        <v>Low</v>
      </c>
      <c r="G64" t="str">
        <f t="shared" si="3"/>
        <v>MODERATE</v>
      </c>
      <c r="H64">
        <v>0</v>
      </c>
      <c r="I64">
        <v>0</v>
      </c>
      <c r="J64">
        <v>1</v>
      </c>
      <c r="K64" t="s">
        <v>16</v>
      </c>
      <c r="L64" t="s">
        <v>16</v>
      </c>
      <c r="M64" s="2" t="s">
        <v>54</v>
      </c>
      <c r="N64">
        <v>2</v>
      </c>
    </row>
    <row r="65" ht="17" spans="1:14">
      <c r="A65" s="1" t="s">
        <v>78</v>
      </c>
      <c r="B65" t="s">
        <v>21</v>
      </c>
      <c r="C65" t="str">
        <f t="shared" si="0"/>
        <v>OS</v>
      </c>
      <c r="D65">
        <v>5</v>
      </c>
      <c r="E65" t="str">
        <f t="shared" si="1"/>
        <v>Consistent</v>
      </c>
      <c r="F65" t="str">
        <f t="shared" si="2"/>
        <v>Low</v>
      </c>
      <c r="G65" t="str">
        <f t="shared" si="3"/>
        <v>MODERATE</v>
      </c>
      <c r="H65">
        <v>1</v>
      </c>
      <c r="I65">
        <v>1</v>
      </c>
      <c r="J65">
        <v>0</v>
      </c>
      <c r="K65" t="s">
        <v>16</v>
      </c>
      <c r="L65" t="s">
        <v>16</v>
      </c>
      <c r="M65" s="2" t="s">
        <v>54</v>
      </c>
      <c r="N65">
        <v>2</v>
      </c>
    </row>
    <row r="66" ht="17" spans="1:14">
      <c r="A66" s="1" t="s">
        <v>79</v>
      </c>
      <c r="B66" t="s">
        <v>42</v>
      </c>
      <c r="C66" t="str">
        <f t="shared" ref="C66:C123" si="4">IF(B66="NEUTRAL","TS","OS")</f>
        <v>OS</v>
      </c>
      <c r="D66">
        <v>5</v>
      </c>
      <c r="E66" t="str">
        <f t="shared" ref="E66:E123" si="5">IF(C66="TS",IF(D66=3,"Consistent",IF(OR(D66=2,D66=4),"Partially Consistent","Inconsistent")),IF(D66=3,"Inconsistent",IF(AND(D66=5,B66="POSITIVE"),"Consistent",IF(AND(D66=1,B66="NEGATIVE"),"Consistent",IF(AND(D66=4,B66="POSITIVE"),"Partially Consistent",IF(AND(D66=2,B66="NEGATIVE"),"Partially Consistent","Inconsistent"))))))</f>
        <v>Inconsistent</v>
      </c>
      <c r="F66" t="str">
        <f t="shared" ref="F66:F123" si="6">IF(C66="TS","High","Low")</f>
        <v>Low</v>
      </c>
      <c r="G66" t="str">
        <f t="shared" ref="G66:G123" si="7">IF(AND(B66="NEUTRAL",F66="Low"),"LOW",IF(AND(C66="TS",F66="High",D66=3),"HIGH",IF(AND(C66="TS",F66="High",OR(D66=2,D66=4)),"MODERATE",IF(AND(C66="TS",F66="High",OR(D66=1,D66=5)),"LOW",IF(AND(C66="OS",E66="Consistent",OR(D66=1,D66=5)),"MODERATE",IF(AND(C66="OS",E66="Partially Consistent",OR(D66=2,D66=4)),"MODERATE","LOW"))))))</f>
        <v>LOW</v>
      </c>
      <c r="H66">
        <v>0</v>
      </c>
      <c r="I66">
        <v>0</v>
      </c>
      <c r="J66">
        <v>1</v>
      </c>
      <c r="K66" t="s">
        <v>16</v>
      </c>
      <c r="L66" t="s">
        <v>16</v>
      </c>
      <c r="M66" s="2" t="s">
        <v>54</v>
      </c>
      <c r="N66">
        <v>2</v>
      </c>
    </row>
    <row r="67" ht="17" spans="1:14">
      <c r="A67" s="1" t="s">
        <v>80</v>
      </c>
      <c r="B67" t="s">
        <v>21</v>
      </c>
      <c r="C67" t="str">
        <f t="shared" si="4"/>
        <v>OS</v>
      </c>
      <c r="D67">
        <v>5</v>
      </c>
      <c r="E67" t="str">
        <f t="shared" si="5"/>
        <v>Consistent</v>
      </c>
      <c r="F67" t="str">
        <f t="shared" si="6"/>
        <v>Low</v>
      </c>
      <c r="G67" t="str">
        <f t="shared" si="7"/>
        <v>MODERATE</v>
      </c>
      <c r="H67">
        <v>1</v>
      </c>
      <c r="I67">
        <v>1</v>
      </c>
      <c r="J67">
        <v>1</v>
      </c>
      <c r="K67" t="s">
        <v>16</v>
      </c>
      <c r="L67" t="s">
        <v>16</v>
      </c>
      <c r="M67" s="2" t="s">
        <v>54</v>
      </c>
      <c r="N67">
        <v>2</v>
      </c>
    </row>
    <row r="68" ht="17" spans="1:14">
      <c r="A68" s="1" t="s">
        <v>81</v>
      </c>
      <c r="B68" t="s">
        <v>21</v>
      </c>
      <c r="C68" t="str">
        <f t="shared" si="4"/>
        <v>OS</v>
      </c>
      <c r="D68">
        <v>5</v>
      </c>
      <c r="E68" t="str">
        <f t="shared" si="5"/>
        <v>Consistent</v>
      </c>
      <c r="F68" t="str">
        <f t="shared" si="6"/>
        <v>Low</v>
      </c>
      <c r="G68" t="str">
        <f t="shared" si="7"/>
        <v>MODERATE</v>
      </c>
      <c r="H68">
        <v>1</v>
      </c>
      <c r="I68">
        <v>1</v>
      </c>
      <c r="J68">
        <v>0</v>
      </c>
      <c r="K68" t="s">
        <v>16</v>
      </c>
      <c r="L68" t="s">
        <v>16</v>
      </c>
      <c r="M68" s="2" t="s">
        <v>54</v>
      </c>
      <c r="N68">
        <v>2</v>
      </c>
    </row>
    <row r="69" ht="17" spans="1:14">
      <c r="A69" s="1" t="s">
        <v>82</v>
      </c>
      <c r="B69" t="s">
        <v>21</v>
      </c>
      <c r="C69" t="str">
        <f t="shared" si="4"/>
        <v>OS</v>
      </c>
      <c r="D69">
        <v>5</v>
      </c>
      <c r="E69" t="str">
        <f t="shared" si="5"/>
        <v>Consistent</v>
      </c>
      <c r="F69" t="str">
        <f t="shared" si="6"/>
        <v>Low</v>
      </c>
      <c r="G69" t="str">
        <f t="shared" si="7"/>
        <v>MODERATE</v>
      </c>
      <c r="H69">
        <v>0</v>
      </c>
      <c r="I69">
        <v>0</v>
      </c>
      <c r="J69">
        <v>1</v>
      </c>
      <c r="K69" t="s">
        <v>16</v>
      </c>
      <c r="L69" t="s">
        <v>16</v>
      </c>
      <c r="M69" s="2" t="s">
        <v>54</v>
      </c>
      <c r="N69">
        <v>2</v>
      </c>
    </row>
    <row r="70" ht="34" spans="1:14">
      <c r="A70" s="1" t="s">
        <v>83</v>
      </c>
      <c r="B70" t="s">
        <v>21</v>
      </c>
      <c r="C70" t="str">
        <f t="shared" si="4"/>
        <v>OS</v>
      </c>
      <c r="D70">
        <v>5</v>
      </c>
      <c r="E70" t="str">
        <f t="shared" si="5"/>
        <v>Consistent</v>
      </c>
      <c r="F70" t="str">
        <f t="shared" si="6"/>
        <v>Low</v>
      </c>
      <c r="G70" t="str">
        <f t="shared" si="7"/>
        <v>MODERATE</v>
      </c>
      <c r="H70">
        <v>1</v>
      </c>
      <c r="I70">
        <v>1</v>
      </c>
      <c r="J70">
        <v>0</v>
      </c>
      <c r="K70" t="s">
        <v>16</v>
      </c>
      <c r="L70" t="s">
        <v>16</v>
      </c>
      <c r="M70" s="2" t="s">
        <v>54</v>
      </c>
      <c r="N70">
        <v>2</v>
      </c>
    </row>
    <row r="71" ht="51" spans="1:14">
      <c r="A71" s="1" t="s">
        <v>84</v>
      </c>
      <c r="B71" t="s">
        <v>21</v>
      </c>
      <c r="C71" t="str">
        <f t="shared" si="4"/>
        <v>OS</v>
      </c>
      <c r="D71">
        <v>5</v>
      </c>
      <c r="E71" t="str">
        <f t="shared" si="5"/>
        <v>Consistent</v>
      </c>
      <c r="F71" t="str">
        <f t="shared" si="6"/>
        <v>Low</v>
      </c>
      <c r="G71" t="str">
        <f t="shared" si="7"/>
        <v>MODERATE</v>
      </c>
      <c r="H71">
        <v>0</v>
      </c>
      <c r="I71">
        <v>1</v>
      </c>
      <c r="J71">
        <v>0</v>
      </c>
      <c r="K71" t="s">
        <v>16</v>
      </c>
      <c r="L71" t="s">
        <v>16</v>
      </c>
      <c r="M71" s="2" t="s">
        <v>54</v>
      </c>
      <c r="N71">
        <v>2</v>
      </c>
    </row>
    <row r="72" ht="17" spans="1:14">
      <c r="A72" s="1" t="s">
        <v>85</v>
      </c>
      <c r="B72" t="s">
        <v>21</v>
      </c>
      <c r="C72" t="str">
        <f t="shared" si="4"/>
        <v>OS</v>
      </c>
      <c r="D72">
        <v>5</v>
      </c>
      <c r="E72" t="str">
        <f t="shared" si="5"/>
        <v>Consistent</v>
      </c>
      <c r="F72" t="str">
        <f t="shared" si="6"/>
        <v>Low</v>
      </c>
      <c r="G72" t="str">
        <f t="shared" si="7"/>
        <v>MODERATE</v>
      </c>
      <c r="H72">
        <v>0</v>
      </c>
      <c r="I72">
        <v>1</v>
      </c>
      <c r="J72">
        <v>0</v>
      </c>
      <c r="K72" t="s">
        <v>16</v>
      </c>
      <c r="L72" t="s">
        <v>16</v>
      </c>
      <c r="M72" s="2" t="s">
        <v>54</v>
      </c>
      <c r="N72">
        <v>2</v>
      </c>
    </row>
    <row r="73" ht="17" spans="1:14">
      <c r="A73" s="1" t="s">
        <v>86</v>
      </c>
      <c r="B73" t="s">
        <v>21</v>
      </c>
      <c r="C73" t="str">
        <f t="shared" si="4"/>
        <v>OS</v>
      </c>
      <c r="D73">
        <v>5</v>
      </c>
      <c r="E73" t="str">
        <f t="shared" si="5"/>
        <v>Consistent</v>
      </c>
      <c r="F73" t="str">
        <f t="shared" si="6"/>
        <v>Low</v>
      </c>
      <c r="G73" t="str">
        <f t="shared" si="7"/>
        <v>MODERATE</v>
      </c>
      <c r="H73">
        <v>0</v>
      </c>
      <c r="I73">
        <v>1</v>
      </c>
      <c r="J73">
        <v>0</v>
      </c>
      <c r="K73" t="s">
        <v>16</v>
      </c>
      <c r="L73" t="s">
        <v>16</v>
      </c>
      <c r="M73" s="2" t="s">
        <v>54</v>
      </c>
      <c r="N73">
        <v>2</v>
      </c>
    </row>
    <row r="74" ht="34" spans="1:14">
      <c r="A74" s="1" t="s">
        <v>87</v>
      </c>
      <c r="B74" t="s">
        <v>21</v>
      </c>
      <c r="C74" t="str">
        <f t="shared" si="4"/>
        <v>OS</v>
      </c>
      <c r="D74">
        <v>5</v>
      </c>
      <c r="E74" t="str">
        <f t="shared" si="5"/>
        <v>Consistent</v>
      </c>
      <c r="F74" t="str">
        <f t="shared" si="6"/>
        <v>Low</v>
      </c>
      <c r="G74" t="str">
        <f t="shared" si="7"/>
        <v>MODERATE</v>
      </c>
      <c r="H74">
        <v>0</v>
      </c>
      <c r="I74">
        <v>1</v>
      </c>
      <c r="J74">
        <v>1</v>
      </c>
      <c r="K74" t="s">
        <v>16</v>
      </c>
      <c r="L74" t="s">
        <v>16</v>
      </c>
      <c r="M74" s="2" t="s">
        <v>54</v>
      </c>
      <c r="N74">
        <v>2</v>
      </c>
    </row>
    <row r="75" ht="17" spans="1:14">
      <c r="A75" s="1" t="s">
        <v>88</v>
      </c>
      <c r="B75" t="s">
        <v>21</v>
      </c>
      <c r="C75" t="str">
        <f t="shared" si="4"/>
        <v>OS</v>
      </c>
      <c r="D75">
        <v>5</v>
      </c>
      <c r="E75" t="str">
        <f t="shared" si="5"/>
        <v>Consistent</v>
      </c>
      <c r="F75" t="str">
        <f t="shared" si="6"/>
        <v>Low</v>
      </c>
      <c r="G75" t="str">
        <f t="shared" si="7"/>
        <v>MODERATE</v>
      </c>
      <c r="H75">
        <v>0</v>
      </c>
      <c r="I75">
        <v>0</v>
      </c>
      <c r="J75">
        <v>1</v>
      </c>
      <c r="K75" t="s">
        <v>16</v>
      </c>
      <c r="L75" t="s">
        <v>16</v>
      </c>
      <c r="M75" s="2" t="s">
        <v>54</v>
      </c>
      <c r="N75">
        <v>2</v>
      </c>
    </row>
    <row r="76" ht="17" spans="1:14">
      <c r="A76" s="1" t="s">
        <v>89</v>
      </c>
      <c r="B76" t="s">
        <v>21</v>
      </c>
      <c r="C76" t="str">
        <f t="shared" si="4"/>
        <v>OS</v>
      </c>
      <c r="D76">
        <v>5</v>
      </c>
      <c r="E76" t="str">
        <f t="shared" si="5"/>
        <v>Consistent</v>
      </c>
      <c r="F76" t="str">
        <f t="shared" si="6"/>
        <v>Low</v>
      </c>
      <c r="G76" t="str">
        <f t="shared" si="7"/>
        <v>MODERATE</v>
      </c>
      <c r="H76">
        <v>0</v>
      </c>
      <c r="I76">
        <v>1</v>
      </c>
      <c r="J76">
        <v>0</v>
      </c>
      <c r="K76" t="s">
        <v>16</v>
      </c>
      <c r="L76" t="s">
        <v>16</v>
      </c>
      <c r="M76" s="2" t="s">
        <v>54</v>
      </c>
      <c r="N76">
        <v>2</v>
      </c>
    </row>
    <row r="77" ht="34" spans="1:14">
      <c r="A77" s="1" t="s">
        <v>90</v>
      </c>
      <c r="B77" t="s">
        <v>21</v>
      </c>
      <c r="C77" t="str">
        <f t="shared" si="4"/>
        <v>OS</v>
      </c>
      <c r="D77">
        <v>5</v>
      </c>
      <c r="E77" t="str">
        <f t="shared" si="5"/>
        <v>Consistent</v>
      </c>
      <c r="F77" t="str">
        <f t="shared" si="6"/>
        <v>Low</v>
      </c>
      <c r="G77" t="str">
        <f t="shared" si="7"/>
        <v>MODERATE</v>
      </c>
      <c r="H77">
        <v>0</v>
      </c>
      <c r="I77">
        <v>0</v>
      </c>
      <c r="J77">
        <v>1</v>
      </c>
      <c r="K77" t="s">
        <v>16</v>
      </c>
      <c r="L77" t="s">
        <v>16</v>
      </c>
      <c r="M77" s="2" t="s">
        <v>54</v>
      </c>
      <c r="N77">
        <v>2</v>
      </c>
    </row>
    <row r="78" ht="34" spans="1:14">
      <c r="A78" s="1" t="s">
        <v>91</v>
      </c>
      <c r="B78" t="s">
        <v>42</v>
      </c>
      <c r="C78" t="str">
        <f t="shared" si="4"/>
        <v>OS</v>
      </c>
      <c r="D78">
        <v>5</v>
      </c>
      <c r="E78" t="str">
        <f t="shared" si="5"/>
        <v>Inconsistent</v>
      </c>
      <c r="F78" t="str">
        <f t="shared" si="6"/>
        <v>Low</v>
      </c>
      <c r="G78" t="str">
        <f t="shared" si="7"/>
        <v>LOW</v>
      </c>
      <c r="H78">
        <v>0</v>
      </c>
      <c r="I78">
        <v>0</v>
      </c>
      <c r="J78">
        <v>1</v>
      </c>
      <c r="K78" t="s">
        <v>16</v>
      </c>
      <c r="L78" t="s">
        <v>16</v>
      </c>
      <c r="M78" s="2" t="s">
        <v>54</v>
      </c>
      <c r="N78">
        <v>2</v>
      </c>
    </row>
    <row r="79" ht="17" spans="1:14">
      <c r="A79" s="1" t="s">
        <v>92</v>
      </c>
      <c r="B79" t="s">
        <v>21</v>
      </c>
      <c r="C79" t="str">
        <f t="shared" si="4"/>
        <v>OS</v>
      </c>
      <c r="D79">
        <v>5</v>
      </c>
      <c r="E79" t="str">
        <f t="shared" si="5"/>
        <v>Consistent</v>
      </c>
      <c r="F79" t="str">
        <f t="shared" si="6"/>
        <v>Low</v>
      </c>
      <c r="G79" t="str">
        <f t="shared" si="7"/>
        <v>MODERATE</v>
      </c>
      <c r="H79">
        <v>0</v>
      </c>
      <c r="I79">
        <v>1</v>
      </c>
      <c r="J79">
        <v>0</v>
      </c>
      <c r="K79" t="s">
        <v>16</v>
      </c>
      <c r="L79" t="s">
        <v>16</v>
      </c>
      <c r="M79" s="2" t="s">
        <v>54</v>
      </c>
      <c r="N79">
        <v>2</v>
      </c>
    </row>
    <row r="80" ht="34" spans="1:14">
      <c r="A80" s="1" t="s">
        <v>93</v>
      </c>
      <c r="B80" t="s">
        <v>21</v>
      </c>
      <c r="C80" t="str">
        <f t="shared" si="4"/>
        <v>OS</v>
      </c>
      <c r="D80">
        <v>5</v>
      </c>
      <c r="E80" t="str">
        <f t="shared" si="5"/>
        <v>Consistent</v>
      </c>
      <c r="F80" t="str">
        <f t="shared" si="6"/>
        <v>Low</v>
      </c>
      <c r="G80" t="str">
        <f t="shared" si="7"/>
        <v>MODERATE</v>
      </c>
      <c r="H80">
        <v>0</v>
      </c>
      <c r="I80">
        <v>1</v>
      </c>
      <c r="J80">
        <v>0</v>
      </c>
      <c r="K80" t="s">
        <v>16</v>
      </c>
      <c r="L80" t="s">
        <v>16</v>
      </c>
      <c r="M80" s="2" t="s">
        <v>54</v>
      </c>
      <c r="N80">
        <v>2</v>
      </c>
    </row>
    <row r="81" ht="34" spans="1:14">
      <c r="A81" s="1" t="s">
        <v>67</v>
      </c>
      <c r="B81" t="s">
        <v>21</v>
      </c>
      <c r="C81" t="str">
        <f t="shared" si="4"/>
        <v>OS</v>
      </c>
      <c r="D81">
        <v>5</v>
      </c>
      <c r="E81" t="str">
        <f t="shared" si="5"/>
        <v>Consistent</v>
      </c>
      <c r="F81" t="str">
        <f t="shared" si="6"/>
        <v>Low</v>
      </c>
      <c r="G81" t="str">
        <f t="shared" si="7"/>
        <v>MODERATE</v>
      </c>
      <c r="H81">
        <v>0</v>
      </c>
      <c r="I81">
        <v>1</v>
      </c>
      <c r="J81">
        <v>0</v>
      </c>
      <c r="K81" t="s">
        <v>16</v>
      </c>
      <c r="L81" t="s">
        <v>16</v>
      </c>
      <c r="M81" s="2" t="s">
        <v>54</v>
      </c>
      <c r="N81">
        <v>2</v>
      </c>
    </row>
    <row r="82" ht="152" spans="1:14">
      <c r="A82" s="1" t="s">
        <v>94</v>
      </c>
      <c r="B82" t="s">
        <v>15</v>
      </c>
      <c r="C82" t="str">
        <f t="shared" si="4"/>
        <v>TS</v>
      </c>
      <c r="D82">
        <v>3</v>
      </c>
      <c r="E82" t="str">
        <f t="shared" si="5"/>
        <v>Consistent</v>
      </c>
      <c r="F82" t="str">
        <f t="shared" si="6"/>
        <v>High</v>
      </c>
      <c r="G82" t="str">
        <f t="shared" si="7"/>
        <v>HIGH</v>
      </c>
      <c r="H82">
        <v>1</v>
      </c>
      <c r="I82">
        <v>0</v>
      </c>
      <c r="J82">
        <v>1</v>
      </c>
      <c r="K82" t="s">
        <v>16</v>
      </c>
      <c r="L82" t="s">
        <v>16</v>
      </c>
      <c r="M82" s="2" t="s">
        <v>54</v>
      </c>
      <c r="N82">
        <v>2</v>
      </c>
    </row>
    <row r="83" ht="152" spans="1:14">
      <c r="A83" s="1" t="s">
        <v>94</v>
      </c>
      <c r="B83" t="s">
        <v>15</v>
      </c>
      <c r="C83" t="str">
        <f t="shared" si="4"/>
        <v>TS</v>
      </c>
      <c r="D83">
        <v>3</v>
      </c>
      <c r="E83" t="str">
        <f t="shared" si="5"/>
        <v>Consistent</v>
      </c>
      <c r="F83" t="str">
        <f t="shared" si="6"/>
        <v>High</v>
      </c>
      <c r="G83" t="str">
        <f t="shared" si="7"/>
        <v>HIGH</v>
      </c>
      <c r="H83">
        <v>1</v>
      </c>
      <c r="I83">
        <v>0</v>
      </c>
      <c r="J83">
        <v>1</v>
      </c>
      <c r="K83" t="s">
        <v>16</v>
      </c>
      <c r="L83" t="s">
        <v>16</v>
      </c>
      <c r="M83" s="2" t="s">
        <v>54</v>
      </c>
      <c r="N83">
        <v>2</v>
      </c>
    </row>
    <row r="84" ht="34" spans="1:14">
      <c r="A84" s="1" t="s">
        <v>95</v>
      </c>
      <c r="B84" t="s">
        <v>21</v>
      </c>
      <c r="C84" t="str">
        <f t="shared" si="4"/>
        <v>OS</v>
      </c>
      <c r="D84">
        <v>5</v>
      </c>
      <c r="E84" t="str">
        <f t="shared" si="5"/>
        <v>Consistent</v>
      </c>
      <c r="F84" t="str">
        <f t="shared" si="6"/>
        <v>Low</v>
      </c>
      <c r="G84" t="str">
        <f t="shared" si="7"/>
        <v>MODERATE</v>
      </c>
      <c r="H84">
        <v>0</v>
      </c>
      <c r="I84">
        <v>1</v>
      </c>
      <c r="J84">
        <v>0</v>
      </c>
      <c r="K84" t="s">
        <v>16</v>
      </c>
      <c r="L84" t="s">
        <v>16</v>
      </c>
      <c r="M84" s="2" t="s">
        <v>96</v>
      </c>
      <c r="N84">
        <v>3</v>
      </c>
    </row>
    <row r="85" ht="17" spans="1:14">
      <c r="A85" s="1" t="s">
        <v>97</v>
      </c>
      <c r="B85" t="s">
        <v>21</v>
      </c>
      <c r="C85" t="str">
        <f t="shared" si="4"/>
        <v>OS</v>
      </c>
      <c r="D85">
        <v>5</v>
      </c>
      <c r="E85" t="str">
        <f t="shared" si="5"/>
        <v>Consistent</v>
      </c>
      <c r="F85" t="str">
        <f t="shared" si="6"/>
        <v>Low</v>
      </c>
      <c r="G85" t="str">
        <f t="shared" si="7"/>
        <v>MODERATE</v>
      </c>
      <c r="H85">
        <v>0</v>
      </c>
      <c r="I85">
        <v>1</v>
      </c>
      <c r="J85">
        <v>0</v>
      </c>
      <c r="K85" t="s">
        <v>16</v>
      </c>
      <c r="L85" t="s">
        <v>16</v>
      </c>
      <c r="M85" s="2" t="s">
        <v>96</v>
      </c>
      <c r="N85">
        <v>3</v>
      </c>
    </row>
    <row r="86" ht="34" spans="1:14">
      <c r="A86" s="1" t="s">
        <v>98</v>
      </c>
      <c r="B86" t="s">
        <v>21</v>
      </c>
      <c r="C86" t="str">
        <f t="shared" si="4"/>
        <v>OS</v>
      </c>
      <c r="D86">
        <v>5</v>
      </c>
      <c r="E86" t="str">
        <f t="shared" si="5"/>
        <v>Consistent</v>
      </c>
      <c r="F86" t="str">
        <f t="shared" si="6"/>
        <v>Low</v>
      </c>
      <c r="G86" t="str">
        <f t="shared" si="7"/>
        <v>MODERATE</v>
      </c>
      <c r="H86">
        <v>0</v>
      </c>
      <c r="I86">
        <v>0</v>
      </c>
      <c r="J86">
        <v>1</v>
      </c>
      <c r="K86" t="s">
        <v>16</v>
      </c>
      <c r="L86" t="s">
        <v>16</v>
      </c>
      <c r="M86" s="2" t="s">
        <v>96</v>
      </c>
      <c r="N86">
        <v>3</v>
      </c>
    </row>
    <row r="87" ht="68" spans="1:14">
      <c r="A87" s="1" t="s">
        <v>99</v>
      </c>
      <c r="B87" t="s">
        <v>21</v>
      </c>
      <c r="C87" t="str">
        <f t="shared" si="4"/>
        <v>OS</v>
      </c>
      <c r="D87">
        <v>5</v>
      </c>
      <c r="E87" t="str">
        <f t="shared" si="5"/>
        <v>Consistent</v>
      </c>
      <c r="F87" t="str">
        <f t="shared" si="6"/>
        <v>Low</v>
      </c>
      <c r="G87" t="str">
        <f t="shared" si="7"/>
        <v>MODERATE</v>
      </c>
      <c r="H87">
        <v>1</v>
      </c>
      <c r="I87">
        <v>0</v>
      </c>
      <c r="J87">
        <v>1</v>
      </c>
      <c r="K87" t="s">
        <v>16</v>
      </c>
      <c r="L87" t="s">
        <v>16</v>
      </c>
      <c r="M87" s="2" t="s">
        <v>96</v>
      </c>
      <c r="N87">
        <v>3</v>
      </c>
    </row>
    <row r="88" ht="34" spans="1:14">
      <c r="A88" s="1" t="s">
        <v>100</v>
      </c>
      <c r="B88" t="s">
        <v>21</v>
      </c>
      <c r="C88" t="str">
        <f t="shared" si="4"/>
        <v>OS</v>
      </c>
      <c r="D88">
        <v>5</v>
      </c>
      <c r="E88" t="str">
        <f t="shared" si="5"/>
        <v>Consistent</v>
      </c>
      <c r="F88" t="str">
        <f t="shared" si="6"/>
        <v>Low</v>
      </c>
      <c r="G88" t="str">
        <f t="shared" si="7"/>
        <v>MODERATE</v>
      </c>
      <c r="H88">
        <v>0</v>
      </c>
      <c r="I88">
        <v>1</v>
      </c>
      <c r="J88">
        <v>0</v>
      </c>
      <c r="K88" t="s">
        <v>16</v>
      </c>
      <c r="L88" t="s">
        <v>16</v>
      </c>
      <c r="M88" s="2" t="s">
        <v>96</v>
      </c>
      <c r="N88">
        <v>3</v>
      </c>
    </row>
    <row r="89" ht="17" spans="1:14">
      <c r="A89" s="1" t="s">
        <v>101</v>
      </c>
      <c r="B89" t="s">
        <v>21</v>
      </c>
      <c r="C89" t="str">
        <f t="shared" si="4"/>
        <v>OS</v>
      </c>
      <c r="D89">
        <v>5</v>
      </c>
      <c r="E89" t="str">
        <f t="shared" si="5"/>
        <v>Consistent</v>
      </c>
      <c r="F89" t="str">
        <f t="shared" si="6"/>
        <v>Low</v>
      </c>
      <c r="G89" t="str">
        <f t="shared" si="7"/>
        <v>MODERATE</v>
      </c>
      <c r="H89">
        <v>0</v>
      </c>
      <c r="I89">
        <v>1</v>
      </c>
      <c r="J89">
        <v>0</v>
      </c>
      <c r="K89" t="s">
        <v>16</v>
      </c>
      <c r="L89" t="s">
        <v>16</v>
      </c>
      <c r="M89" s="2" t="s">
        <v>96</v>
      </c>
      <c r="N89">
        <v>3</v>
      </c>
    </row>
    <row r="90" ht="68" spans="1:14">
      <c r="A90" s="1" t="s">
        <v>102</v>
      </c>
      <c r="B90" t="s">
        <v>21</v>
      </c>
      <c r="C90" t="str">
        <f t="shared" si="4"/>
        <v>OS</v>
      </c>
      <c r="D90">
        <v>5</v>
      </c>
      <c r="E90" t="str">
        <f t="shared" si="5"/>
        <v>Consistent</v>
      </c>
      <c r="F90" t="str">
        <f t="shared" si="6"/>
        <v>Low</v>
      </c>
      <c r="G90" t="str">
        <f t="shared" si="7"/>
        <v>MODERATE</v>
      </c>
      <c r="H90">
        <v>1</v>
      </c>
      <c r="I90">
        <v>1</v>
      </c>
      <c r="J90">
        <v>0</v>
      </c>
      <c r="K90" t="s">
        <v>16</v>
      </c>
      <c r="L90" t="s">
        <v>16</v>
      </c>
      <c r="M90" s="2" t="s">
        <v>96</v>
      </c>
      <c r="N90">
        <v>3</v>
      </c>
    </row>
    <row r="91" ht="34" spans="1:14">
      <c r="A91" s="1" t="s">
        <v>103</v>
      </c>
      <c r="B91" t="s">
        <v>21</v>
      </c>
      <c r="C91" t="str">
        <f t="shared" si="4"/>
        <v>OS</v>
      </c>
      <c r="D91">
        <v>5</v>
      </c>
      <c r="E91" t="str">
        <f t="shared" si="5"/>
        <v>Consistent</v>
      </c>
      <c r="F91" t="str">
        <f t="shared" si="6"/>
        <v>Low</v>
      </c>
      <c r="G91" t="str">
        <f t="shared" si="7"/>
        <v>MODERATE</v>
      </c>
      <c r="H91">
        <v>1</v>
      </c>
      <c r="I91">
        <v>1</v>
      </c>
      <c r="J91">
        <v>0</v>
      </c>
      <c r="K91" t="s">
        <v>16</v>
      </c>
      <c r="L91" t="s">
        <v>16</v>
      </c>
      <c r="M91" s="2" t="s">
        <v>96</v>
      </c>
      <c r="N91">
        <v>3</v>
      </c>
    </row>
    <row r="92" ht="17" spans="1:14">
      <c r="A92" s="1" t="s">
        <v>104</v>
      </c>
      <c r="B92" t="s">
        <v>21</v>
      </c>
      <c r="C92" t="str">
        <f t="shared" si="4"/>
        <v>OS</v>
      </c>
      <c r="D92">
        <v>5</v>
      </c>
      <c r="E92" t="str">
        <f t="shared" si="5"/>
        <v>Consistent</v>
      </c>
      <c r="F92" t="str">
        <f t="shared" si="6"/>
        <v>Low</v>
      </c>
      <c r="G92" t="str">
        <f t="shared" si="7"/>
        <v>MODERATE</v>
      </c>
      <c r="H92">
        <v>0</v>
      </c>
      <c r="I92">
        <v>1</v>
      </c>
      <c r="J92">
        <v>1</v>
      </c>
      <c r="K92" t="s">
        <v>16</v>
      </c>
      <c r="L92" t="s">
        <v>16</v>
      </c>
      <c r="M92" s="2" t="s">
        <v>96</v>
      </c>
      <c r="N92">
        <v>3</v>
      </c>
    </row>
    <row r="93" ht="17" spans="1:14">
      <c r="A93" s="1" t="s">
        <v>105</v>
      </c>
      <c r="B93" t="s">
        <v>15</v>
      </c>
      <c r="C93" t="str">
        <f t="shared" si="4"/>
        <v>TS</v>
      </c>
      <c r="D93">
        <v>5</v>
      </c>
      <c r="E93" t="str">
        <f t="shared" si="5"/>
        <v>Inconsistent</v>
      </c>
      <c r="F93" t="str">
        <f t="shared" si="6"/>
        <v>High</v>
      </c>
      <c r="G93" t="str">
        <f t="shared" si="7"/>
        <v>LOW</v>
      </c>
      <c r="H93">
        <v>1</v>
      </c>
      <c r="I93">
        <v>0</v>
      </c>
      <c r="J93">
        <v>1</v>
      </c>
      <c r="K93" t="s">
        <v>16</v>
      </c>
      <c r="L93" t="s">
        <v>16</v>
      </c>
      <c r="M93" s="2" t="s">
        <v>96</v>
      </c>
      <c r="N93">
        <v>3</v>
      </c>
    </row>
    <row r="94" ht="34" spans="1:14">
      <c r="A94" s="1" t="s">
        <v>106</v>
      </c>
      <c r="B94" t="s">
        <v>21</v>
      </c>
      <c r="C94" t="str">
        <f t="shared" si="4"/>
        <v>OS</v>
      </c>
      <c r="D94">
        <v>5</v>
      </c>
      <c r="E94" t="str">
        <f t="shared" si="5"/>
        <v>Consistent</v>
      </c>
      <c r="F94" t="str">
        <f t="shared" si="6"/>
        <v>Low</v>
      </c>
      <c r="G94" t="str">
        <f t="shared" si="7"/>
        <v>MODERATE</v>
      </c>
      <c r="H94">
        <v>0</v>
      </c>
      <c r="I94">
        <v>0</v>
      </c>
      <c r="J94">
        <v>1</v>
      </c>
      <c r="K94" t="s">
        <v>16</v>
      </c>
      <c r="L94" t="s">
        <v>16</v>
      </c>
      <c r="M94" s="2" t="s">
        <v>96</v>
      </c>
      <c r="N94">
        <v>3</v>
      </c>
    </row>
    <row r="95" ht="168" spans="1:14">
      <c r="A95" s="1" t="s">
        <v>107</v>
      </c>
      <c r="B95" t="s">
        <v>15</v>
      </c>
      <c r="C95" t="str">
        <f t="shared" si="4"/>
        <v>TS</v>
      </c>
      <c r="D95">
        <v>5</v>
      </c>
      <c r="E95" t="str">
        <f t="shared" si="5"/>
        <v>Inconsistent</v>
      </c>
      <c r="F95" t="s">
        <v>108</v>
      </c>
      <c r="G95" t="str">
        <f t="shared" si="7"/>
        <v>LOW</v>
      </c>
      <c r="H95">
        <v>1</v>
      </c>
      <c r="I95">
        <v>1</v>
      </c>
      <c r="J95">
        <v>1</v>
      </c>
      <c r="K95">
        <v>1</v>
      </c>
      <c r="L95" t="s">
        <v>16</v>
      </c>
      <c r="M95" s="2" t="s">
        <v>96</v>
      </c>
      <c r="N95">
        <v>3</v>
      </c>
    </row>
    <row r="96" ht="17" spans="1:14">
      <c r="A96" s="1" t="s">
        <v>109</v>
      </c>
      <c r="B96" t="s">
        <v>21</v>
      </c>
      <c r="C96" t="str">
        <f t="shared" si="4"/>
        <v>OS</v>
      </c>
      <c r="D96">
        <v>5</v>
      </c>
      <c r="E96" t="str">
        <f t="shared" si="5"/>
        <v>Consistent</v>
      </c>
      <c r="F96" t="str">
        <f t="shared" si="6"/>
        <v>Low</v>
      </c>
      <c r="G96" t="str">
        <f t="shared" si="7"/>
        <v>MODERATE</v>
      </c>
      <c r="H96">
        <v>0</v>
      </c>
      <c r="I96">
        <v>0</v>
      </c>
      <c r="J96">
        <v>1</v>
      </c>
      <c r="K96" t="s">
        <v>16</v>
      </c>
      <c r="L96" t="s">
        <v>16</v>
      </c>
      <c r="M96" s="2" t="s">
        <v>96</v>
      </c>
      <c r="N96">
        <v>3</v>
      </c>
    </row>
    <row r="97" ht="34" spans="1:14">
      <c r="A97" s="1" t="s">
        <v>110</v>
      </c>
      <c r="B97" t="s">
        <v>21</v>
      </c>
      <c r="C97" t="str">
        <f t="shared" si="4"/>
        <v>OS</v>
      </c>
      <c r="D97">
        <v>5</v>
      </c>
      <c r="E97" t="str">
        <f t="shared" si="5"/>
        <v>Consistent</v>
      </c>
      <c r="F97" t="str">
        <f t="shared" si="6"/>
        <v>Low</v>
      </c>
      <c r="G97" t="str">
        <f t="shared" si="7"/>
        <v>MODERATE</v>
      </c>
      <c r="H97">
        <v>0</v>
      </c>
      <c r="I97">
        <v>0</v>
      </c>
      <c r="J97">
        <v>1</v>
      </c>
      <c r="K97" t="s">
        <v>16</v>
      </c>
      <c r="L97" t="s">
        <v>16</v>
      </c>
      <c r="M97" s="2" t="s">
        <v>96</v>
      </c>
      <c r="N97">
        <v>3</v>
      </c>
    </row>
    <row r="98" ht="34" spans="1:14">
      <c r="A98" s="1" t="s">
        <v>111</v>
      </c>
      <c r="B98" t="s">
        <v>21</v>
      </c>
      <c r="C98" t="str">
        <f t="shared" si="4"/>
        <v>OS</v>
      </c>
      <c r="D98">
        <v>5</v>
      </c>
      <c r="E98" t="str">
        <f t="shared" si="5"/>
        <v>Consistent</v>
      </c>
      <c r="F98" t="str">
        <f t="shared" si="6"/>
        <v>Low</v>
      </c>
      <c r="G98" t="str">
        <f t="shared" si="7"/>
        <v>MODERATE</v>
      </c>
      <c r="H98">
        <v>0</v>
      </c>
      <c r="I98">
        <v>1</v>
      </c>
      <c r="J98">
        <v>0</v>
      </c>
      <c r="K98" t="s">
        <v>16</v>
      </c>
      <c r="L98" t="s">
        <v>16</v>
      </c>
      <c r="M98" s="2" t="s">
        <v>96</v>
      </c>
      <c r="N98">
        <v>3</v>
      </c>
    </row>
    <row r="99" ht="34" spans="1:14">
      <c r="A99" s="1" t="s">
        <v>112</v>
      </c>
      <c r="B99" t="s">
        <v>21</v>
      </c>
      <c r="C99" t="str">
        <f t="shared" si="4"/>
        <v>OS</v>
      </c>
      <c r="D99">
        <v>5</v>
      </c>
      <c r="E99" t="str">
        <f t="shared" si="5"/>
        <v>Consistent</v>
      </c>
      <c r="F99" t="str">
        <f t="shared" si="6"/>
        <v>Low</v>
      </c>
      <c r="G99" t="str">
        <f t="shared" si="7"/>
        <v>MODERATE</v>
      </c>
      <c r="H99">
        <v>0</v>
      </c>
      <c r="I99">
        <v>1</v>
      </c>
      <c r="J99">
        <v>0</v>
      </c>
      <c r="K99" t="s">
        <v>16</v>
      </c>
      <c r="L99" t="s">
        <v>16</v>
      </c>
      <c r="M99" s="2" t="s">
        <v>96</v>
      </c>
      <c r="N99">
        <v>3</v>
      </c>
    </row>
    <row r="100" ht="34" spans="1:14">
      <c r="A100" s="1" t="s">
        <v>113</v>
      </c>
      <c r="B100" t="s">
        <v>21</v>
      </c>
      <c r="C100" t="str">
        <f t="shared" si="4"/>
        <v>OS</v>
      </c>
      <c r="D100">
        <v>5</v>
      </c>
      <c r="E100" t="str">
        <f t="shared" si="5"/>
        <v>Consistent</v>
      </c>
      <c r="F100" t="str">
        <f t="shared" si="6"/>
        <v>Low</v>
      </c>
      <c r="G100" t="str">
        <f t="shared" si="7"/>
        <v>MODERATE</v>
      </c>
      <c r="H100">
        <v>1</v>
      </c>
      <c r="I100">
        <v>1</v>
      </c>
      <c r="J100">
        <v>1</v>
      </c>
      <c r="K100" t="s">
        <v>16</v>
      </c>
      <c r="L100" t="s">
        <v>16</v>
      </c>
      <c r="M100" s="2" t="s">
        <v>96</v>
      </c>
      <c r="N100">
        <v>3</v>
      </c>
    </row>
    <row r="101" ht="17" spans="1:14">
      <c r="A101" s="1" t="s">
        <v>114</v>
      </c>
      <c r="B101" t="s">
        <v>21</v>
      </c>
      <c r="C101" t="str">
        <f t="shared" si="4"/>
        <v>OS</v>
      </c>
      <c r="D101">
        <v>5</v>
      </c>
      <c r="E101" t="str">
        <f t="shared" si="5"/>
        <v>Consistent</v>
      </c>
      <c r="F101" t="str">
        <f t="shared" si="6"/>
        <v>Low</v>
      </c>
      <c r="G101" t="str">
        <f t="shared" si="7"/>
        <v>MODERATE</v>
      </c>
      <c r="H101">
        <v>1</v>
      </c>
      <c r="I101">
        <v>0</v>
      </c>
      <c r="J101">
        <v>1</v>
      </c>
      <c r="K101">
        <v>1</v>
      </c>
      <c r="L101" t="s">
        <v>16</v>
      </c>
      <c r="M101" s="2" t="s">
        <v>96</v>
      </c>
      <c r="N101">
        <v>3</v>
      </c>
    </row>
    <row r="102" ht="34" spans="1:14">
      <c r="A102" s="1" t="s">
        <v>115</v>
      </c>
      <c r="B102" t="s">
        <v>21</v>
      </c>
      <c r="C102" t="str">
        <f t="shared" si="4"/>
        <v>OS</v>
      </c>
      <c r="D102">
        <v>5</v>
      </c>
      <c r="E102" t="str">
        <f t="shared" si="5"/>
        <v>Consistent</v>
      </c>
      <c r="F102" t="str">
        <f t="shared" si="6"/>
        <v>Low</v>
      </c>
      <c r="G102" t="str">
        <f t="shared" si="7"/>
        <v>MODERATE</v>
      </c>
      <c r="H102">
        <v>1</v>
      </c>
      <c r="I102">
        <v>1</v>
      </c>
      <c r="J102">
        <v>1</v>
      </c>
      <c r="K102" t="s">
        <v>16</v>
      </c>
      <c r="L102" t="s">
        <v>16</v>
      </c>
      <c r="M102" s="2" t="s">
        <v>96</v>
      </c>
      <c r="N102">
        <v>3</v>
      </c>
    </row>
    <row r="103" ht="34" spans="1:14">
      <c r="A103" s="1" t="s">
        <v>116</v>
      </c>
      <c r="B103" t="s">
        <v>21</v>
      </c>
      <c r="C103" t="str">
        <f t="shared" si="4"/>
        <v>OS</v>
      </c>
      <c r="D103">
        <v>5</v>
      </c>
      <c r="E103" t="str">
        <f t="shared" si="5"/>
        <v>Consistent</v>
      </c>
      <c r="F103" t="str">
        <f t="shared" si="6"/>
        <v>Low</v>
      </c>
      <c r="G103" t="str">
        <f t="shared" si="7"/>
        <v>MODERATE</v>
      </c>
      <c r="H103">
        <v>1</v>
      </c>
      <c r="I103">
        <v>1</v>
      </c>
      <c r="J103">
        <v>0</v>
      </c>
      <c r="K103" t="s">
        <v>16</v>
      </c>
      <c r="L103" t="s">
        <v>16</v>
      </c>
      <c r="M103" s="2" t="s">
        <v>96</v>
      </c>
      <c r="N103">
        <v>3</v>
      </c>
    </row>
    <row r="104" ht="17" spans="1:14">
      <c r="A104" s="1" t="s">
        <v>117</v>
      </c>
      <c r="B104" t="s">
        <v>21</v>
      </c>
      <c r="C104" t="str">
        <f t="shared" si="4"/>
        <v>OS</v>
      </c>
      <c r="D104">
        <v>4</v>
      </c>
      <c r="E104" t="str">
        <f t="shared" si="5"/>
        <v>Partially Consistent</v>
      </c>
      <c r="F104" t="str">
        <f t="shared" si="6"/>
        <v>Low</v>
      </c>
      <c r="G104" t="str">
        <f t="shared" si="7"/>
        <v>MODERATE</v>
      </c>
      <c r="H104">
        <v>0</v>
      </c>
      <c r="I104">
        <v>0</v>
      </c>
      <c r="J104">
        <v>1</v>
      </c>
      <c r="K104" t="s">
        <v>16</v>
      </c>
      <c r="L104" t="s">
        <v>16</v>
      </c>
      <c r="M104" s="2" t="s">
        <v>96</v>
      </c>
      <c r="N104">
        <v>3</v>
      </c>
    </row>
    <row r="105" ht="51" spans="1:14">
      <c r="A105" s="1" t="s">
        <v>118</v>
      </c>
      <c r="B105" t="s">
        <v>15</v>
      </c>
      <c r="C105" t="str">
        <f t="shared" si="4"/>
        <v>TS</v>
      </c>
      <c r="D105">
        <v>4</v>
      </c>
      <c r="E105" t="str">
        <f t="shared" si="5"/>
        <v>Partially Consistent</v>
      </c>
      <c r="F105" t="str">
        <f t="shared" si="6"/>
        <v>High</v>
      </c>
      <c r="G105" t="str">
        <f t="shared" si="7"/>
        <v>MODERATE</v>
      </c>
      <c r="H105">
        <v>0</v>
      </c>
      <c r="I105">
        <v>0</v>
      </c>
      <c r="J105">
        <v>1</v>
      </c>
      <c r="K105" t="s">
        <v>16</v>
      </c>
      <c r="L105" t="s">
        <v>16</v>
      </c>
      <c r="M105" s="2" t="s">
        <v>96</v>
      </c>
      <c r="N105">
        <v>3</v>
      </c>
    </row>
    <row r="106" ht="68" spans="1:14">
      <c r="A106" s="1" t="s">
        <v>119</v>
      </c>
      <c r="B106" t="s">
        <v>15</v>
      </c>
      <c r="C106" t="str">
        <f t="shared" si="4"/>
        <v>TS</v>
      </c>
      <c r="D106">
        <v>4</v>
      </c>
      <c r="E106" t="str">
        <f t="shared" si="5"/>
        <v>Partially Consistent</v>
      </c>
      <c r="F106" t="str">
        <f t="shared" si="6"/>
        <v>High</v>
      </c>
      <c r="G106" t="str">
        <f t="shared" si="7"/>
        <v>MODERATE</v>
      </c>
      <c r="H106">
        <v>1</v>
      </c>
      <c r="I106">
        <v>0</v>
      </c>
      <c r="J106">
        <v>1</v>
      </c>
      <c r="K106" t="s">
        <v>16</v>
      </c>
      <c r="L106" t="s">
        <v>16</v>
      </c>
      <c r="M106" s="2" t="s">
        <v>96</v>
      </c>
      <c r="N106">
        <v>3</v>
      </c>
    </row>
    <row r="107" ht="34" spans="1:14">
      <c r="A107" s="1" t="s">
        <v>120</v>
      </c>
      <c r="B107" t="s">
        <v>15</v>
      </c>
      <c r="C107" t="str">
        <f t="shared" si="4"/>
        <v>TS</v>
      </c>
      <c r="D107">
        <v>4</v>
      </c>
      <c r="E107" t="str">
        <f t="shared" si="5"/>
        <v>Partially Consistent</v>
      </c>
      <c r="F107" t="str">
        <f t="shared" si="6"/>
        <v>High</v>
      </c>
      <c r="G107" t="str">
        <f t="shared" si="7"/>
        <v>MODERATE</v>
      </c>
      <c r="H107">
        <v>0</v>
      </c>
      <c r="I107">
        <v>0</v>
      </c>
      <c r="J107">
        <v>1</v>
      </c>
      <c r="K107" t="s">
        <v>16</v>
      </c>
      <c r="L107" t="s">
        <v>16</v>
      </c>
      <c r="M107" s="2" t="s">
        <v>96</v>
      </c>
      <c r="N107">
        <v>3</v>
      </c>
    </row>
    <row r="108" ht="51" spans="1:14">
      <c r="A108" s="1" t="s">
        <v>121</v>
      </c>
      <c r="B108" t="s">
        <v>15</v>
      </c>
      <c r="C108" t="str">
        <f t="shared" si="4"/>
        <v>TS</v>
      </c>
      <c r="D108">
        <v>4</v>
      </c>
      <c r="E108" t="str">
        <f t="shared" si="5"/>
        <v>Partially Consistent</v>
      </c>
      <c r="F108" t="str">
        <f t="shared" si="6"/>
        <v>High</v>
      </c>
      <c r="G108" t="str">
        <f t="shared" si="7"/>
        <v>MODERATE</v>
      </c>
      <c r="H108">
        <v>1</v>
      </c>
      <c r="I108">
        <v>0</v>
      </c>
      <c r="J108">
        <v>1</v>
      </c>
      <c r="K108" t="s">
        <v>16</v>
      </c>
      <c r="L108" t="s">
        <v>16</v>
      </c>
      <c r="M108" s="2" t="s">
        <v>96</v>
      </c>
      <c r="N108">
        <v>3</v>
      </c>
    </row>
    <row r="109" ht="34" spans="1:14">
      <c r="A109" s="1" t="s">
        <v>122</v>
      </c>
      <c r="B109" t="s">
        <v>21</v>
      </c>
      <c r="C109" t="str">
        <f t="shared" si="4"/>
        <v>OS</v>
      </c>
      <c r="D109">
        <v>4</v>
      </c>
      <c r="E109" t="str">
        <f t="shared" si="5"/>
        <v>Partially Consistent</v>
      </c>
      <c r="F109" t="str">
        <f t="shared" si="6"/>
        <v>Low</v>
      </c>
      <c r="G109" t="str">
        <f t="shared" si="7"/>
        <v>MODERATE</v>
      </c>
      <c r="H109">
        <v>0</v>
      </c>
      <c r="I109">
        <v>0</v>
      </c>
      <c r="J109">
        <v>1</v>
      </c>
      <c r="K109" t="s">
        <v>16</v>
      </c>
      <c r="L109" t="s">
        <v>16</v>
      </c>
      <c r="M109" s="2" t="s">
        <v>96</v>
      </c>
      <c r="N109">
        <v>3</v>
      </c>
    </row>
    <row r="110" ht="34" spans="1:14">
      <c r="A110" s="1" t="s">
        <v>123</v>
      </c>
      <c r="B110" t="s">
        <v>21</v>
      </c>
      <c r="C110" t="str">
        <f t="shared" si="4"/>
        <v>OS</v>
      </c>
      <c r="D110">
        <v>4</v>
      </c>
      <c r="E110" t="str">
        <f t="shared" si="5"/>
        <v>Partially Consistent</v>
      </c>
      <c r="F110" t="str">
        <f t="shared" si="6"/>
        <v>Low</v>
      </c>
      <c r="G110" t="str">
        <f t="shared" si="7"/>
        <v>MODERATE</v>
      </c>
      <c r="H110">
        <v>0</v>
      </c>
      <c r="I110">
        <v>0</v>
      </c>
      <c r="J110">
        <v>1</v>
      </c>
      <c r="K110" t="s">
        <v>16</v>
      </c>
      <c r="L110" t="s">
        <v>16</v>
      </c>
      <c r="M110" s="2" t="s">
        <v>96</v>
      </c>
      <c r="N110">
        <v>3</v>
      </c>
    </row>
    <row r="111" ht="34" spans="1:14">
      <c r="A111" s="1" t="s">
        <v>124</v>
      </c>
      <c r="B111" t="s">
        <v>21</v>
      </c>
      <c r="C111" t="str">
        <f t="shared" si="4"/>
        <v>OS</v>
      </c>
      <c r="D111">
        <v>4</v>
      </c>
      <c r="E111" t="str">
        <f t="shared" si="5"/>
        <v>Partially Consistent</v>
      </c>
      <c r="F111" t="str">
        <f t="shared" si="6"/>
        <v>Low</v>
      </c>
      <c r="G111" t="str">
        <f t="shared" si="7"/>
        <v>MODERATE</v>
      </c>
      <c r="H111">
        <v>0</v>
      </c>
      <c r="I111">
        <v>0</v>
      </c>
      <c r="J111">
        <v>1</v>
      </c>
      <c r="K111" t="s">
        <v>16</v>
      </c>
      <c r="L111" t="s">
        <v>16</v>
      </c>
      <c r="M111" s="2" t="s">
        <v>96</v>
      </c>
      <c r="N111">
        <v>3</v>
      </c>
    </row>
    <row r="112" ht="17" spans="1:14">
      <c r="A112" s="1" t="s">
        <v>125</v>
      </c>
      <c r="B112" t="s">
        <v>21</v>
      </c>
      <c r="C112" t="str">
        <f t="shared" si="4"/>
        <v>OS</v>
      </c>
      <c r="D112">
        <v>4</v>
      </c>
      <c r="E112" t="str">
        <f t="shared" si="5"/>
        <v>Partially Consistent</v>
      </c>
      <c r="F112" t="str">
        <f t="shared" si="6"/>
        <v>Low</v>
      </c>
      <c r="G112" t="str">
        <f t="shared" si="7"/>
        <v>MODERATE</v>
      </c>
      <c r="H112">
        <v>0</v>
      </c>
      <c r="I112">
        <v>0</v>
      </c>
      <c r="J112">
        <v>1</v>
      </c>
      <c r="K112" t="s">
        <v>16</v>
      </c>
      <c r="L112" t="s">
        <v>16</v>
      </c>
      <c r="M112" s="2" t="s">
        <v>96</v>
      </c>
      <c r="N112">
        <v>3</v>
      </c>
    </row>
    <row r="113" ht="17" spans="1:14">
      <c r="A113" s="1" t="s">
        <v>126</v>
      </c>
      <c r="B113" t="s">
        <v>15</v>
      </c>
      <c r="C113" t="str">
        <f t="shared" si="4"/>
        <v>TS</v>
      </c>
      <c r="D113">
        <v>4</v>
      </c>
      <c r="E113" t="str">
        <f t="shared" si="5"/>
        <v>Partially Consistent</v>
      </c>
      <c r="F113" t="str">
        <f t="shared" si="6"/>
        <v>High</v>
      </c>
      <c r="G113" t="str">
        <f t="shared" si="7"/>
        <v>MODERATE</v>
      </c>
      <c r="H113">
        <v>0</v>
      </c>
      <c r="I113">
        <v>0</v>
      </c>
      <c r="J113">
        <v>1</v>
      </c>
      <c r="K113" t="s">
        <v>16</v>
      </c>
      <c r="L113" t="s">
        <v>16</v>
      </c>
      <c r="M113" s="2" t="s">
        <v>96</v>
      </c>
      <c r="N113">
        <v>3</v>
      </c>
    </row>
    <row r="114" ht="34" spans="1:14">
      <c r="A114" s="1" t="s">
        <v>127</v>
      </c>
      <c r="B114" t="s">
        <v>15</v>
      </c>
      <c r="C114" t="str">
        <f t="shared" si="4"/>
        <v>TS</v>
      </c>
      <c r="D114">
        <v>4</v>
      </c>
      <c r="E114" t="str">
        <f t="shared" si="5"/>
        <v>Partially Consistent</v>
      </c>
      <c r="F114" t="str">
        <f t="shared" si="6"/>
        <v>High</v>
      </c>
      <c r="G114" t="str">
        <f t="shared" si="7"/>
        <v>MODERATE</v>
      </c>
      <c r="H114">
        <v>0</v>
      </c>
      <c r="I114">
        <v>0</v>
      </c>
      <c r="J114">
        <v>1</v>
      </c>
      <c r="K114" t="s">
        <v>16</v>
      </c>
      <c r="L114" t="s">
        <v>16</v>
      </c>
      <c r="M114" s="2" t="s">
        <v>96</v>
      </c>
      <c r="N114">
        <v>3</v>
      </c>
    </row>
    <row r="115" ht="84" spans="1:14">
      <c r="A115" s="1" t="s">
        <v>128</v>
      </c>
      <c r="B115" t="s">
        <v>15</v>
      </c>
      <c r="C115" t="str">
        <f t="shared" si="4"/>
        <v>TS</v>
      </c>
      <c r="D115">
        <v>2</v>
      </c>
      <c r="E115" t="str">
        <f t="shared" si="5"/>
        <v>Partially Consistent</v>
      </c>
      <c r="F115" t="str">
        <f t="shared" si="6"/>
        <v>High</v>
      </c>
      <c r="G115" t="str">
        <f t="shared" si="7"/>
        <v>MODERATE</v>
      </c>
      <c r="H115">
        <v>1</v>
      </c>
      <c r="I115">
        <v>0</v>
      </c>
      <c r="J115">
        <v>1</v>
      </c>
      <c r="K115" t="s">
        <v>16</v>
      </c>
      <c r="L115" t="s">
        <v>16</v>
      </c>
      <c r="M115" s="2" t="s">
        <v>96</v>
      </c>
      <c r="N115">
        <v>3</v>
      </c>
    </row>
    <row r="116" ht="17" spans="1:14">
      <c r="A116" s="1" t="s">
        <v>129</v>
      </c>
      <c r="B116" t="s">
        <v>42</v>
      </c>
      <c r="C116" t="str">
        <f t="shared" si="4"/>
        <v>OS</v>
      </c>
      <c r="D116">
        <v>1</v>
      </c>
      <c r="E116" t="str">
        <f t="shared" si="5"/>
        <v>Consistent</v>
      </c>
      <c r="F116" t="str">
        <f t="shared" si="6"/>
        <v>Low</v>
      </c>
      <c r="G116" t="str">
        <f t="shared" si="7"/>
        <v>MODERATE</v>
      </c>
      <c r="H116">
        <v>0</v>
      </c>
      <c r="I116">
        <v>0</v>
      </c>
      <c r="J116">
        <v>1</v>
      </c>
      <c r="K116" t="s">
        <v>16</v>
      </c>
      <c r="L116" t="s">
        <v>16</v>
      </c>
      <c r="M116" s="2" t="s">
        <v>96</v>
      </c>
      <c r="N116">
        <v>3</v>
      </c>
    </row>
    <row r="117" ht="51" spans="1:14">
      <c r="A117" s="1" t="s">
        <v>130</v>
      </c>
      <c r="B117" t="s">
        <v>42</v>
      </c>
      <c r="C117" t="str">
        <f t="shared" si="4"/>
        <v>OS</v>
      </c>
      <c r="D117">
        <v>1</v>
      </c>
      <c r="E117" t="str">
        <f t="shared" si="5"/>
        <v>Consistent</v>
      </c>
      <c r="F117" t="str">
        <f t="shared" si="6"/>
        <v>Low</v>
      </c>
      <c r="G117" t="str">
        <f t="shared" si="7"/>
        <v>MODERATE</v>
      </c>
      <c r="H117">
        <v>0</v>
      </c>
      <c r="I117">
        <v>0</v>
      </c>
      <c r="J117">
        <v>1</v>
      </c>
      <c r="K117" t="s">
        <v>16</v>
      </c>
      <c r="L117" t="s">
        <v>16</v>
      </c>
      <c r="M117" s="2" t="s">
        <v>96</v>
      </c>
      <c r="N117">
        <v>3</v>
      </c>
    </row>
    <row r="118" ht="17" spans="1:14">
      <c r="A118" s="1" t="s">
        <v>129</v>
      </c>
      <c r="B118" t="s">
        <v>42</v>
      </c>
      <c r="C118" t="str">
        <f t="shared" si="4"/>
        <v>OS</v>
      </c>
      <c r="D118">
        <v>1</v>
      </c>
      <c r="E118" t="str">
        <f t="shared" si="5"/>
        <v>Consistent</v>
      </c>
      <c r="F118" t="str">
        <f t="shared" si="6"/>
        <v>Low</v>
      </c>
      <c r="G118" t="str">
        <f t="shared" si="7"/>
        <v>MODERATE</v>
      </c>
      <c r="H118">
        <v>0</v>
      </c>
      <c r="I118">
        <v>0</v>
      </c>
      <c r="J118">
        <v>1</v>
      </c>
      <c r="K118" t="s">
        <v>16</v>
      </c>
      <c r="L118" t="s">
        <v>16</v>
      </c>
      <c r="M118" s="2" t="s">
        <v>96</v>
      </c>
      <c r="N118">
        <v>3</v>
      </c>
    </row>
    <row r="119" ht="51" spans="1:14">
      <c r="A119" s="1" t="s">
        <v>130</v>
      </c>
      <c r="B119" t="s">
        <v>42</v>
      </c>
      <c r="C119" t="str">
        <f t="shared" si="4"/>
        <v>OS</v>
      </c>
      <c r="D119">
        <v>1</v>
      </c>
      <c r="E119" t="str">
        <f t="shared" si="5"/>
        <v>Consistent</v>
      </c>
      <c r="F119" t="str">
        <f t="shared" si="6"/>
        <v>Low</v>
      </c>
      <c r="G119" t="str">
        <f t="shared" si="7"/>
        <v>MODERATE</v>
      </c>
      <c r="H119">
        <v>0</v>
      </c>
      <c r="I119">
        <v>0</v>
      </c>
      <c r="J119">
        <v>1</v>
      </c>
      <c r="K119" t="s">
        <v>16</v>
      </c>
      <c r="L119" t="s">
        <v>16</v>
      </c>
      <c r="M119" s="2" t="s">
        <v>96</v>
      </c>
      <c r="N119">
        <v>3</v>
      </c>
    </row>
    <row r="120" ht="34" spans="1:14">
      <c r="A120" s="1" t="s">
        <v>131</v>
      </c>
      <c r="B120" t="s">
        <v>15</v>
      </c>
      <c r="C120" t="str">
        <f t="shared" si="4"/>
        <v>TS</v>
      </c>
      <c r="D120">
        <v>3</v>
      </c>
      <c r="E120" t="str">
        <f t="shared" si="5"/>
        <v>Consistent</v>
      </c>
      <c r="F120" t="str">
        <f t="shared" si="6"/>
        <v>High</v>
      </c>
      <c r="G120" t="str">
        <f t="shared" si="7"/>
        <v>HIGH</v>
      </c>
      <c r="H120">
        <v>0</v>
      </c>
      <c r="I120">
        <v>0</v>
      </c>
      <c r="J120">
        <v>1</v>
      </c>
      <c r="K120" t="s">
        <v>16</v>
      </c>
      <c r="L120" t="s">
        <v>16</v>
      </c>
      <c r="M120" s="2" t="s">
        <v>96</v>
      </c>
      <c r="N120">
        <v>3</v>
      </c>
    </row>
    <row r="121" ht="34" spans="1:14">
      <c r="A121" s="1" t="s">
        <v>132</v>
      </c>
      <c r="B121" t="s">
        <v>15</v>
      </c>
      <c r="C121" t="str">
        <f t="shared" si="4"/>
        <v>TS</v>
      </c>
      <c r="D121">
        <v>3</v>
      </c>
      <c r="E121" t="str">
        <f t="shared" si="5"/>
        <v>Consistent</v>
      </c>
      <c r="F121" t="str">
        <f t="shared" si="6"/>
        <v>High</v>
      </c>
      <c r="G121" t="str">
        <f t="shared" si="7"/>
        <v>HIGH</v>
      </c>
      <c r="H121">
        <v>0</v>
      </c>
      <c r="I121">
        <v>0</v>
      </c>
      <c r="J121">
        <v>1</v>
      </c>
      <c r="K121" t="s">
        <v>16</v>
      </c>
      <c r="L121" t="s">
        <v>16</v>
      </c>
      <c r="M121" s="2" t="s">
        <v>96</v>
      </c>
      <c r="N121">
        <v>3</v>
      </c>
    </row>
    <row r="122" ht="51" spans="1:14">
      <c r="A122" s="1" t="s">
        <v>133</v>
      </c>
      <c r="B122" t="s">
        <v>21</v>
      </c>
      <c r="C122" t="str">
        <f t="shared" si="4"/>
        <v>OS</v>
      </c>
      <c r="D122">
        <v>3</v>
      </c>
      <c r="E122" t="str">
        <f t="shared" si="5"/>
        <v>Inconsistent</v>
      </c>
      <c r="F122" t="str">
        <f t="shared" si="6"/>
        <v>Low</v>
      </c>
      <c r="G122" t="str">
        <f t="shared" si="7"/>
        <v>LOW</v>
      </c>
      <c r="H122">
        <v>1</v>
      </c>
      <c r="I122">
        <v>1</v>
      </c>
      <c r="J122">
        <v>0</v>
      </c>
      <c r="K122" t="s">
        <v>16</v>
      </c>
      <c r="L122" t="s">
        <v>16</v>
      </c>
      <c r="M122" s="2" t="s">
        <v>96</v>
      </c>
      <c r="N122">
        <v>3</v>
      </c>
    </row>
    <row r="123" ht="17" spans="1:14">
      <c r="A123" s="1" t="s">
        <v>134</v>
      </c>
      <c r="B123" t="s">
        <v>15</v>
      </c>
      <c r="C123" t="str">
        <f t="shared" si="4"/>
        <v>TS</v>
      </c>
      <c r="D123">
        <v>3</v>
      </c>
      <c r="E123" t="str">
        <f t="shared" si="5"/>
        <v>Consistent</v>
      </c>
      <c r="F123" t="str">
        <f t="shared" si="6"/>
        <v>High</v>
      </c>
      <c r="G123" t="str">
        <f t="shared" si="7"/>
        <v>HIGH</v>
      </c>
      <c r="H123">
        <v>0</v>
      </c>
      <c r="I123">
        <v>1</v>
      </c>
      <c r="J123">
        <v>0</v>
      </c>
      <c r="K123" t="s">
        <v>16</v>
      </c>
      <c r="L123" t="s">
        <v>16</v>
      </c>
      <c r="M123" s="2" t="s">
        <v>96</v>
      </c>
      <c r="N123">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A$1048576"/>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All_Reviews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2025-05-24T19:46:00Z</dcterms:created>
  <dcterms:modified xsi:type="dcterms:W3CDTF">2025-05-24T19:23:17Z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6970EEB0AEE8BC53A3AB3168A937D01B_42</vt:lpwstr>
  </property>
  <property fmtid="{D5CDD505-2E9C-101B-9397-08002B2CF9AE}" pid="4" name="KSOProductBuildVer">
    <vt:lpwstr>1033-6.13.1.8710</vt:lpwstr>
  </property>
</Properties>
</file>