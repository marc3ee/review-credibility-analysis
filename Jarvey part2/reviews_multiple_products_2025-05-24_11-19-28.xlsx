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<sst xmlns="http://schemas.openxmlformats.org/spreadsheetml/2006/main" count="904" uniqueCount="178">
  <si>
    <t>Review</t>
  </si>
  <si>
    <t>Sentiment</t>
  </si>
  <si>
    <t>Sidedness</t>
  </si>
  <si>
    <t>Star Rating</t>
  </si>
  <si>
    <t>Consistency</t>
  </si>
  <si>
    <t>Info Diversity</t>
  </si>
  <si>
    <t>PERCEIVED HELPFULNESS</t>
  </si>
  <si>
    <t>PD_F</t>
  </si>
  <si>
    <t>PD_F_TMP</t>
  </si>
  <si>
    <t>MAN_UI</t>
  </si>
  <si>
    <t>SPM</t>
  </si>
  <si>
    <t>CREDIBILITY</t>
  </si>
  <si>
    <t>Product_URL</t>
  </si>
  <si>
    <t>Product_Number</t>
  </si>
  <si>
    <t>good good good good good good good good good good good good good good good good good good good good good good good good good good good good</t>
  </si>
  <si>
    <t>POSITIVE</t>
  </si>
  <si>
    <t/>
  </si>
  <si>
    <t>https://www.lazada.com.ph/products/whiskas-dry-cat-food-in-tuna-flavor-480g-i261781509-s361616845.html</t>
  </si>
  <si>
    <t>; f; oflrmvovmfoelrmockrmrkc, rmeld, m kflrkeoe, fkfofmkvoffmfkfkfkvkgkfkkfkgkvkeleoe order complete. cat loves it</t>
  </si>
  <si>
    <t>my cat loves the tuna flavor! , iibsbnakana oanszhzisbsjiska oapakbs skahabzbzhajakanzbzja. akan shzusksna jaixb skans s</t>
  </si>
  <si>
    <t>Low</t>
  </si>
  <si>
    <t>my cat loves the tuna flavor and will order again. this is my third time purchasing on this store btw.</t>
  </si>
  <si>
    <t>good good good good good good good good good good good good good good good good good good good</t>
  </si>
  <si>
    <t>my cat loves the tuna flavor! , pinaghahalo ko sa ibang brand catfood. . ok naman sya gusto ni luna ko.</t>
  </si>
  <si>
    <t>nagustuhan ng pusa nasarapan siya kaya order ulet</t>
  </si>
  <si>
    <t>my cat loves the tuna flavor! , my cat loves the tuna flavor! , my cat loves the tuna flavor! ,</t>
  </si>
  <si>
    <t>my cat loves the tuna najkananksnznakakama z kanaz hsiwkanszbzjaiak a sxjiz jajsnss snjs</t>
  </si>
  <si>
    <t>NEUTRAL</t>
  </si>
  <si>
    <t>fast delivery. items were packed and received in good condition. thank you po. thank you din kay kuya nagdeliver</t>
  </si>
  <si>
    <t>my cat loves the tuna flavor! , complete nutritions thst my cat needs. the free 1 pack of wet food is awesome</t>
  </si>
  <si>
    <t>good for my pets (mag iina na sila)</t>
  </si>
  <si>
    <t>my cat havent tried yet this flavor but she loves the tuna flavor. cant wait to try the other flavors.</t>
  </si>
  <si>
    <t>my cat loves the tuna flavor! ,</t>
  </si>
  <si>
    <t>he loves it, tuna flavor is his favorite.</t>
  </si>
  <si>
    <t>aiiihhhhjisssssbhhhhhhbnkkkiiiujjssiiiuyshhhjjjsujhxxnnjjzjjskkiiisssssuuuuuu</t>
  </si>
  <si>
    <t>NEGATIVE</t>
  </si>
  <si>
    <t>my cat loves the tuna flavor! , my cats loves these my cats loves these my cats loves these my cats loves these</t>
  </si>
  <si>
    <t>thank you. . nice packaging with bubble wrap talaga. . always ako nag order dito. . cheaper price. .</t>
  </si>
  <si>
    <t>my cat loves the tuna flavor! , my cat loves this food! , keeps my cat' s eyes healthy. , high-quality cat food. ,</t>
  </si>
  <si>
    <t>okay nmn, maganda yung pagkadeliver nya, pero masyado matagal ideliver, sana mas maagap pa nila dineliver</t>
  </si>
  <si>
    <t>nice packing</t>
  </si>
  <si>
    <t>delivery took longer than expected from a lazmall store</t>
  </si>
  <si>
    <t>it wasnt the size i was expecting it to be</t>
  </si>
  <si>
    <t>nag tae mga cats ko after ko sila bigyan neto kaya tinigil ko na.</t>
  </si>
  <si>
    <t>late ng dumating. . . pero ok nman packaging. . . tnx</t>
  </si>
  <si>
    <t>well packed, no damage. the item was delivered on time. thank you seller. til our next transaction.</t>
  </si>
  <si>
    <t>https://www.lazada.com.ph/products/pdp-i261706429-s361422503.html</t>
  </si>
  <si>
    <t>love love love the product and will surely buy it again and again and again. . . do give more freebies and discounts.</t>
  </si>
  <si>
    <t>the perfect size for my dog' s needs, my dog loves the beef flavor! , great value for money, delicious and nutritious, keeps my dog healthy and happy, high-quality ingredients for my furry friend, well packed, no damage. thanks seller</t>
  </si>
  <si>
    <t>my dog loves the beef flavor! , great value for money, price: very affordable</t>
  </si>
  <si>
    <t>my dog loves the beef flavor! , great value for money, high-quality ingredients for my furry friend, delicious and nutritious, the perfect size for my dog' s needs, keeps my dog healthy and happy, well packed, no damage. thank you seller. we' ll purchase again soon</t>
  </si>
  <si>
    <t>keeps my dog healthy and happy, high-quality ingredients for my furry friend, high-quality ingredients for my furry friend, high-quality ingredients for my furry friend, high-quality ingredients for my furry friend,</t>
  </si>
  <si>
    <t>keeps my dog healthy and happy, high-quality ingredients for my furry friend, my dog loves the beef flavor! , great value for money,</t>
  </si>
  <si>
    <t>the perfect size for my dog' s needs, my dog loves the beef flavor! , delicious and nutritious, high-quality ingredients for my furry friend, great value for money,</t>
  </si>
  <si>
    <t>keeps my dog healthy and happy, great value for money, my dog loves the beef flavor! , rv etg trb fev</t>
  </si>
  <si>
    <t>my dog loves the beef flavor! , keeps my dog healthy and happy, the perfect size for my dog' s needs, high-quality ingredients for my furry friend, delicious and nutritious, great value for money,</t>
  </si>
  <si>
    <t>price: has a big discount frim the store and with freebies the product is not an old stock, its manufacturing date is only january 2025. beef and vegetable flavor</t>
  </si>
  <si>
    <t>keeps my dog healthy and happy, high-quality ingredients for my furry friend, high-quality ingredients for my furry friend,</t>
  </si>
  <si>
    <t>great value for money my dog loves it nice flavor will surelynpurchase again worth the price</t>
  </si>
  <si>
    <t>high-quality ingredients for my furry friend, delicious and nutritious, the perfect size for my dog' s needs, keeps my dog healthy and happy,</t>
  </si>
  <si>
    <t>great value for money, the perfect size for my dog' s needs, high-quality ingredients for my furry friend, keeps my dog healthy and happy,</t>
  </si>
  <si>
    <t>delicious and nutritious, the perfect size for my dog' s needs, the perfect size for my dog' s needs,</t>
  </si>
  <si>
    <t>the perfect size for my dog' s needs, keeps my dog healthy and happy, high-quality ingredients for my furry friend, high-quality ingredients for my furry friend, my dog loves the beef flavor! ,</t>
  </si>
  <si>
    <t>nutritional value: okay flavor: okay price: okay. . . . . . . . . . . . . . . . . . . . . . . . . . . . . . . . . . . . . . . . . . . . . . .</t>
  </si>
  <si>
    <t>trusted brand na po namin ang pedigree pagdating sa high quality doog food na paborito ng mga aso namin!</t>
  </si>
  <si>
    <t>price: cheap nutritional value: good flavor: good thanks again seller thanks again seller thanks again seller</t>
  </si>
  <si>
    <t>price: worth it. nutritional value: good. flavor: just" regular"</t>
  </si>
  <si>
    <t>our dogs like this flavor, so that' s good. it' s also convenient that 20kg bags are available.</t>
  </si>
  <si>
    <t>freebies should be free and not cost 40 pesos</t>
  </si>
  <si>
    <t>took to long to deliver. no status updates on delivery. not answering messages.</t>
  </si>
  <si>
    <t>delivery took longer than usual</t>
  </si>
  <si>
    <t>arrived ok, misleading though, before 9. 9 it says, price would go down from 2, 250 to 1, 980 but came that day it did not.</t>
  </si>
  <si>
    <t>ang tagal ng delivery! kailangan mo pa i follow up bago sila kumilos! bingo na kayo sakin pedigree seller! i will not order anymore sa inyo!</t>
  </si>
  <si>
    <t>requested to cancel the order because i ordered it twice on diff acc. seller confirmed the change of transaction, but declined it afterwards. didnt receive the freebie bcos it was auto cancelled.</t>
  </si>
  <si>
    <t>freebies were indicated when ordered, but not available when delivered. informed seller but they are not responding. not trustworthy</t>
  </si>
  <si>
    <t>did. not receive my order was a le to get a refund though. seller never bothered to replace.</t>
  </si>
  <si>
    <t>the picture shown again is not the package delivered. the habit of putting wrong picture saying it was delivered is completely unprofessional. this is the actual delivery day uploaded thru our cctv. i am still missing another item on this order.</t>
  </si>
  <si>
    <t>ordered dog treats and free chooks to go voucher wasnt included only free treats. i trusted pedigree so much so i did not secure a video while opening the both parcel. late shipping and incomplete item but the is good side is pedigree is pedigree the dogs love it</t>
  </si>
  <si>
    <t>did not receive the 300 gift certificate. i will update once nareceive ko na.</t>
  </si>
  <si>
    <t>freebies indicated in the order were not included in the shipment.</t>
  </si>
  <si>
    <t>why would you ship to your customer an expensive 20kg pedigree with a rat damaged product? ? ? ? ? ? been rating your products five stars but this case should be none or negative. why? why? why would you ruin pedigree' s name? i know you have to save the cost but at the expense of sacrificing your customer and very bad rating. very bad image as well. now see the pictures. got the unboxing under cctv as well.</t>
  </si>
  <si>
    <t>indicated that we will receive freebies but they did not include and promise to wait for the second package for the freebies but then after few days they cancel. we' ve been a loyal buyer of pedigree since our furbabies are still a puppy until they are now seniors. but the service is getting worst as time goes by. bad customer service.</t>
  </si>
  <si>
    <t>ok naman yung product, yung seller lang ang problema. sobrang bagal shipping. kailangan ko pa i' cancel at umorder ng paulit-ulit.</t>
  </si>
  <si>
    <t>local delivery issues, messaged more than 24 hours" ou for delivery" finally left at gate. seems to be new delivery service, at present not so good</t>
  </si>
  <si>
    <t>7. 7 ko inorder dumating ng july 18. sobrang natagalan dahil ang courier ay flash express. sana next time seller paki check muna kung maganda ang service na prinoprovide ng courier kasi ang flash express sobrang dami na reklamo dito sa bulacan. lahat ng customer service ng lazada at flash nacontact ko na madeliver lang tong parcel nato. so kung bibili man kayo make sure na hindi flash express ang courier. you can check their pages in fb makita niyo dami reklamo.</t>
  </si>
  <si>
    <t>first time to received this item from this seller. ok naman medyo delayed delivery time. plus yung freebies may indicated na price. . . binayaran ko na din. para cgurado</t>
  </si>
  <si>
    <t>this is what we regularly feed our dogs. they seem to like it.</t>
  </si>
  <si>
    <t>delivery took long</t>
  </si>
  <si>
    <t>the dog food itself is good but it took nearly a month to arrive. almost ran out before it got to us</t>
  </si>
  <si>
    <t>no artificial flavors or preservatives, perfect portion size for my cat, keeps my cat' s coat shiny and healthy, the 12-pack is great value for money. , packed well and shipped out immediately by the seller. good deal. good price.</t>
  </si>
  <si>
    <t>https://www.lazada.com.ph/products/pdp-i264205377-s369490416.html</t>
  </si>
  <si>
    <t>provides complete and balanced nutrition, no artificial flavors or preservatives, my cat love it. great value for money and awesome buy.</t>
  </si>
  <si>
    <t>convenient pouch packaging, high-quality ingredients, no artificial flavors or preservatives, great value for money, my cat loves this food! ,</t>
  </si>
  <si>
    <t>convenient pouch packaging, my cat loves this food! , great value for money, keeps my cat' s coat shiny and healthy, no artificial flavors or preservatives, provides complete and balanced nutrition, high-quality ingredients,</t>
  </si>
  <si>
    <t>perfect portion size for my cat, provides complete and balanced nutrition, perfect portion size for my cat, provides complete and balanced nutrition, perfect portion size for my cat, provides complete and balanced nutrition,</t>
  </si>
  <si>
    <t>packaging: 10/10 nutritional value: 10/10 flavor variety: 10/10 always buying from this seller and they always get it right. lagi complete and item count is accurate.</t>
  </si>
  <si>
    <t>packaging: nice flavor variety: tuna and ocean fish thank you so much seller got my orders complete and in good condition happy and satisfied customer here my cat loves this food! , great value for money, convenient pouch packaging, no artificial flavors or preservatives, provides complete and balanced nutrition, perfect portion size for my cat,</t>
  </si>
  <si>
    <t>high-quality ingredients, keeps my cat' s coat shiny and healthy, no artificial flavors or preservatives,</t>
  </si>
  <si>
    <t>great value for money, high-quality ingredients, perfect portion size for my cat, no artificial flavors or preservatives, convenient pouch packaging, keeps my cat' s coat shiny and healthy,</t>
  </si>
  <si>
    <t>packaging: user-friendly, easy to open, flavor variety: many flavors available, tasty options, nutritional value: healthy ingredients, balanced diet, high protein content, rich in vitamins, essential nutrients,</t>
  </si>
  <si>
    <t>tuwang tuwa c miming, sulit sa sarap. ty seller and lazada</t>
  </si>
  <si>
    <t>my cat loves this food! , keeps my cat' s coat shiny and healthy, perfect portion size for my cat,</t>
  </si>
  <si>
    <t>great value for money, my cat loves this food! , high-quality ingredients, keeps my cat' s coat shiny and healthy,</t>
  </si>
  <si>
    <t>favorite nang mga alaga ko, buti nalang kahabol ako sa sale, malaking discount</t>
  </si>
  <si>
    <t>item is well packed and arrived in good condition. provides complete and balanced nutrition, wikl definitely repurchase again.</t>
  </si>
  <si>
    <t>great value for money, provides complete and balanced nutrition, my cat loves this food! ,</t>
  </si>
  <si>
    <t>satisfied with the quality of the product. the seller was very accommodating. the item was securely packaged and shipped immediately. i will definitely order again and highly recommend this seller to others</t>
  </si>
  <si>
    <t>it is well packaged and my cat loves it. thank you so much packaging: well packaged</t>
  </si>
  <si>
    <t>no artificial flavors or preservatives, keeps my cat' s coat shiny and healthy, high-quality ingredients, great value for money,</t>
  </si>
  <si>
    <t>perfect portion size for my cat, high-quality ingredients, convenient pouch packaging, my cat loves this food! ,</t>
  </si>
  <si>
    <t>great value for money, my cat loves this food! , convenient pouch packaging, high-quality ingredients,</t>
  </si>
  <si>
    <t>keeps my cat' s coat shiny and healthy, provides complete and balanced nutrition, my cat loves this food! ,</t>
  </si>
  <si>
    <t>my cat loves this food! , perfect portion size for my cat, great value for money, convenient pouch packaging,</t>
  </si>
  <si>
    <t>keeps my cat' s coat shiny and healthy, my cat loves this food! , no artificial flavors or preservatives, great value for money,</t>
  </si>
  <si>
    <t>packaging: good nutritional value: good flavor variety: good</t>
  </si>
  <si>
    <t>just still want to say thank you. just frusrated of waiting where i need to file a leave until today. my cats are happy now and somehow relieve my emotions.</t>
  </si>
  <si>
    <t>my cat loves this food! however, the freebies promised to be included are not there when delivered. such a disappointment.</t>
  </si>
  <si>
    <t>received this but the freebie/s, again, was/were not included, sadly.</t>
  </si>
  <si>
    <t>my cat loves this food! ,</t>
  </si>
  <si>
    <t>regular customer here</t>
  </si>
  <si>
    <t>seller slow to pack but still good quality product no complaints packaged well and safe and sound</t>
  </si>
  <si>
    <t>hasn' t try yet. maayo naman po mga products. at kudos din sa delivery man na hindi agad mag red tag kong hindi ma sagot at ma pick up yong order namin. kong may 20 sa delivery man then i will give it to him. salamat po delivery man. item four seller four delivery man twenty thank you po and god bless. . .</t>
  </si>
  <si>
    <t>regular customer here. . . sayang lang at walang freebies this time kahit pa worth 2k+</t>
  </si>
  <si>
    <t>im a regular customer</t>
  </si>
  <si>
    <t>complete my order akala ko maaga madedeliver dahil pagka deliver ko ang sabi seller already packed na dec. 30 ako nag order narecived ko na january 5 mas magastos dahil need ko pa bumili ng another food nila imbest nakamura ako</t>
  </si>
  <si>
    <t>quality: value for money: packaging:</t>
  </si>
  <si>
    <t>freebie is missing. .</t>
  </si>
  <si>
    <t>my cats love to eat them. as owner of these love cats, i am enjoying giving their food. they all love it ty for a good quality food.</t>
  </si>
  <si>
    <t>slow delivery</t>
  </si>
  <si>
    <t>took a long time to ship</t>
  </si>
  <si>
    <t>the delivery man who tag my order as failed to deliver yesterday (may 25, 2023) flash express ph with cellphone # 09308333752 is so arrogant in talking to me &amp; to my husband. so disappointing!</t>
  </si>
  <si>
    <t>it is suppossed to be 14 + 14 per box. but only got the regular 12 + 12.</t>
  </si>
  <si>
    <t>miss advertisement what i got is for kittens (junior) what i paid is for adult cat base on the pic and description.</t>
  </si>
  <si>
    <t>quality: bad. one pack inside the box has a small tear in it - the contents spilled and the smell is bad - i think it got spoiled. value for money: packaging: worst that igot so far. my previous purchase was good, box looked like new. but this time its like old stock. but expiry of items is still 2025. id like to refund this but how can i return a package thats smelly? i hope next time ill get a replacement for that one pack that i had to throw away</t>
  </si>
  <si>
    <t>it took almost 2 weeks to be delivered</t>
  </si>
  <si>
    <t>perfect portion size for my cat, convenient pouch packaging only problem is they sent whiskas junior instead of adults. : (to hassle to return</t>
  </si>
  <si>
    <t>disappointed. this is my 7th order, the store made a mistake, said they will double check and diidn' t get back to me until i followed up. was told there was nothing they can do even if it was their fault and directed me towards lazada policies. i' ve decided to take my business elsewhere.</t>
  </si>
  <si>
    <t>meron promised na treats nung nag check out ako, pero wala dumating: (</t>
  </si>
  <si>
    <t>delightful</t>
  </si>
  <si>
    <t>i ordered x2 of this 24 pcs but i only got i box that contained 24 pcs. : (still no feedback from their team on what to do since i mistakenly clicked the order received option.</t>
  </si>
  <si>
    <t>bad experience, super bad deliver</t>
  </si>
  <si>
    <t>sadly, i did not receive the playbox. this has been my second order from this store. my first order was a success (playbox included) but this second one was a huge disappointment.</t>
  </si>
  <si>
    <t>wala po ung free</t>
  </si>
  <si>
    <t>kulang items</t>
  </si>
  <si>
    <t>i ordered cat litter sand and whiskas wet foods but did not received the wet foods! only the litter sand and the freebies came. i cannot contact the seller in this store. no replies</t>
  </si>
  <si>
    <t>wala nmn akong natanggap na whiskas paanong nareject ang refund request ko. . dapat pinicturan nyo ang lahat ng items na binabalot nyo. sayang namn yung bayad ko. . refund nyo na lng.</t>
  </si>
  <si>
    <t>matagal maship and mali pa ang pinadala.</t>
  </si>
  <si>
    <t>sobrang late ng delivery</t>
  </si>
  <si>
    <t>one package broken allowing product to infect entire box</t>
  </si>
  <si>
    <t>these items are not delivered! zero! these items was not delivered. i ordered 3x of bundle of 12 each of flavour as indicated in my orders and cart! paki deliver ang kulang seller</t>
  </si>
  <si>
    <t>delivery personnel lang ang marunong maghandle ng customer. yung admin ng courier is very rude. no consent before calling at tinataunt parin ako kahit resolve na yung issue. for her, all deliveries are successful and hindi daw imcompetent yun, nagfocus lang sya sa line ng business nya, d man consider ibang factor kung panu nag incompetent sila. parang sinabi lang na walang paki sa seller at order sa platform.</t>
  </si>
  <si>
    <t>products are good but the seller has not remitted twice the php 300 lazada giftcheque as a give away</t>
  </si>
  <si>
    <t>soooooooooobrang tagal ng delivery at darating ka na lang sa point na bumili na lang sa iba kahit mahal.</t>
  </si>
  <si>
    <t>products deivered are expired march 2022</t>
  </si>
  <si>
    <t>stupid seller i received the products so late it took 11 days! ridiculous!</t>
  </si>
  <si>
    <t>incorrect item</t>
  </si>
  <si>
    <t>24 pouches is missing in my order. it has been more than two weeks and this seller is still not sending the missing items despite of several follow up. super poor customer service.</t>
  </si>
  <si>
    <t>napaka tamad nilagay lang sa gilig ung ibang cat food. durog durog na. please put it in a box first before sending to us instead of shoving and trying to fit everything in this big box.</t>
  </si>
  <si>
    <t>mamamatay muna alaga mo bago dumating sayo ung order mo.</t>
  </si>
  <si>
    <t>hindi na buo buo yung wet food and d ko alam bat hindi inuubos ng pusa ko ehoch is rare</t>
  </si>
  <si>
    <t>fast delivery naman at complete yung catfood, ilang beses na din ako nag order dito pero ngayon lang hindi napadala ang freebie na iams mother and kitten 100g cat food. . kaya pa naman isang box binili ko para may freebie. . hayz. . dati nilalagay sa loob ng box yung freebie ngayon wala.</t>
  </si>
  <si>
    <t>convenient pouch packaging, my cat loves this food! , high-quality ingredients, perfect portion size for my cat,</t>
  </si>
  <si>
    <t>i should receive freebies when checking out but received none</t>
  </si>
  <si>
    <t>disappointed on my 3rd order. kulang ng isang pouch. i counted multiple times kulang tlaga ng isa. mas okay sana if intact pansa original boxes nila. kalat kalat kasi sa loob ng isang malaking box mg pouches.</t>
  </si>
  <si>
    <t>packaging: provides complete and balanced nutrition,</t>
  </si>
  <si>
    <t>product itself is great. but their customer service is rude. i messaged because i couldnt find one of the free items which they placed in a makeshift envelope that looked like trash. i eventually found it. their customer service team sent me this. i wasnt egen complaining. it was just a question with no ill feelings whatsoever. whoever is handling their customer support should learn a thing kr two about customer support.</t>
  </si>
  <si>
    <t>all is okay except one which is totally open and (idk) rotten. other sachets have bugs on them because of it, yikes.</t>
  </si>
  <si>
    <t>only got 23/24</t>
  </si>
  <si>
    <t>wala yung free</t>
  </si>
  <si>
    <t>there' s a cut on one of the items. i opted not to return because my cats need them. can you please double check your iyltems next time? ? ? ? ?</t>
  </si>
  <si>
    <t>received my order2 pero walang yung free items kay 3 stars lang. ordered 2 boxes dahil sa free. may isang pouch din na may butas. not sure if sa handling na siya nabutas. thanks pa rin seller.</t>
  </si>
  <si>
    <t>mali po ang naidlver. jr po ang order ko. 1+ ang dumating.</t>
  </si>
  <si>
    <t>purchased this on 12/12. i ordered 2 boxes, but unfortunately, only 1 box (+freebies) ang dumating. in short, orders not complete. already sent an email sa lazada, chat sa seller (pero mukhang ai ang responses) . been purchasing in this flagship store, unfortunately, this happened. : (</t>
  </si>
  <si>
    <t>gusto ng mga cats ko ito, kaso, kulang kulang mag deliver.</t>
  </si>
  <si>
    <t>quality: it took sometime for the courier to deliver</t>
  </si>
  <si>
    <t>one box contained only 10pcs tuna</t>
  </si>
  <si>
    <t>unfair! huhuh dami ko binili walng freebies na bowl nun inadd to cart ko my price hays kainis. i always buy to your store sana iconsiderate nyo un madaming bumili na customer</t>
  </si>
  <si>
    <t>the parcel was delivered late and beyond the eatimated delivery date. i tried so hard to contact the customer support thru cleo to expedite the delivery to no avail. i wasnt at the delivery address when this was also delivered. i tried to cancel but apparently once shipped, the order cant be canceled. i tried to explain as well that i will be on fieldwork and will be out for almost a month and my cats are gonna be sent to a petsitter and they have no food there but lazada was heartless to not consider it and went ahead to deliver the parcel 3 days late. i cant even refuse the item because i wasnt there when this was delivered. i have no use for this by the time this was delivered. the whiole process trying to contact customer support gave me anxiety, hyperacidity and hairfall because budget was tight and i was forced to buy similar items on physical 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</si>
</sst>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quot;-&quot;??_-;_-@_-"/>
    <numFmt numFmtId="177" formatCode="_-&quot;₱&quot;* #,##0_-;\-&quot;₱&quot;* #,##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9"/>
  <sheetViews>
    <sheetView tabSelected="1" topLeftCell="A179" workbookViewId="0">
      <pane xSplit="1" topLeftCell="B1" activePane="topRight" state="frozen"/>
      <selection/>
      <selection pane="topRight" activeCell="B180" sqref="B180"/>
    </sheetView>
  </sheetViews>
  <sheetFormatPr defaultColWidth="9" defaultRowHeight="16.8"/>
  <cols>
    <col min="1" max="1" width="70.3125" style="1" customWidth="1"/>
    <col min="2" max="2" width="11.1953125" customWidth="1"/>
    <col min="3" max="3" width="10.5703125" customWidth="1"/>
    <col min="4" max="4" width="3.7734375" customWidth="1"/>
    <col min="5" max="5" width="9.2421875" customWidth="1"/>
    <col min="6" max="6" width="6.765625" customWidth="1"/>
    <col min="7" max="7" width="10.28125" customWidth="1"/>
    <col min="8" max="8" width="6" customWidth="1"/>
    <col min="9" max="9" width="11.140625" customWidth="1"/>
    <col min="10" max="10" width="9.140625" customWidth="1"/>
    <col min="11" max="11" width="5.5703125" customWidth="1"/>
    <col min="12" max="12" width="12.875" customWidth="1"/>
    <col min="13" max="13" width="96.875" customWidth="1"/>
    <col min="14" max="14" width="17.5703125" customWidth="1"/>
  </cols>
  <sheetData>
    <row r="1" ht="17" spans="1:14">
      <c r="A1" s="2" t="s">
        <v>0</v>
      </c>
      <c r="B1" s="3" t="s">
        <v>1</v>
      </c>
      <c r="C1" s="3" t="s">
        <v>2</v>
      </c>
      <c r="D1" s="3" t="s">
        <v>3</v>
      </c>
      <c r="E1" s="3" t="s">
        <v>4</v>
      </c>
      <c r="F1" s="3" t="s">
        <v>5</v>
      </c>
      <c r="G1" s="3" t="s">
        <v>6</v>
      </c>
      <c r="H1" s="3" t="s">
        <v>7</v>
      </c>
      <c r="I1" s="3" t="s">
        <v>8</v>
      </c>
      <c r="J1" s="3" t="s">
        <v>9</v>
      </c>
      <c r="K1" s="3" t="s">
        <v>10</v>
      </c>
      <c r="L1" s="3" t="s">
        <v>11</v>
      </c>
      <c r="M1" s="3" t="s">
        <v>12</v>
      </c>
      <c r="N1" s="3" t="s">
        <v>13</v>
      </c>
    </row>
    <row r="2" ht="34" spans="1:14">
      <c r="A2" s="1"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v>0</v>
      </c>
      <c r="I2">
        <v>0</v>
      </c>
      <c r="J2">
        <v>1</v>
      </c>
      <c r="K2">
        <v>1</v>
      </c>
      <c r="L2" t="s">
        <v>16</v>
      </c>
      <c r="M2" t="s">
        <v>17</v>
      </c>
      <c r="N2">
        <v>1</v>
      </c>
    </row>
    <row r="3" ht="34" spans="1:14">
      <c r="A3" s="1" t="s">
        <v>18</v>
      </c>
      <c r="B3" t="s">
        <v>15</v>
      </c>
      <c r="C3" t="str">
        <f t="shared" si="0"/>
        <v>OS</v>
      </c>
      <c r="D3">
        <v>5</v>
      </c>
      <c r="E3" t="str">
        <f t="shared" si="1"/>
        <v>Consistent</v>
      </c>
      <c r="F3" t="str">
        <f t="shared" si="2"/>
        <v>Low</v>
      </c>
      <c r="G3" t="str">
        <f t="shared" si="3"/>
        <v>MODERATE</v>
      </c>
      <c r="H3">
        <v>0</v>
      </c>
      <c r="I3">
        <v>0</v>
      </c>
      <c r="J3">
        <v>1</v>
      </c>
      <c r="K3">
        <v>1</v>
      </c>
      <c r="L3" t="s">
        <v>16</v>
      </c>
      <c r="M3" t="s">
        <v>17</v>
      </c>
      <c r="N3">
        <v>1</v>
      </c>
    </row>
    <row r="4" ht="34" spans="1:14">
      <c r="A4" s="1" t="s">
        <v>19</v>
      </c>
      <c r="B4" t="s">
        <v>15</v>
      </c>
      <c r="C4" t="str">
        <f t="shared" si="0"/>
        <v>OS</v>
      </c>
      <c r="D4">
        <v>5</v>
      </c>
      <c r="E4" t="str">
        <f t="shared" si="1"/>
        <v>Consistent</v>
      </c>
      <c r="F4" t="s">
        <v>20</v>
      </c>
      <c r="G4" t="str">
        <f t="shared" si="3"/>
        <v>MODERATE</v>
      </c>
      <c r="H4">
        <v>0</v>
      </c>
      <c r="I4">
        <v>1</v>
      </c>
      <c r="J4">
        <v>1</v>
      </c>
      <c r="K4">
        <v>1</v>
      </c>
      <c r="L4" t="s">
        <v>16</v>
      </c>
      <c r="M4" t="s">
        <v>17</v>
      </c>
      <c r="N4">
        <v>1</v>
      </c>
    </row>
    <row r="5" ht="34" spans="1:14">
      <c r="A5" s="1" t="s">
        <v>21</v>
      </c>
      <c r="B5" t="s">
        <v>15</v>
      </c>
      <c r="C5" t="str">
        <f t="shared" si="0"/>
        <v>OS</v>
      </c>
      <c r="D5">
        <v>5</v>
      </c>
      <c r="E5" t="str">
        <f t="shared" si="1"/>
        <v>Consistent</v>
      </c>
      <c r="F5" t="str">
        <f t="shared" si="2"/>
        <v>Low</v>
      </c>
      <c r="G5" t="str">
        <f t="shared" si="3"/>
        <v>MODERATE</v>
      </c>
      <c r="H5">
        <v>0</v>
      </c>
      <c r="I5">
        <v>0</v>
      </c>
      <c r="J5">
        <v>1</v>
      </c>
      <c r="K5" t="s">
        <v>16</v>
      </c>
      <c r="L5" t="s">
        <v>16</v>
      </c>
      <c r="M5" t="s">
        <v>17</v>
      </c>
      <c r="N5">
        <v>1</v>
      </c>
    </row>
    <row r="6" ht="34" spans="1:14">
      <c r="A6" s="1" t="s">
        <v>22</v>
      </c>
      <c r="B6" t="s">
        <v>15</v>
      </c>
      <c r="C6" t="str">
        <f t="shared" si="0"/>
        <v>OS</v>
      </c>
      <c r="D6">
        <v>5</v>
      </c>
      <c r="E6" t="str">
        <f t="shared" si="1"/>
        <v>Consistent</v>
      </c>
      <c r="F6" t="str">
        <f t="shared" si="2"/>
        <v>Low</v>
      </c>
      <c r="G6" t="str">
        <f t="shared" si="3"/>
        <v>MODERATE</v>
      </c>
      <c r="H6">
        <v>0</v>
      </c>
      <c r="I6">
        <v>0</v>
      </c>
      <c r="J6">
        <v>1</v>
      </c>
      <c r="K6">
        <v>1</v>
      </c>
      <c r="L6" t="s">
        <v>16</v>
      </c>
      <c r="M6" t="s">
        <v>17</v>
      </c>
      <c r="N6">
        <v>1</v>
      </c>
    </row>
    <row r="7" ht="34" spans="1:14">
      <c r="A7" s="1" t="s">
        <v>23</v>
      </c>
      <c r="B7" t="s">
        <v>15</v>
      </c>
      <c r="C7" t="str">
        <f t="shared" si="0"/>
        <v>OS</v>
      </c>
      <c r="D7">
        <v>5</v>
      </c>
      <c r="E7" t="str">
        <f t="shared" si="1"/>
        <v>Consistent</v>
      </c>
      <c r="F7" t="str">
        <f t="shared" si="2"/>
        <v>Low</v>
      </c>
      <c r="G7" t="str">
        <f t="shared" si="3"/>
        <v>MODERATE</v>
      </c>
      <c r="H7">
        <v>0</v>
      </c>
      <c r="I7">
        <v>1</v>
      </c>
      <c r="J7">
        <v>1</v>
      </c>
      <c r="K7" t="s">
        <v>16</v>
      </c>
      <c r="L7" t="s">
        <v>16</v>
      </c>
      <c r="M7" t="s">
        <v>17</v>
      </c>
      <c r="N7">
        <v>1</v>
      </c>
    </row>
    <row r="8" ht="17" spans="1:14">
      <c r="A8" s="1" t="s">
        <v>24</v>
      </c>
      <c r="B8" t="s">
        <v>15</v>
      </c>
      <c r="C8" t="str">
        <f t="shared" si="0"/>
        <v>OS</v>
      </c>
      <c r="D8">
        <v>5</v>
      </c>
      <c r="E8" t="str">
        <f t="shared" si="1"/>
        <v>Consistent</v>
      </c>
      <c r="F8" t="str">
        <f t="shared" si="2"/>
        <v>Low</v>
      </c>
      <c r="G8" t="str">
        <f t="shared" si="3"/>
        <v>MODERATE</v>
      </c>
      <c r="H8">
        <v>0</v>
      </c>
      <c r="I8">
        <v>0</v>
      </c>
      <c r="J8">
        <v>1</v>
      </c>
      <c r="K8" t="s">
        <v>16</v>
      </c>
      <c r="L8" t="s">
        <v>16</v>
      </c>
      <c r="M8" t="s">
        <v>17</v>
      </c>
      <c r="N8">
        <v>1</v>
      </c>
    </row>
    <row r="9" ht="34" spans="1:14">
      <c r="A9" s="1" t="s">
        <v>25</v>
      </c>
      <c r="B9" t="s">
        <v>15</v>
      </c>
      <c r="C9" t="str">
        <f t="shared" si="0"/>
        <v>OS</v>
      </c>
      <c r="D9">
        <v>5</v>
      </c>
      <c r="E9" t="str">
        <f t="shared" si="1"/>
        <v>Consistent</v>
      </c>
      <c r="F9" t="str">
        <f t="shared" si="2"/>
        <v>Low</v>
      </c>
      <c r="G9" t="str">
        <f t="shared" si="3"/>
        <v>MODERATE</v>
      </c>
      <c r="H9">
        <v>0</v>
      </c>
      <c r="I9">
        <v>1</v>
      </c>
      <c r="J9">
        <v>0</v>
      </c>
      <c r="K9">
        <v>1</v>
      </c>
      <c r="L9"/>
      <c r="M9" t="s">
        <v>17</v>
      </c>
      <c r="N9">
        <v>1</v>
      </c>
    </row>
    <row r="10" ht="34" spans="1:14">
      <c r="A10" s="1" t="s">
        <v>26</v>
      </c>
      <c r="B10" t="s">
        <v>27</v>
      </c>
      <c r="C10" t="str">
        <f t="shared" si="0"/>
        <v>TS</v>
      </c>
      <c r="D10">
        <v>5</v>
      </c>
      <c r="E10" t="str">
        <f t="shared" si="1"/>
        <v>Inconsistent</v>
      </c>
      <c r="F10" t="str">
        <f t="shared" si="2"/>
        <v>High</v>
      </c>
      <c r="G10" t="str">
        <f t="shared" si="3"/>
        <v>LOW</v>
      </c>
      <c r="H10">
        <v>0</v>
      </c>
      <c r="I10">
        <v>0</v>
      </c>
      <c r="J10">
        <v>1</v>
      </c>
      <c r="K10" t="s">
        <v>16</v>
      </c>
      <c r="L10" t="s">
        <v>16</v>
      </c>
      <c r="M10" t="s">
        <v>17</v>
      </c>
      <c r="N10">
        <v>1</v>
      </c>
    </row>
    <row r="11" ht="34" spans="1:14">
      <c r="A11" s="1" t="s">
        <v>28</v>
      </c>
      <c r="B11" t="s">
        <v>15</v>
      </c>
      <c r="C11" t="str">
        <f t="shared" si="0"/>
        <v>OS</v>
      </c>
      <c r="D11">
        <v>5</v>
      </c>
      <c r="E11" t="str">
        <f t="shared" si="1"/>
        <v>Consistent</v>
      </c>
      <c r="F11" t="str">
        <f t="shared" si="2"/>
        <v>Low</v>
      </c>
      <c r="G11" t="str">
        <f t="shared" si="3"/>
        <v>MODERATE</v>
      </c>
      <c r="H11">
        <v>0</v>
      </c>
      <c r="I11">
        <v>0</v>
      </c>
      <c r="J11">
        <v>1</v>
      </c>
      <c r="K11" t="s">
        <v>16</v>
      </c>
      <c r="L11" t="s">
        <v>16</v>
      </c>
      <c r="M11" t="s">
        <v>17</v>
      </c>
      <c r="N11">
        <v>1</v>
      </c>
    </row>
    <row r="12" ht="34" spans="1:14">
      <c r="A12" s="1" t="s">
        <v>29</v>
      </c>
      <c r="B12" t="s">
        <v>15</v>
      </c>
      <c r="C12" t="str">
        <f t="shared" si="0"/>
        <v>OS</v>
      </c>
      <c r="D12">
        <v>5</v>
      </c>
      <c r="E12" t="str">
        <f t="shared" si="1"/>
        <v>Consistent</v>
      </c>
      <c r="F12" t="str">
        <f t="shared" si="2"/>
        <v>Low</v>
      </c>
      <c r="G12" t="str">
        <f t="shared" si="3"/>
        <v>MODERATE</v>
      </c>
      <c r="H12">
        <v>0</v>
      </c>
      <c r="I12">
        <v>1</v>
      </c>
      <c r="J12">
        <v>0</v>
      </c>
      <c r="K12" t="s">
        <v>16</v>
      </c>
      <c r="L12" t="s">
        <v>16</v>
      </c>
      <c r="M12" t="s">
        <v>17</v>
      </c>
      <c r="N12">
        <v>1</v>
      </c>
    </row>
    <row r="13" ht="17" spans="1:14">
      <c r="A13" s="1" t="s">
        <v>30</v>
      </c>
      <c r="B13" t="s">
        <v>15</v>
      </c>
      <c r="C13" t="str">
        <f t="shared" si="0"/>
        <v>OS</v>
      </c>
      <c r="D13">
        <v>5</v>
      </c>
      <c r="E13" t="str">
        <f t="shared" si="1"/>
        <v>Consistent</v>
      </c>
      <c r="F13" t="str">
        <f t="shared" si="2"/>
        <v>Low</v>
      </c>
      <c r="G13" t="str">
        <f t="shared" si="3"/>
        <v>MODERATE</v>
      </c>
      <c r="H13">
        <v>0</v>
      </c>
      <c r="I13">
        <v>0</v>
      </c>
      <c r="J13">
        <v>1</v>
      </c>
      <c r="K13" t="s">
        <v>16</v>
      </c>
      <c r="L13" t="s">
        <v>16</v>
      </c>
      <c r="M13" t="s">
        <v>17</v>
      </c>
      <c r="N13">
        <v>1</v>
      </c>
    </row>
    <row r="14" ht="34" spans="1:14">
      <c r="A14" s="1" t="s">
        <v>31</v>
      </c>
      <c r="B14" t="s">
        <v>15</v>
      </c>
      <c r="C14" t="str">
        <f t="shared" si="0"/>
        <v>OS</v>
      </c>
      <c r="D14">
        <v>5</v>
      </c>
      <c r="E14" t="str">
        <f t="shared" si="1"/>
        <v>Consistent</v>
      </c>
      <c r="F14" t="str">
        <f t="shared" si="2"/>
        <v>Low</v>
      </c>
      <c r="G14" t="str">
        <f t="shared" si="3"/>
        <v>MODERATE</v>
      </c>
      <c r="H14">
        <v>0</v>
      </c>
      <c r="I14">
        <v>0</v>
      </c>
      <c r="J14">
        <v>1</v>
      </c>
      <c r="K14" t="s">
        <v>16</v>
      </c>
      <c r="L14" t="s">
        <v>16</v>
      </c>
      <c r="M14" t="s">
        <v>17</v>
      </c>
      <c r="N14">
        <v>1</v>
      </c>
    </row>
    <row r="15" ht="17" spans="1:14">
      <c r="A15" s="1" t="s">
        <v>32</v>
      </c>
      <c r="B15" t="s">
        <v>27</v>
      </c>
      <c r="C15" t="str">
        <f t="shared" si="0"/>
        <v>TS</v>
      </c>
      <c r="D15">
        <v>5</v>
      </c>
      <c r="E15" t="str">
        <f t="shared" si="1"/>
        <v>Inconsistent</v>
      </c>
      <c r="F15" t="str">
        <f t="shared" si="2"/>
        <v>High</v>
      </c>
      <c r="G15" t="str">
        <f t="shared" si="3"/>
        <v>LOW</v>
      </c>
      <c r="H15">
        <v>0</v>
      </c>
      <c r="I15">
        <v>1</v>
      </c>
      <c r="J15">
        <v>0</v>
      </c>
      <c r="K15" t="s">
        <v>16</v>
      </c>
      <c r="L15" t="s">
        <v>16</v>
      </c>
      <c r="M15" t="s">
        <v>17</v>
      </c>
      <c r="N15">
        <v>1</v>
      </c>
    </row>
    <row r="16" ht="17" spans="1:14">
      <c r="A16" s="1" t="s">
        <v>33</v>
      </c>
      <c r="B16" t="s">
        <v>27</v>
      </c>
      <c r="C16" t="str">
        <f t="shared" si="0"/>
        <v>TS</v>
      </c>
      <c r="D16">
        <v>5</v>
      </c>
      <c r="E16" t="str">
        <f t="shared" si="1"/>
        <v>Inconsistent</v>
      </c>
      <c r="F16" t="str">
        <f t="shared" si="2"/>
        <v>High</v>
      </c>
      <c r="G16" t="str">
        <f t="shared" si="3"/>
        <v>LOW</v>
      </c>
      <c r="H16">
        <v>0</v>
      </c>
      <c r="I16">
        <v>0</v>
      </c>
      <c r="J16">
        <v>1</v>
      </c>
      <c r="K16" t="s">
        <v>16</v>
      </c>
      <c r="L16" t="s">
        <v>16</v>
      </c>
      <c r="M16" t="s">
        <v>17</v>
      </c>
      <c r="N16">
        <v>1</v>
      </c>
    </row>
    <row r="17" ht="17" spans="1:14">
      <c r="A17" s="1" t="s">
        <v>34</v>
      </c>
      <c r="B17" t="s">
        <v>35</v>
      </c>
      <c r="C17" t="str">
        <f t="shared" si="0"/>
        <v>OS</v>
      </c>
      <c r="D17">
        <v>5</v>
      </c>
      <c r="E17" t="str">
        <f t="shared" si="1"/>
        <v>Inconsistent</v>
      </c>
      <c r="F17" t="str">
        <f t="shared" si="2"/>
        <v>Low</v>
      </c>
      <c r="G17" t="str">
        <f t="shared" si="3"/>
        <v>LOW</v>
      </c>
      <c r="H17">
        <v>0</v>
      </c>
      <c r="I17">
        <v>0</v>
      </c>
      <c r="J17">
        <v>1</v>
      </c>
      <c r="K17" t="s">
        <v>16</v>
      </c>
      <c r="L17" t="s">
        <v>16</v>
      </c>
      <c r="M17" t="s">
        <v>17</v>
      </c>
      <c r="N17">
        <v>1</v>
      </c>
    </row>
    <row r="18" ht="34" spans="1:14">
      <c r="A18" s="1" t="s">
        <v>36</v>
      </c>
      <c r="B18" t="s">
        <v>15</v>
      </c>
      <c r="C18" t="str">
        <f t="shared" si="0"/>
        <v>OS</v>
      </c>
      <c r="D18">
        <v>5</v>
      </c>
      <c r="E18" t="str">
        <f t="shared" si="1"/>
        <v>Consistent</v>
      </c>
      <c r="F18" t="str">
        <f t="shared" si="2"/>
        <v>Low</v>
      </c>
      <c r="G18" t="str">
        <f t="shared" si="3"/>
        <v>MODERATE</v>
      </c>
      <c r="H18">
        <v>0</v>
      </c>
      <c r="I18">
        <v>1</v>
      </c>
      <c r="J18">
        <v>1</v>
      </c>
      <c r="K18" t="s">
        <v>16</v>
      </c>
      <c r="L18" t="s">
        <v>16</v>
      </c>
      <c r="M18" t="s">
        <v>17</v>
      </c>
      <c r="N18">
        <v>1</v>
      </c>
    </row>
    <row r="19" ht="34" spans="1:14">
      <c r="A19" s="1" t="s">
        <v>36</v>
      </c>
      <c r="B19" t="s">
        <v>15</v>
      </c>
      <c r="C19" t="str">
        <f t="shared" si="0"/>
        <v>OS</v>
      </c>
      <c r="D19">
        <v>5</v>
      </c>
      <c r="E19" t="str">
        <f t="shared" si="1"/>
        <v>Consistent</v>
      </c>
      <c r="F19" t="str">
        <f t="shared" si="2"/>
        <v>Low</v>
      </c>
      <c r="G19" t="str">
        <f t="shared" si="3"/>
        <v>MODERATE</v>
      </c>
      <c r="H19">
        <v>0</v>
      </c>
      <c r="I19">
        <v>1</v>
      </c>
      <c r="J19">
        <v>1</v>
      </c>
      <c r="K19" t="s">
        <v>16</v>
      </c>
      <c r="L19" t="s">
        <v>16</v>
      </c>
      <c r="M19" t="s">
        <v>17</v>
      </c>
      <c r="N19">
        <v>1</v>
      </c>
    </row>
    <row r="20" ht="34" spans="1:14">
      <c r="A20" s="1" t="s">
        <v>37</v>
      </c>
      <c r="B20" t="s">
        <v>15</v>
      </c>
      <c r="C20" t="str">
        <f t="shared" si="0"/>
        <v>OS</v>
      </c>
      <c r="D20">
        <v>5</v>
      </c>
      <c r="E20" t="str">
        <f t="shared" si="1"/>
        <v>Consistent</v>
      </c>
      <c r="F20" t="str">
        <f t="shared" si="2"/>
        <v>Low</v>
      </c>
      <c r="G20" t="str">
        <f t="shared" si="3"/>
        <v>MODERATE</v>
      </c>
      <c r="H20">
        <v>0</v>
      </c>
      <c r="I20">
        <v>0</v>
      </c>
      <c r="J20">
        <v>1</v>
      </c>
      <c r="K20" t="s">
        <v>16</v>
      </c>
      <c r="L20" t="s">
        <v>16</v>
      </c>
      <c r="M20" t="s">
        <v>17</v>
      </c>
      <c r="N20">
        <v>1</v>
      </c>
    </row>
    <row r="21" ht="34" spans="1:14">
      <c r="A21" s="1" t="s">
        <v>38</v>
      </c>
      <c r="B21" t="s">
        <v>15</v>
      </c>
      <c r="C21" t="str">
        <f t="shared" si="0"/>
        <v>OS</v>
      </c>
      <c r="D21">
        <v>5</v>
      </c>
      <c r="E21" t="str">
        <f t="shared" si="1"/>
        <v>Consistent</v>
      </c>
      <c r="F21" t="str">
        <f t="shared" si="2"/>
        <v>Low</v>
      </c>
      <c r="G21" t="str">
        <f t="shared" si="3"/>
        <v>MODERATE</v>
      </c>
      <c r="H21">
        <v>0</v>
      </c>
      <c r="I21">
        <v>1</v>
      </c>
      <c r="J21">
        <v>0</v>
      </c>
      <c r="K21" t="s">
        <v>16</v>
      </c>
      <c r="L21" t="s">
        <v>16</v>
      </c>
      <c r="M21" t="s">
        <v>17</v>
      </c>
      <c r="N21">
        <v>1</v>
      </c>
    </row>
    <row r="22" ht="34" spans="1:14">
      <c r="A22" s="1" t="s">
        <v>39</v>
      </c>
      <c r="B22" t="s">
        <v>27</v>
      </c>
      <c r="C22" t="str">
        <f t="shared" si="0"/>
        <v>TS</v>
      </c>
      <c r="D22">
        <v>4</v>
      </c>
      <c r="E22" t="str">
        <f t="shared" si="1"/>
        <v>Partially Consistent</v>
      </c>
      <c r="F22" t="str">
        <f t="shared" si="2"/>
        <v>High</v>
      </c>
      <c r="G22" t="str">
        <f t="shared" si="3"/>
        <v>MODERATE</v>
      </c>
      <c r="H22">
        <v>0</v>
      </c>
      <c r="I22">
        <v>0</v>
      </c>
      <c r="J22">
        <v>1</v>
      </c>
      <c r="K22" t="s">
        <v>16</v>
      </c>
      <c r="L22" t="s">
        <v>16</v>
      </c>
      <c r="M22" t="s">
        <v>17</v>
      </c>
      <c r="N22">
        <v>1</v>
      </c>
    </row>
    <row r="23" ht="17" spans="1:14">
      <c r="A23" s="1" t="s">
        <v>40</v>
      </c>
      <c r="B23" t="s">
        <v>15</v>
      </c>
      <c r="C23" t="str">
        <f t="shared" si="0"/>
        <v>OS</v>
      </c>
      <c r="D23">
        <v>4</v>
      </c>
      <c r="E23" t="str">
        <f t="shared" si="1"/>
        <v>Partially Consistent</v>
      </c>
      <c r="F23" t="str">
        <f t="shared" si="2"/>
        <v>Low</v>
      </c>
      <c r="G23" t="str">
        <f t="shared" si="3"/>
        <v>MODERATE</v>
      </c>
      <c r="H23">
        <v>0</v>
      </c>
      <c r="I23">
        <v>0</v>
      </c>
      <c r="J23">
        <v>1</v>
      </c>
      <c r="K23" t="s">
        <v>16</v>
      </c>
      <c r="L23" t="s">
        <v>16</v>
      </c>
      <c r="M23" t="s">
        <v>17</v>
      </c>
      <c r="N23">
        <v>1</v>
      </c>
    </row>
    <row r="24" ht="17" spans="1:14">
      <c r="A24" s="1" t="s">
        <v>41</v>
      </c>
      <c r="B24" t="s">
        <v>35</v>
      </c>
      <c r="C24" t="str">
        <f t="shared" si="0"/>
        <v>OS</v>
      </c>
      <c r="D24">
        <v>4</v>
      </c>
      <c r="E24" t="str">
        <f t="shared" si="1"/>
        <v>Inconsistent</v>
      </c>
      <c r="F24" t="str">
        <f t="shared" si="2"/>
        <v>Low</v>
      </c>
      <c r="G24" t="str">
        <f t="shared" si="3"/>
        <v>LOW</v>
      </c>
      <c r="H24">
        <v>0</v>
      </c>
      <c r="I24">
        <v>0</v>
      </c>
      <c r="J24">
        <v>1</v>
      </c>
      <c r="K24" t="s">
        <v>16</v>
      </c>
      <c r="L24" t="s">
        <v>16</v>
      </c>
      <c r="M24" t="s">
        <v>17</v>
      </c>
      <c r="N24">
        <v>1</v>
      </c>
    </row>
    <row r="25" ht="17" spans="1:14">
      <c r="A25" s="1" t="s">
        <v>42</v>
      </c>
      <c r="B25" t="s">
        <v>27</v>
      </c>
      <c r="C25" t="str">
        <f t="shared" si="0"/>
        <v>TS</v>
      </c>
      <c r="D25">
        <v>4</v>
      </c>
      <c r="E25" t="str">
        <f t="shared" si="1"/>
        <v>Partially Consistent</v>
      </c>
      <c r="F25" t="str">
        <f t="shared" si="2"/>
        <v>High</v>
      </c>
      <c r="G25" t="str">
        <f t="shared" si="3"/>
        <v>MODERATE</v>
      </c>
      <c r="H25">
        <v>0</v>
      </c>
      <c r="I25">
        <v>0</v>
      </c>
      <c r="J25">
        <v>1</v>
      </c>
      <c r="K25" t="s">
        <v>16</v>
      </c>
      <c r="L25" t="s">
        <v>16</v>
      </c>
      <c r="M25" t="s">
        <v>17</v>
      </c>
      <c r="N25">
        <v>1</v>
      </c>
    </row>
    <row r="26" ht="17" spans="1:14">
      <c r="A26" s="1" t="s">
        <v>43</v>
      </c>
      <c r="B26" t="s">
        <v>35</v>
      </c>
      <c r="C26" t="str">
        <f t="shared" si="0"/>
        <v>OS</v>
      </c>
      <c r="D26">
        <v>2</v>
      </c>
      <c r="E26" t="str">
        <f t="shared" si="1"/>
        <v>Partially Consistent</v>
      </c>
      <c r="F26" t="str">
        <f t="shared" si="2"/>
        <v>Low</v>
      </c>
      <c r="G26" t="str">
        <f t="shared" si="3"/>
        <v>MODERATE</v>
      </c>
      <c r="H26">
        <v>0</v>
      </c>
      <c r="I26">
        <v>0</v>
      </c>
      <c r="J26">
        <v>1</v>
      </c>
      <c r="K26" t="s">
        <v>16</v>
      </c>
      <c r="L26" t="s">
        <v>16</v>
      </c>
      <c r="M26" t="s">
        <v>17</v>
      </c>
      <c r="N26">
        <v>1</v>
      </c>
    </row>
    <row r="27" ht="17" spans="1:14">
      <c r="A27" s="1" t="s">
        <v>44</v>
      </c>
      <c r="B27" t="s">
        <v>27</v>
      </c>
      <c r="C27" t="str">
        <f t="shared" si="0"/>
        <v>TS</v>
      </c>
      <c r="D27">
        <v>3</v>
      </c>
      <c r="E27" t="str">
        <f t="shared" si="1"/>
        <v>Consistent</v>
      </c>
      <c r="F27" t="str">
        <f t="shared" si="2"/>
        <v>High</v>
      </c>
      <c r="G27" t="str">
        <f t="shared" si="3"/>
        <v>HIGH</v>
      </c>
      <c r="H27">
        <v>0</v>
      </c>
      <c r="I27">
        <v>0</v>
      </c>
      <c r="J27">
        <v>1</v>
      </c>
      <c r="K27" t="s">
        <v>16</v>
      </c>
      <c r="L27" t="s">
        <v>16</v>
      </c>
      <c r="M27" t="s">
        <v>17</v>
      </c>
      <c r="N27">
        <v>1</v>
      </c>
    </row>
    <row r="28" ht="34" spans="1:14">
      <c r="A28" s="1" t="s">
        <v>45</v>
      </c>
      <c r="B28" t="s">
        <v>15</v>
      </c>
      <c r="C28" t="str">
        <f t="shared" si="0"/>
        <v>OS</v>
      </c>
      <c r="D28">
        <v>5</v>
      </c>
      <c r="E28" t="str">
        <f t="shared" si="1"/>
        <v>Consistent</v>
      </c>
      <c r="F28" t="str">
        <f t="shared" si="2"/>
        <v>Low</v>
      </c>
      <c r="G28" t="str">
        <f t="shared" si="3"/>
        <v>MODERATE</v>
      </c>
      <c r="H28">
        <v>0</v>
      </c>
      <c r="I28">
        <v>0</v>
      </c>
      <c r="J28">
        <v>1</v>
      </c>
      <c r="K28" t="s">
        <v>16</v>
      </c>
      <c r="L28" t="s">
        <v>16</v>
      </c>
      <c r="M28" t="s">
        <v>46</v>
      </c>
      <c r="N28">
        <v>2</v>
      </c>
    </row>
    <row r="29" ht="34" spans="1:14">
      <c r="A29" s="1" t="s">
        <v>47</v>
      </c>
      <c r="B29" t="s">
        <v>15</v>
      </c>
      <c r="C29" t="str">
        <f t="shared" si="0"/>
        <v>OS</v>
      </c>
      <c r="D29">
        <v>5</v>
      </c>
      <c r="E29" t="str">
        <f t="shared" si="1"/>
        <v>Consistent</v>
      </c>
      <c r="F29" t="str">
        <f t="shared" si="2"/>
        <v>Low</v>
      </c>
      <c r="G29" t="str">
        <f t="shared" si="3"/>
        <v>MODERATE</v>
      </c>
      <c r="H29">
        <v>0</v>
      </c>
      <c r="I29">
        <v>0</v>
      </c>
      <c r="J29">
        <v>1</v>
      </c>
      <c r="K29" t="s">
        <v>16</v>
      </c>
      <c r="L29" t="s">
        <v>16</v>
      </c>
      <c r="M29" t="s">
        <v>46</v>
      </c>
      <c r="N29">
        <v>2</v>
      </c>
    </row>
    <row r="30" ht="51" spans="1:14">
      <c r="A30" s="1" t="s">
        <v>48</v>
      </c>
      <c r="B30" t="s">
        <v>15</v>
      </c>
      <c r="C30" t="str">
        <f t="shared" si="0"/>
        <v>OS</v>
      </c>
      <c r="D30">
        <v>5</v>
      </c>
      <c r="E30" t="str">
        <f t="shared" si="1"/>
        <v>Consistent</v>
      </c>
      <c r="F30" t="str">
        <f t="shared" si="2"/>
        <v>Low</v>
      </c>
      <c r="G30" t="str">
        <f t="shared" si="3"/>
        <v>MODERATE</v>
      </c>
      <c r="H30">
        <v>0</v>
      </c>
      <c r="I30">
        <v>1</v>
      </c>
      <c r="J30">
        <v>1</v>
      </c>
      <c r="K30" t="s">
        <v>16</v>
      </c>
      <c r="L30" t="s">
        <v>16</v>
      </c>
      <c r="M30" t="s">
        <v>46</v>
      </c>
      <c r="N30">
        <v>2</v>
      </c>
    </row>
    <row r="31" ht="17" spans="1:14">
      <c r="A31" s="1" t="s">
        <v>49</v>
      </c>
      <c r="B31" t="s">
        <v>15</v>
      </c>
      <c r="C31" t="str">
        <f t="shared" si="0"/>
        <v>OS</v>
      </c>
      <c r="D31">
        <v>5</v>
      </c>
      <c r="E31" t="str">
        <f t="shared" si="1"/>
        <v>Consistent</v>
      </c>
      <c r="F31" t="str">
        <f t="shared" si="2"/>
        <v>Low</v>
      </c>
      <c r="G31" t="str">
        <f t="shared" si="3"/>
        <v>MODERATE</v>
      </c>
      <c r="H31">
        <v>1</v>
      </c>
      <c r="I31">
        <v>1</v>
      </c>
      <c r="J31">
        <v>1</v>
      </c>
      <c r="K31" t="s">
        <v>16</v>
      </c>
      <c r="L31" t="s">
        <v>16</v>
      </c>
      <c r="M31" t="s">
        <v>46</v>
      </c>
      <c r="N31">
        <v>2</v>
      </c>
    </row>
    <row r="32" ht="68" spans="1:14">
      <c r="A32" s="1" t="s">
        <v>50</v>
      </c>
      <c r="B32" t="s">
        <v>15</v>
      </c>
      <c r="C32" t="str">
        <f t="shared" si="0"/>
        <v>OS</v>
      </c>
      <c r="D32">
        <v>5</v>
      </c>
      <c r="E32" t="str">
        <f t="shared" si="1"/>
        <v>Consistent</v>
      </c>
      <c r="F32" t="str">
        <f t="shared" si="2"/>
        <v>Low</v>
      </c>
      <c r="G32" t="str">
        <f t="shared" si="3"/>
        <v>MODERATE</v>
      </c>
      <c r="H32">
        <v>1</v>
      </c>
      <c r="I32">
        <v>1</v>
      </c>
      <c r="J32">
        <v>1</v>
      </c>
      <c r="K32" t="s">
        <v>16</v>
      </c>
      <c r="L32" t="s">
        <v>16</v>
      </c>
      <c r="M32" t="s">
        <v>46</v>
      </c>
      <c r="N32">
        <v>2</v>
      </c>
    </row>
    <row r="33" ht="51" spans="1:14">
      <c r="A33" s="1" t="s">
        <v>51</v>
      </c>
      <c r="B33" t="s">
        <v>15</v>
      </c>
      <c r="C33" t="str">
        <f t="shared" si="0"/>
        <v>OS</v>
      </c>
      <c r="D33">
        <v>5</v>
      </c>
      <c r="E33" t="str">
        <f t="shared" si="1"/>
        <v>Consistent</v>
      </c>
      <c r="F33" t="str">
        <f t="shared" si="2"/>
        <v>Low</v>
      </c>
      <c r="G33" t="str">
        <f t="shared" si="3"/>
        <v>MODERATE</v>
      </c>
      <c r="H33">
        <v>0</v>
      </c>
      <c r="I33">
        <v>1</v>
      </c>
      <c r="J33">
        <v>0</v>
      </c>
      <c r="K33">
        <v>1</v>
      </c>
      <c r="L33" t="s">
        <v>16</v>
      </c>
      <c r="M33" t="s">
        <v>46</v>
      </c>
      <c r="N33">
        <v>2</v>
      </c>
    </row>
    <row r="34" ht="34" spans="1:14">
      <c r="A34" s="1" t="s">
        <v>52</v>
      </c>
      <c r="B34" t="s">
        <v>15</v>
      </c>
      <c r="C34" t="str">
        <f t="shared" si="0"/>
        <v>OS</v>
      </c>
      <c r="D34">
        <v>5</v>
      </c>
      <c r="E34" t="str">
        <f t="shared" si="1"/>
        <v>Consistent</v>
      </c>
      <c r="F34" t="str">
        <f t="shared" si="2"/>
        <v>Low</v>
      </c>
      <c r="G34" t="str">
        <f t="shared" si="3"/>
        <v>MODERATE</v>
      </c>
      <c r="H34">
        <v>0</v>
      </c>
      <c r="I34">
        <v>1</v>
      </c>
      <c r="J34">
        <v>0</v>
      </c>
      <c r="K34" t="s">
        <v>16</v>
      </c>
      <c r="L34" t="s">
        <v>16</v>
      </c>
      <c r="M34" t="s">
        <v>46</v>
      </c>
      <c r="N34">
        <v>2</v>
      </c>
    </row>
    <row r="35" ht="34" spans="1:14">
      <c r="A35" s="1" t="s">
        <v>53</v>
      </c>
      <c r="B35" t="s">
        <v>15</v>
      </c>
      <c r="C35" t="str">
        <f t="shared" si="0"/>
        <v>OS</v>
      </c>
      <c r="D35">
        <v>5</v>
      </c>
      <c r="E35" t="str">
        <f t="shared" si="1"/>
        <v>Consistent</v>
      </c>
      <c r="F35" t="str">
        <f t="shared" si="2"/>
        <v>Low</v>
      </c>
      <c r="G35" t="str">
        <f t="shared" si="3"/>
        <v>MODERATE</v>
      </c>
      <c r="H35">
        <v>0</v>
      </c>
      <c r="I35">
        <v>1</v>
      </c>
      <c r="J35">
        <v>0</v>
      </c>
      <c r="K35" t="s">
        <v>16</v>
      </c>
      <c r="L35" t="s">
        <v>16</v>
      </c>
      <c r="M35" t="s">
        <v>46</v>
      </c>
      <c r="N35">
        <v>2</v>
      </c>
    </row>
    <row r="36" ht="34" spans="1:14">
      <c r="A36" s="1" t="s">
        <v>54</v>
      </c>
      <c r="B36" t="s">
        <v>15</v>
      </c>
      <c r="C36" t="str">
        <f t="shared" si="0"/>
        <v>OS</v>
      </c>
      <c r="D36">
        <v>5</v>
      </c>
      <c r="E36" t="str">
        <f t="shared" si="1"/>
        <v>Consistent</v>
      </c>
      <c r="F36" t="str">
        <f t="shared" si="2"/>
        <v>Low</v>
      </c>
      <c r="G36" t="str">
        <f t="shared" si="3"/>
        <v>MODERATE</v>
      </c>
      <c r="H36">
        <v>0</v>
      </c>
      <c r="I36">
        <v>1</v>
      </c>
      <c r="J36">
        <v>1</v>
      </c>
      <c r="K36" t="s">
        <v>16</v>
      </c>
      <c r="L36" t="s">
        <v>16</v>
      </c>
      <c r="M36" t="s">
        <v>46</v>
      </c>
      <c r="N36">
        <v>2</v>
      </c>
    </row>
    <row r="37" ht="51" spans="1:14">
      <c r="A37" s="1" t="s">
        <v>55</v>
      </c>
      <c r="B37" t="s">
        <v>15</v>
      </c>
      <c r="C37" t="str">
        <f t="shared" si="0"/>
        <v>OS</v>
      </c>
      <c r="D37">
        <v>5</v>
      </c>
      <c r="E37" t="str">
        <f t="shared" si="1"/>
        <v>Consistent</v>
      </c>
      <c r="F37" t="str">
        <f t="shared" si="2"/>
        <v>Low</v>
      </c>
      <c r="G37" t="str">
        <f t="shared" si="3"/>
        <v>MODERATE</v>
      </c>
      <c r="H37">
        <v>0</v>
      </c>
      <c r="I37">
        <v>1</v>
      </c>
      <c r="J37">
        <v>0</v>
      </c>
      <c r="K37" t="s">
        <v>16</v>
      </c>
      <c r="L37" t="s">
        <v>16</v>
      </c>
      <c r="M37" t="s">
        <v>46</v>
      </c>
      <c r="N37">
        <v>2</v>
      </c>
    </row>
    <row r="38" ht="34" spans="1:14">
      <c r="A38" s="1" t="s">
        <v>56</v>
      </c>
      <c r="B38" t="s">
        <v>27</v>
      </c>
      <c r="C38" t="str">
        <f t="shared" si="0"/>
        <v>TS</v>
      </c>
      <c r="D38">
        <v>5</v>
      </c>
      <c r="E38" t="str">
        <f t="shared" si="1"/>
        <v>Inconsistent</v>
      </c>
      <c r="F38" t="str">
        <f t="shared" si="2"/>
        <v>High</v>
      </c>
      <c r="G38" t="str">
        <f t="shared" si="3"/>
        <v>LOW</v>
      </c>
      <c r="H38">
        <v>1</v>
      </c>
      <c r="I38">
        <v>0</v>
      </c>
      <c r="J38">
        <v>1</v>
      </c>
      <c r="K38" t="s">
        <v>16</v>
      </c>
      <c r="L38" t="s">
        <v>16</v>
      </c>
      <c r="M38" t="s">
        <v>46</v>
      </c>
      <c r="N38">
        <v>2</v>
      </c>
    </row>
    <row r="39" ht="34" spans="1:14">
      <c r="A39" s="1" t="s">
        <v>57</v>
      </c>
      <c r="B39" t="s">
        <v>15</v>
      </c>
      <c r="C39" t="str">
        <f t="shared" si="0"/>
        <v>OS</v>
      </c>
      <c r="D39">
        <v>5</v>
      </c>
      <c r="E39" t="str">
        <f t="shared" si="1"/>
        <v>Consistent</v>
      </c>
      <c r="F39" t="str">
        <f t="shared" si="2"/>
        <v>Low</v>
      </c>
      <c r="G39" t="str">
        <f t="shared" si="3"/>
        <v>MODERATE</v>
      </c>
      <c r="H39">
        <v>0</v>
      </c>
      <c r="I39">
        <v>1</v>
      </c>
      <c r="J39">
        <v>0</v>
      </c>
      <c r="K39" t="s">
        <v>16</v>
      </c>
      <c r="L39" t="s">
        <v>16</v>
      </c>
      <c r="M39" t="s">
        <v>46</v>
      </c>
      <c r="N39">
        <v>2</v>
      </c>
    </row>
    <row r="40" ht="34" spans="1:14">
      <c r="A40" s="1" t="s">
        <v>58</v>
      </c>
      <c r="B40" t="s">
        <v>15</v>
      </c>
      <c r="C40" t="str">
        <f t="shared" si="0"/>
        <v>OS</v>
      </c>
      <c r="D40">
        <v>5</v>
      </c>
      <c r="E40" t="str">
        <f t="shared" si="1"/>
        <v>Consistent</v>
      </c>
      <c r="F40" t="str">
        <f t="shared" si="2"/>
        <v>Low</v>
      </c>
      <c r="G40" t="str">
        <f t="shared" si="3"/>
        <v>MODERATE</v>
      </c>
      <c r="H40">
        <v>0</v>
      </c>
      <c r="I40">
        <v>0</v>
      </c>
      <c r="J40">
        <v>1</v>
      </c>
      <c r="K40" t="s">
        <v>16</v>
      </c>
      <c r="L40" t="s">
        <v>16</v>
      </c>
      <c r="M40" t="s">
        <v>46</v>
      </c>
      <c r="N40">
        <v>2</v>
      </c>
    </row>
    <row r="41" ht="34" spans="1:14">
      <c r="A41" s="1" t="s">
        <v>59</v>
      </c>
      <c r="B41" t="s">
        <v>15</v>
      </c>
      <c r="C41" t="str">
        <f t="shared" si="0"/>
        <v>OS</v>
      </c>
      <c r="D41">
        <v>5</v>
      </c>
      <c r="E41" t="str">
        <f t="shared" si="1"/>
        <v>Consistent</v>
      </c>
      <c r="F41" t="str">
        <f t="shared" si="2"/>
        <v>Low</v>
      </c>
      <c r="G41" t="str">
        <f t="shared" si="3"/>
        <v>MODERATE</v>
      </c>
      <c r="H41">
        <v>0</v>
      </c>
      <c r="I41">
        <v>1</v>
      </c>
      <c r="J41">
        <v>0</v>
      </c>
      <c r="K41" t="s">
        <v>16</v>
      </c>
      <c r="L41" t="s">
        <v>16</v>
      </c>
      <c r="M41" t="s">
        <v>46</v>
      </c>
      <c r="N41">
        <v>2</v>
      </c>
    </row>
    <row r="42" ht="34" spans="1:14">
      <c r="A42" s="1" t="s">
        <v>60</v>
      </c>
      <c r="B42" t="s">
        <v>15</v>
      </c>
      <c r="C42" t="str">
        <f t="shared" si="0"/>
        <v>OS</v>
      </c>
      <c r="D42">
        <v>5</v>
      </c>
      <c r="E42" t="str">
        <f t="shared" si="1"/>
        <v>Consistent</v>
      </c>
      <c r="F42" t="str">
        <f t="shared" si="2"/>
        <v>Low</v>
      </c>
      <c r="G42" t="str">
        <f t="shared" si="3"/>
        <v>MODERATE</v>
      </c>
      <c r="H42">
        <v>0</v>
      </c>
      <c r="I42">
        <v>1</v>
      </c>
      <c r="J42">
        <v>1</v>
      </c>
      <c r="K42" t="s">
        <v>16</v>
      </c>
      <c r="L42" t="s">
        <v>16</v>
      </c>
      <c r="M42" t="s">
        <v>46</v>
      </c>
      <c r="N42">
        <v>2</v>
      </c>
    </row>
    <row r="43" ht="34" spans="1:14">
      <c r="A43" s="1" t="s">
        <v>61</v>
      </c>
      <c r="B43" t="s">
        <v>15</v>
      </c>
      <c r="C43" t="str">
        <f t="shared" si="0"/>
        <v>OS</v>
      </c>
      <c r="D43">
        <v>5</v>
      </c>
      <c r="E43" t="str">
        <f t="shared" si="1"/>
        <v>Consistent</v>
      </c>
      <c r="F43" t="str">
        <f t="shared" si="2"/>
        <v>Low</v>
      </c>
      <c r="G43" t="str">
        <f t="shared" si="3"/>
        <v>MODERATE</v>
      </c>
      <c r="H43">
        <v>0</v>
      </c>
      <c r="I43">
        <v>1</v>
      </c>
      <c r="J43">
        <v>1</v>
      </c>
      <c r="K43" t="s">
        <v>16</v>
      </c>
      <c r="L43" t="s">
        <v>16</v>
      </c>
      <c r="M43" t="s">
        <v>46</v>
      </c>
      <c r="N43">
        <v>2</v>
      </c>
    </row>
    <row r="44" ht="51" spans="1:14">
      <c r="A44" s="1" t="s">
        <v>62</v>
      </c>
      <c r="B44" t="s">
        <v>15</v>
      </c>
      <c r="C44" t="str">
        <f t="shared" si="0"/>
        <v>OS</v>
      </c>
      <c r="D44">
        <v>5</v>
      </c>
      <c r="E44" t="str">
        <f t="shared" si="1"/>
        <v>Consistent</v>
      </c>
      <c r="F44" t="str">
        <f t="shared" si="2"/>
        <v>Low</v>
      </c>
      <c r="G44" t="str">
        <f t="shared" si="3"/>
        <v>MODERATE</v>
      </c>
      <c r="H44">
        <v>0</v>
      </c>
      <c r="I44">
        <v>1</v>
      </c>
      <c r="J44">
        <v>0</v>
      </c>
      <c r="K44" t="s">
        <v>16</v>
      </c>
      <c r="L44" t="s">
        <v>16</v>
      </c>
      <c r="M44" t="s">
        <v>46</v>
      </c>
      <c r="N44">
        <v>2</v>
      </c>
    </row>
    <row r="45" ht="34" spans="1:14">
      <c r="A45" s="1" t="s">
        <v>63</v>
      </c>
      <c r="B45" t="s">
        <v>27</v>
      </c>
      <c r="C45" t="str">
        <f t="shared" si="0"/>
        <v>TS</v>
      </c>
      <c r="D45">
        <v>5</v>
      </c>
      <c r="E45" t="str">
        <f t="shared" si="1"/>
        <v>Inconsistent</v>
      </c>
      <c r="F45" t="s">
        <v>20</v>
      </c>
      <c r="G45" t="str">
        <f t="shared" si="3"/>
        <v>LOW</v>
      </c>
      <c r="H45">
        <v>1</v>
      </c>
      <c r="I45">
        <v>0</v>
      </c>
      <c r="J45">
        <v>1</v>
      </c>
      <c r="K45">
        <v>1</v>
      </c>
      <c r="L45" t="s">
        <v>16</v>
      </c>
      <c r="M45" t="s">
        <v>46</v>
      </c>
      <c r="N45">
        <v>2</v>
      </c>
    </row>
    <row r="46" ht="34" spans="1:14">
      <c r="A46" s="1" t="s">
        <v>64</v>
      </c>
      <c r="B46" t="s">
        <v>15</v>
      </c>
      <c r="C46" t="str">
        <f t="shared" si="0"/>
        <v>OS</v>
      </c>
      <c r="D46">
        <v>5</v>
      </c>
      <c r="E46" t="str">
        <f t="shared" si="1"/>
        <v>Consistent</v>
      </c>
      <c r="F46" t="str">
        <f t="shared" si="2"/>
        <v>Low</v>
      </c>
      <c r="G46" t="str">
        <f t="shared" si="3"/>
        <v>MODERATE</v>
      </c>
      <c r="H46">
        <v>0</v>
      </c>
      <c r="I46">
        <v>0</v>
      </c>
      <c r="J46">
        <v>1</v>
      </c>
      <c r="K46" t="s">
        <v>16</v>
      </c>
      <c r="L46" t="s">
        <v>16</v>
      </c>
      <c r="M46" t="s">
        <v>46</v>
      </c>
      <c r="N46">
        <v>2</v>
      </c>
    </row>
    <row r="47" ht="34" spans="1:14">
      <c r="A47" s="1" t="s">
        <v>65</v>
      </c>
      <c r="B47" t="s">
        <v>15</v>
      </c>
      <c r="C47" t="str">
        <f t="shared" si="0"/>
        <v>OS</v>
      </c>
      <c r="D47">
        <v>5</v>
      </c>
      <c r="E47" t="str">
        <f t="shared" si="1"/>
        <v>Consistent</v>
      </c>
      <c r="F47" t="str">
        <f t="shared" si="2"/>
        <v>Low</v>
      </c>
      <c r="G47" t="str">
        <f t="shared" si="3"/>
        <v>MODERATE</v>
      </c>
      <c r="H47">
        <v>1</v>
      </c>
      <c r="I47">
        <v>0</v>
      </c>
      <c r="J47">
        <v>1</v>
      </c>
      <c r="K47" t="s">
        <v>16</v>
      </c>
      <c r="L47" t="s">
        <v>16</v>
      </c>
      <c r="M47" t="s">
        <v>46</v>
      </c>
      <c r="N47">
        <v>2</v>
      </c>
    </row>
    <row r="48" ht="17" spans="1:14">
      <c r="A48" s="1" t="s">
        <v>66</v>
      </c>
      <c r="B48" t="s">
        <v>15</v>
      </c>
      <c r="C48" t="str">
        <f t="shared" si="0"/>
        <v>OS</v>
      </c>
      <c r="D48">
        <v>4</v>
      </c>
      <c r="E48" t="str">
        <f t="shared" si="1"/>
        <v>Partially Consistent</v>
      </c>
      <c r="F48" t="str">
        <f t="shared" si="2"/>
        <v>Low</v>
      </c>
      <c r="G48" t="str">
        <f t="shared" si="3"/>
        <v>MODERATE</v>
      </c>
      <c r="H48">
        <v>1</v>
      </c>
      <c r="I48">
        <v>0</v>
      </c>
      <c r="J48">
        <v>1</v>
      </c>
      <c r="K48" t="s">
        <v>16</v>
      </c>
      <c r="L48" t="s">
        <v>16</v>
      </c>
      <c r="M48" t="s">
        <v>46</v>
      </c>
      <c r="N48">
        <v>2</v>
      </c>
    </row>
    <row r="49" ht="34" spans="1:14">
      <c r="A49" s="1" t="s">
        <v>67</v>
      </c>
      <c r="B49" t="s">
        <v>15</v>
      </c>
      <c r="C49" t="str">
        <f t="shared" si="0"/>
        <v>OS</v>
      </c>
      <c r="D49">
        <v>4</v>
      </c>
      <c r="E49" t="str">
        <f t="shared" si="1"/>
        <v>Partially Consistent</v>
      </c>
      <c r="F49" t="str">
        <f t="shared" si="2"/>
        <v>Low</v>
      </c>
      <c r="G49" t="str">
        <f t="shared" si="3"/>
        <v>MODERATE</v>
      </c>
      <c r="H49">
        <v>0</v>
      </c>
      <c r="I49">
        <v>0</v>
      </c>
      <c r="J49">
        <v>1</v>
      </c>
      <c r="K49" t="s">
        <v>16</v>
      </c>
      <c r="L49" t="s">
        <v>16</v>
      </c>
      <c r="M49" t="s">
        <v>46</v>
      </c>
      <c r="N49">
        <v>2</v>
      </c>
    </row>
    <row r="50" ht="17" spans="1:14">
      <c r="A50" s="1" t="s">
        <v>68</v>
      </c>
      <c r="B50" t="s">
        <v>35</v>
      </c>
      <c r="C50" t="str">
        <f t="shared" si="0"/>
        <v>OS</v>
      </c>
      <c r="D50">
        <v>4</v>
      </c>
      <c r="E50" t="str">
        <f t="shared" si="1"/>
        <v>Inconsistent</v>
      </c>
      <c r="F50" t="str">
        <f t="shared" si="2"/>
        <v>Low</v>
      </c>
      <c r="G50" t="str">
        <f t="shared" si="3"/>
        <v>LOW</v>
      </c>
      <c r="H50">
        <v>0</v>
      </c>
      <c r="I50">
        <v>0</v>
      </c>
      <c r="J50">
        <v>1</v>
      </c>
      <c r="K50" t="s">
        <v>16</v>
      </c>
      <c r="L50" t="s">
        <v>16</v>
      </c>
      <c r="M50" t="s">
        <v>46</v>
      </c>
      <c r="N50">
        <v>2</v>
      </c>
    </row>
    <row r="51" ht="17" spans="1:14">
      <c r="A51" s="1" t="s">
        <v>69</v>
      </c>
      <c r="B51" t="s">
        <v>35</v>
      </c>
      <c r="C51" t="str">
        <f t="shared" si="0"/>
        <v>OS</v>
      </c>
      <c r="D51">
        <v>2</v>
      </c>
      <c r="E51" t="str">
        <f t="shared" si="1"/>
        <v>Partially Consistent</v>
      </c>
      <c r="F51" t="str">
        <f t="shared" si="2"/>
        <v>Low</v>
      </c>
      <c r="G51" t="str">
        <f t="shared" si="3"/>
        <v>MODERATE</v>
      </c>
      <c r="H51">
        <v>0</v>
      </c>
      <c r="I51">
        <v>0</v>
      </c>
      <c r="J51">
        <v>1</v>
      </c>
      <c r="K51" t="s">
        <v>16</v>
      </c>
      <c r="L51" t="s">
        <v>16</v>
      </c>
      <c r="M51" t="s">
        <v>46</v>
      </c>
      <c r="N51">
        <v>2</v>
      </c>
    </row>
    <row r="52" ht="17" spans="1:14">
      <c r="A52" s="1" t="s">
        <v>70</v>
      </c>
      <c r="B52" t="s">
        <v>35</v>
      </c>
      <c r="C52" t="str">
        <f t="shared" si="0"/>
        <v>OS</v>
      </c>
      <c r="D52">
        <v>2</v>
      </c>
      <c r="E52" t="str">
        <f t="shared" si="1"/>
        <v>Partially Consistent</v>
      </c>
      <c r="F52" t="str">
        <f t="shared" si="2"/>
        <v>Low</v>
      </c>
      <c r="G52" t="str">
        <f t="shared" si="3"/>
        <v>MODERATE</v>
      </c>
      <c r="H52">
        <v>0</v>
      </c>
      <c r="I52">
        <v>0</v>
      </c>
      <c r="J52">
        <v>1</v>
      </c>
      <c r="K52" t="s">
        <v>16</v>
      </c>
      <c r="L52" t="s">
        <v>16</v>
      </c>
      <c r="M52" t="s">
        <v>46</v>
      </c>
      <c r="N52">
        <v>2</v>
      </c>
    </row>
    <row r="53" ht="34" spans="1:14">
      <c r="A53" s="1" t="s">
        <v>71</v>
      </c>
      <c r="B53" t="s">
        <v>27</v>
      </c>
      <c r="C53" t="str">
        <f t="shared" si="0"/>
        <v>TS</v>
      </c>
      <c r="D53">
        <v>2</v>
      </c>
      <c r="E53" t="str">
        <f t="shared" si="1"/>
        <v>Partially Consistent</v>
      </c>
      <c r="F53" t="str">
        <f t="shared" si="2"/>
        <v>High</v>
      </c>
      <c r="G53" t="str">
        <f t="shared" si="3"/>
        <v>MODERATE</v>
      </c>
      <c r="H53">
        <v>0</v>
      </c>
      <c r="I53">
        <v>0</v>
      </c>
      <c r="J53">
        <v>1</v>
      </c>
      <c r="K53" t="s">
        <v>16</v>
      </c>
      <c r="L53" t="s">
        <v>16</v>
      </c>
      <c r="M53" t="s">
        <v>46</v>
      </c>
      <c r="N53">
        <v>2</v>
      </c>
    </row>
    <row r="54" ht="34" spans="1:14">
      <c r="A54" s="1" t="s">
        <v>72</v>
      </c>
      <c r="B54" t="s">
        <v>35</v>
      </c>
      <c r="C54" t="str">
        <f t="shared" si="0"/>
        <v>OS</v>
      </c>
      <c r="D54">
        <v>1</v>
      </c>
      <c r="E54" t="str">
        <f t="shared" si="1"/>
        <v>Consistent</v>
      </c>
      <c r="F54" t="str">
        <f t="shared" si="2"/>
        <v>Low</v>
      </c>
      <c r="G54" t="str">
        <f t="shared" si="3"/>
        <v>MODERATE</v>
      </c>
      <c r="H54">
        <v>0</v>
      </c>
      <c r="I54">
        <v>0</v>
      </c>
      <c r="J54">
        <v>1</v>
      </c>
      <c r="K54" t="s">
        <v>16</v>
      </c>
      <c r="L54" t="s">
        <v>16</v>
      </c>
      <c r="M54" t="s">
        <v>46</v>
      </c>
      <c r="N54">
        <v>2</v>
      </c>
    </row>
    <row r="55" ht="51" spans="1:14">
      <c r="A55" s="1" t="s">
        <v>73</v>
      </c>
      <c r="B55" t="s">
        <v>35</v>
      </c>
      <c r="C55" t="str">
        <f t="shared" si="0"/>
        <v>OS</v>
      </c>
      <c r="D55">
        <v>1</v>
      </c>
      <c r="E55" t="str">
        <f t="shared" si="1"/>
        <v>Consistent</v>
      </c>
      <c r="F55" t="str">
        <f t="shared" si="2"/>
        <v>Low</v>
      </c>
      <c r="G55" t="str">
        <f t="shared" si="3"/>
        <v>MODERATE</v>
      </c>
      <c r="H55">
        <v>0</v>
      </c>
      <c r="I55">
        <v>0</v>
      </c>
      <c r="J55">
        <v>1</v>
      </c>
      <c r="K55" t="s">
        <v>16</v>
      </c>
      <c r="L55" t="s">
        <v>16</v>
      </c>
      <c r="M55" t="s">
        <v>46</v>
      </c>
      <c r="N55">
        <v>2</v>
      </c>
    </row>
    <row r="56" ht="34" spans="1:14">
      <c r="A56" s="1" t="s">
        <v>74</v>
      </c>
      <c r="B56" t="s">
        <v>35</v>
      </c>
      <c r="C56" t="str">
        <f t="shared" si="0"/>
        <v>OS</v>
      </c>
      <c r="D56">
        <v>1</v>
      </c>
      <c r="E56" t="str">
        <f t="shared" si="1"/>
        <v>Consistent</v>
      </c>
      <c r="F56" t="str">
        <f t="shared" si="2"/>
        <v>Low</v>
      </c>
      <c r="G56" t="str">
        <f t="shared" si="3"/>
        <v>MODERATE</v>
      </c>
      <c r="H56">
        <v>0</v>
      </c>
      <c r="I56">
        <v>0</v>
      </c>
      <c r="J56">
        <v>1</v>
      </c>
      <c r="K56" t="s">
        <v>16</v>
      </c>
      <c r="L56" t="s">
        <v>16</v>
      </c>
      <c r="M56" t="s">
        <v>46</v>
      </c>
      <c r="N56">
        <v>2</v>
      </c>
    </row>
    <row r="57" ht="34" spans="1:14">
      <c r="A57" s="1" t="s">
        <v>75</v>
      </c>
      <c r="B57" t="s">
        <v>35</v>
      </c>
      <c r="C57" t="str">
        <f t="shared" si="0"/>
        <v>OS</v>
      </c>
      <c r="D57">
        <v>1</v>
      </c>
      <c r="E57" t="str">
        <f t="shared" si="1"/>
        <v>Consistent</v>
      </c>
      <c r="F57" t="str">
        <f t="shared" si="2"/>
        <v>Low</v>
      </c>
      <c r="G57" t="str">
        <f t="shared" si="3"/>
        <v>MODERATE</v>
      </c>
      <c r="H57">
        <v>0</v>
      </c>
      <c r="I57">
        <v>0</v>
      </c>
      <c r="J57">
        <v>1</v>
      </c>
      <c r="K57" t="s">
        <v>16</v>
      </c>
      <c r="L57" t="s">
        <v>16</v>
      </c>
      <c r="M57" t="s">
        <v>46</v>
      </c>
      <c r="N57">
        <v>2</v>
      </c>
    </row>
    <row r="58" ht="51" spans="1:14">
      <c r="A58" s="1" t="s">
        <v>76</v>
      </c>
      <c r="B58" t="s">
        <v>35</v>
      </c>
      <c r="C58" t="str">
        <f t="shared" si="0"/>
        <v>OS</v>
      </c>
      <c r="D58">
        <v>1</v>
      </c>
      <c r="E58" t="str">
        <f t="shared" si="1"/>
        <v>Consistent</v>
      </c>
      <c r="F58" t="str">
        <f t="shared" si="2"/>
        <v>Low</v>
      </c>
      <c r="G58" t="str">
        <f t="shared" si="3"/>
        <v>MODERATE</v>
      </c>
      <c r="H58">
        <v>0</v>
      </c>
      <c r="I58">
        <v>0</v>
      </c>
      <c r="J58">
        <v>1</v>
      </c>
      <c r="K58" t="s">
        <v>16</v>
      </c>
      <c r="L58" t="s">
        <v>16</v>
      </c>
      <c r="M58" t="s">
        <v>46</v>
      </c>
      <c r="N58">
        <v>2</v>
      </c>
    </row>
    <row r="59" ht="68" spans="1:14">
      <c r="A59" s="1" t="s">
        <v>77</v>
      </c>
      <c r="B59" t="s">
        <v>27</v>
      </c>
      <c r="C59" t="str">
        <f t="shared" si="0"/>
        <v>TS</v>
      </c>
      <c r="D59">
        <v>1</v>
      </c>
      <c r="E59" t="str">
        <f t="shared" si="1"/>
        <v>Inconsistent</v>
      </c>
      <c r="F59" t="str">
        <f t="shared" si="2"/>
        <v>High</v>
      </c>
      <c r="G59" t="str">
        <f t="shared" si="3"/>
        <v>LOW</v>
      </c>
      <c r="H59">
        <v>0</v>
      </c>
      <c r="I59">
        <v>0</v>
      </c>
      <c r="J59">
        <v>1</v>
      </c>
      <c r="K59" t="s">
        <v>16</v>
      </c>
      <c r="L59" t="s">
        <v>16</v>
      </c>
      <c r="M59" t="s">
        <v>46</v>
      </c>
      <c r="N59">
        <v>2</v>
      </c>
    </row>
    <row r="60" ht="17" spans="1:14">
      <c r="A60" s="1" t="s">
        <v>78</v>
      </c>
      <c r="B60" t="s">
        <v>35</v>
      </c>
      <c r="C60" t="str">
        <f t="shared" si="0"/>
        <v>OS</v>
      </c>
      <c r="D60">
        <v>1</v>
      </c>
      <c r="E60" t="str">
        <f t="shared" si="1"/>
        <v>Consistent</v>
      </c>
      <c r="F60" t="str">
        <f t="shared" si="2"/>
        <v>Low</v>
      </c>
      <c r="G60" t="str">
        <f t="shared" si="3"/>
        <v>MODERATE</v>
      </c>
      <c r="H60">
        <v>0</v>
      </c>
      <c r="I60">
        <v>0</v>
      </c>
      <c r="J60">
        <v>1</v>
      </c>
      <c r="K60" t="s">
        <v>16</v>
      </c>
      <c r="L60" t="s">
        <v>16</v>
      </c>
      <c r="M60" t="s">
        <v>46</v>
      </c>
      <c r="N60">
        <v>2</v>
      </c>
    </row>
    <row r="61" ht="17" spans="1:14">
      <c r="A61" s="1" t="s">
        <v>79</v>
      </c>
      <c r="B61" t="s">
        <v>35</v>
      </c>
      <c r="C61" t="str">
        <f t="shared" si="0"/>
        <v>OS</v>
      </c>
      <c r="D61">
        <v>1</v>
      </c>
      <c r="E61" t="str">
        <f t="shared" si="1"/>
        <v>Consistent</v>
      </c>
      <c r="F61" t="str">
        <f t="shared" si="2"/>
        <v>Low</v>
      </c>
      <c r="G61" t="str">
        <f t="shared" si="3"/>
        <v>MODERATE</v>
      </c>
      <c r="H61">
        <v>0</v>
      </c>
      <c r="I61">
        <v>0</v>
      </c>
      <c r="J61">
        <v>1</v>
      </c>
      <c r="K61" t="s">
        <v>16</v>
      </c>
      <c r="L61" t="s">
        <v>16</v>
      </c>
      <c r="M61" t="s">
        <v>46</v>
      </c>
      <c r="N61">
        <v>2</v>
      </c>
    </row>
    <row r="62" ht="84" spans="1:14">
      <c r="A62" s="1" t="s">
        <v>80</v>
      </c>
      <c r="B62" t="s">
        <v>35</v>
      </c>
      <c r="C62" t="str">
        <f t="shared" si="0"/>
        <v>OS</v>
      </c>
      <c r="D62">
        <v>1</v>
      </c>
      <c r="E62" t="str">
        <f t="shared" si="1"/>
        <v>Consistent</v>
      </c>
      <c r="F62" t="str">
        <f t="shared" si="2"/>
        <v>Low</v>
      </c>
      <c r="G62" t="str">
        <f t="shared" si="3"/>
        <v>MODERATE</v>
      </c>
      <c r="H62">
        <v>0</v>
      </c>
      <c r="I62">
        <v>0</v>
      </c>
      <c r="J62">
        <v>1</v>
      </c>
      <c r="K62" t="s">
        <v>16</v>
      </c>
      <c r="L62" t="s">
        <v>16</v>
      </c>
      <c r="M62" t="s">
        <v>46</v>
      </c>
      <c r="N62">
        <v>2</v>
      </c>
    </row>
    <row r="63" ht="68" spans="1:14">
      <c r="A63" s="1" t="s">
        <v>81</v>
      </c>
      <c r="B63" t="s">
        <v>35</v>
      </c>
      <c r="C63" t="str">
        <f t="shared" si="0"/>
        <v>OS</v>
      </c>
      <c r="D63">
        <v>1</v>
      </c>
      <c r="E63" t="str">
        <f t="shared" si="1"/>
        <v>Consistent</v>
      </c>
      <c r="F63" t="str">
        <f t="shared" si="2"/>
        <v>Low</v>
      </c>
      <c r="G63" t="str">
        <f t="shared" si="3"/>
        <v>MODERATE</v>
      </c>
      <c r="H63">
        <v>0</v>
      </c>
      <c r="I63">
        <v>0</v>
      </c>
      <c r="J63">
        <v>1</v>
      </c>
      <c r="K63" t="s">
        <v>16</v>
      </c>
      <c r="L63" t="s">
        <v>16</v>
      </c>
      <c r="M63" t="s">
        <v>46</v>
      </c>
      <c r="N63">
        <v>2</v>
      </c>
    </row>
    <row r="64" ht="34" spans="1:14">
      <c r="A64" s="1" t="s">
        <v>72</v>
      </c>
      <c r="B64" t="s">
        <v>35</v>
      </c>
      <c r="C64" t="str">
        <f t="shared" si="0"/>
        <v>OS</v>
      </c>
      <c r="D64">
        <v>1</v>
      </c>
      <c r="E64" t="str">
        <f t="shared" si="1"/>
        <v>Consistent</v>
      </c>
      <c r="F64" t="str">
        <f t="shared" si="2"/>
        <v>Low</v>
      </c>
      <c r="G64" t="str">
        <f t="shared" si="3"/>
        <v>MODERATE</v>
      </c>
      <c r="H64">
        <v>0</v>
      </c>
      <c r="I64">
        <v>0</v>
      </c>
      <c r="J64">
        <v>1</v>
      </c>
      <c r="K64" t="s">
        <v>16</v>
      </c>
      <c r="L64" t="s">
        <v>16</v>
      </c>
      <c r="M64" t="s">
        <v>46</v>
      </c>
      <c r="N64">
        <v>2</v>
      </c>
    </row>
    <row r="65" ht="51" spans="1:14">
      <c r="A65" s="1" t="s">
        <v>73</v>
      </c>
      <c r="B65" t="s">
        <v>35</v>
      </c>
      <c r="C65" t="str">
        <f t="shared" si="0"/>
        <v>OS</v>
      </c>
      <c r="D65">
        <v>1</v>
      </c>
      <c r="E65" t="str">
        <f t="shared" si="1"/>
        <v>Consistent</v>
      </c>
      <c r="F65" t="str">
        <f t="shared" si="2"/>
        <v>Low</v>
      </c>
      <c r="G65" t="str">
        <f t="shared" si="3"/>
        <v>MODERATE</v>
      </c>
      <c r="H65">
        <v>0</v>
      </c>
      <c r="I65">
        <v>0</v>
      </c>
      <c r="J65">
        <v>1</v>
      </c>
      <c r="K65" t="s">
        <v>16</v>
      </c>
      <c r="L65" t="s">
        <v>16</v>
      </c>
      <c r="M65" t="s">
        <v>46</v>
      </c>
      <c r="N65">
        <v>2</v>
      </c>
    </row>
    <row r="66" ht="34" spans="1:14">
      <c r="A66" s="1" t="s">
        <v>74</v>
      </c>
      <c r="B66" t="s">
        <v>35</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v>0</v>
      </c>
      <c r="I66">
        <v>0</v>
      </c>
      <c r="J66">
        <v>1</v>
      </c>
      <c r="K66" t="s">
        <v>16</v>
      </c>
      <c r="L66" t="s">
        <v>16</v>
      </c>
      <c r="M66" t="s">
        <v>46</v>
      </c>
      <c r="N66">
        <v>2</v>
      </c>
    </row>
    <row r="67" ht="34" spans="1:14">
      <c r="A67" s="1" t="s">
        <v>75</v>
      </c>
      <c r="B67" t="s">
        <v>35</v>
      </c>
      <c r="C67" t="str">
        <f t="shared" si="4"/>
        <v>OS</v>
      </c>
      <c r="D67">
        <v>1</v>
      </c>
      <c r="E67" t="str">
        <f t="shared" si="5"/>
        <v>Consistent</v>
      </c>
      <c r="F67" t="str">
        <f t="shared" si="6"/>
        <v>Low</v>
      </c>
      <c r="G67" t="str">
        <f t="shared" si="7"/>
        <v>MODERATE</v>
      </c>
      <c r="H67">
        <v>0</v>
      </c>
      <c r="I67">
        <v>0</v>
      </c>
      <c r="J67">
        <v>1</v>
      </c>
      <c r="K67" t="s">
        <v>16</v>
      </c>
      <c r="L67" t="s">
        <v>16</v>
      </c>
      <c r="M67" t="s">
        <v>46</v>
      </c>
      <c r="N67">
        <v>2</v>
      </c>
    </row>
    <row r="68" ht="51" spans="1:14">
      <c r="A68" s="1" t="s">
        <v>76</v>
      </c>
      <c r="B68" t="s">
        <v>35</v>
      </c>
      <c r="C68" t="str">
        <f t="shared" si="4"/>
        <v>OS</v>
      </c>
      <c r="D68">
        <v>1</v>
      </c>
      <c r="E68" t="str">
        <f t="shared" si="5"/>
        <v>Consistent</v>
      </c>
      <c r="F68" t="str">
        <f t="shared" si="6"/>
        <v>Low</v>
      </c>
      <c r="G68" t="str">
        <f t="shared" si="7"/>
        <v>MODERATE</v>
      </c>
      <c r="H68">
        <v>0</v>
      </c>
      <c r="I68">
        <v>0</v>
      </c>
      <c r="J68">
        <v>1</v>
      </c>
      <c r="K68" t="s">
        <v>16</v>
      </c>
      <c r="L68" t="s">
        <v>16</v>
      </c>
      <c r="M68" t="s">
        <v>46</v>
      </c>
      <c r="N68">
        <v>2</v>
      </c>
    </row>
    <row r="69" ht="68" spans="1:14">
      <c r="A69" s="1" t="s">
        <v>77</v>
      </c>
      <c r="B69" t="s">
        <v>27</v>
      </c>
      <c r="C69" t="str">
        <f t="shared" si="4"/>
        <v>TS</v>
      </c>
      <c r="D69">
        <v>1</v>
      </c>
      <c r="E69" t="str">
        <f t="shared" si="5"/>
        <v>Inconsistent</v>
      </c>
      <c r="F69" t="str">
        <f t="shared" si="6"/>
        <v>High</v>
      </c>
      <c r="G69" t="str">
        <f t="shared" si="7"/>
        <v>LOW</v>
      </c>
      <c r="H69">
        <v>0</v>
      </c>
      <c r="I69">
        <v>0</v>
      </c>
      <c r="J69">
        <v>1</v>
      </c>
      <c r="K69" t="s">
        <v>16</v>
      </c>
      <c r="L69" t="s">
        <v>16</v>
      </c>
      <c r="M69" t="s">
        <v>46</v>
      </c>
      <c r="N69">
        <v>2</v>
      </c>
    </row>
    <row r="70" ht="17" spans="1:14">
      <c r="A70" s="1" t="s">
        <v>78</v>
      </c>
      <c r="B70" t="s">
        <v>35</v>
      </c>
      <c r="C70" t="str">
        <f t="shared" si="4"/>
        <v>OS</v>
      </c>
      <c r="D70">
        <v>1</v>
      </c>
      <c r="E70" t="str">
        <f t="shared" si="5"/>
        <v>Consistent</v>
      </c>
      <c r="F70" t="str">
        <f t="shared" si="6"/>
        <v>Low</v>
      </c>
      <c r="G70" t="str">
        <f t="shared" si="7"/>
        <v>MODERATE</v>
      </c>
      <c r="H70">
        <v>0</v>
      </c>
      <c r="I70">
        <v>0</v>
      </c>
      <c r="J70">
        <v>1</v>
      </c>
      <c r="K70" t="s">
        <v>16</v>
      </c>
      <c r="L70" t="s">
        <v>16</v>
      </c>
      <c r="M70" t="s">
        <v>46</v>
      </c>
      <c r="N70">
        <v>2</v>
      </c>
    </row>
    <row r="71" ht="17" spans="1:14">
      <c r="A71" s="1" t="s">
        <v>79</v>
      </c>
      <c r="B71" t="s">
        <v>35</v>
      </c>
      <c r="C71" t="str">
        <f t="shared" si="4"/>
        <v>OS</v>
      </c>
      <c r="D71">
        <v>1</v>
      </c>
      <c r="E71" t="str">
        <f t="shared" si="5"/>
        <v>Consistent</v>
      </c>
      <c r="F71" t="str">
        <f t="shared" si="6"/>
        <v>Low</v>
      </c>
      <c r="G71" t="str">
        <f t="shared" si="7"/>
        <v>MODERATE</v>
      </c>
      <c r="H71">
        <v>0</v>
      </c>
      <c r="I71">
        <v>0</v>
      </c>
      <c r="J71">
        <v>1</v>
      </c>
      <c r="K71" t="s">
        <v>16</v>
      </c>
      <c r="L71" t="s">
        <v>16</v>
      </c>
      <c r="M71" t="s">
        <v>46</v>
      </c>
      <c r="N71">
        <v>2</v>
      </c>
    </row>
    <row r="72" ht="84" spans="1:14">
      <c r="A72" s="1" t="s">
        <v>80</v>
      </c>
      <c r="B72" t="s">
        <v>35</v>
      </c>
      <c r="C72" t="str">
        <f t="shared" si="4"/>
        <v>OS</v>
      </c>
      <c r="D72">
        <v>1</v>
      </c>
      <c r="E72" t="str">
        <f t="shared" si="5"/>
        <v>Consistent</v>
      </c>
      <c r="F72" t="str">
        <f t="shared" si="6"/>
        <v>Low</v>
      </c>
      <c r="G72" t="str">
        <f t="shared" si="7"/>
        <v>MODERATE</v>
      </c>
      <c r="H72">
        <v>0</v>
      </c>
      <c r="I72">
        <v>0</v>
      </c>
      <c r="J72">
        <v>1</v>
      </c>
      <c r="K72" t="s">
        <v>16</v>
      </c>
      <c r="L72" t="s">
        <v>16</v>
      </c>
      <c r="M72" t="s">
        <v>46</v>
      </c>
      <c r="N72">
        <v>2</v>
      </c>
    </row>
    <row r="73" ht="68" spans="1:14">
      <c r="A73" s="1" t="s">
        <v>81</v>
      </c>
      <c r="B73" t="s">
        <v>35</v>
      </c>
      <c r="C73" t="str">
        <f t="shared" si="4"/>
        <v>OS</v>
      </c>
      <c r="D73">
        <v>1</v>
      </c>
      <c r="E73" t="str">
        <f t="shared" si="5"/>
        <v>Consistent</v>
      </c>
      <c r="F73" t="str">
        <f t="shared" si="6"/>
        <v>Low</v>
      </c>
      <c r="G73" t="str">
        <f t="shared" si="7"/>
        <v>MODERATE</v>
      </c>
      <c r="H73">
        <v>0</v>
      </c>
      <c r="I73">
        <v>0</v>
      </c>
      <c r="J73">
        <v>1</v>
      </c>
      <c r="K73" t="s">
        <v>16</v>
      </c>
      <c r="L73" t="s">
        <v>16</v>
      </c>
      <c r="M73" t="s">
        <v>46</v>
      </c>
      <c r="N73">
        <v>2</v>
      </c>
    </row>
    <row r="74" ht="34" spans="1:14">
      <c r="A74" s="1" t="s">
        <v>82</v>
      </c>
      <c r="B74" t="s">
        <v>27</v>
      </c>
      <c r="C74" t="str">
        <f t="shared" si="4"/>
        <v>TS</v>
      </c>
      <c r="D74">
        <v>3</v>
      </c>
      <c r="E74" t="str">
        <f t="shared" si="5"/>
        <v>Consistent</v>
      </c>
      <c r="F74" t="str">
        <f t="shared" si="6"/>
        <v>High</v>
      </c>
      <c r="G74" t="str">
        <f t="shared" si="7"/>
        <v>HIGH</v>
      </c>
      <c r="H74">
        <v>0</v>
      </c>
      <c r="I74">
        <v>0</v>
      </c>
      <c r="J74">
        <v>1</v>
      </c>
      <c r="K74" t="s">
        <v>16</v>
      </c>
      <c r="L74" t="s">
        <v>16</v>
      </c>
      <c r="M74" t="s">
        <v>46</v>
      </c>
      <c r="N74">
        <v>2</v>
      </c>
    </row>
    <row r="75" ht="34" spans="1:14">
      <c r="A75" s="1" t="s">
        <v>83</v>
      </c>
      <c r="B75" t="s">
        <v>35</v>
      </c>
      <c r="C75" t="str">
        <f t="shared" si="4"/>
        <v>OS</v>
      </c>
      <c r="D75">
        <v>3</v>
      </c>
      <c r="E75" t="str">
        <f t="shared" si="5"/>
        <v>Inconsistent</v>
      </c>
      <c r="F75" t="str">
        <f t="shared" si="6"/>
        <v>Low</v>
      </c>
      <c r="G75" t="str">
        <f t="shared" si="7"/>
        <v>LOW</v>
      </c>
      <c r="H75">
        <v>0</v>
      </c>
      <c r="I75">
        <v>0</v>
      </c>
      <c r="J75">
        <v>1</v>
      </c>
      <c r="K75" t="s">
        <v>16</v>
      </c>
      <c r="L75" t="s">
        <v>16</v>
      </c>
      <c r="M75" t="s">
        <v>46</v>
      </c>
      <c r="N75">
        <v>2</v>
      </c>
    </row>
    <row r="76" ht="101" spans="1:14">
      <c r="A76" s="1" t="s">
        <v>84</v>
      </c>
      <c r="B76" t="s">
        <v>35</v>
      </c>
      <c r="C76" t="str">
        <f t="shared" si="4"/>
        <v>OS</v>
      </c>
      <c r="D76">
        <v>3</v>
      </c>
      <c r="E76" t="str">
        <f t="shared" si="5"/>
        <v>Inconsistent</v>
      </c>
      <c r="F76" t="str">
        <f t="shared" si="6"/>
        <v>Low</v>
      </c>
      <c r="G76" t="str">
        <f t="shared" si="7"/>
        <v>LOW</v>
      </c>
      <c r="H76">
        <v>0</v>
      </c>
      <c r="I76">
        <v>0</v>
      </c>
      <c r="J76">
        <v>1</v>
      </c>
      <c r="K76" t="s">
        <v>16</v>
      </c>
      <c r="L76" t="s">
        <v>16</v>
      </c>
      <c r="M76" t="s">
        <v>46</v>
      </c>
      <c r="N76">
        <v>2</v>
      </c>
    </row>
    <row r="77" ht="34" spans="1:14">
      <c r="A77" s="1" t="s">
        <v>85</v>
      </c>
      <c r="B77" t="s">
        <v>27</v>
      </c>
      <c r="C77" t="str">
        <f t="shared" si="4"/>
        <v>TS</v>
      </c>
      <c r="D77">
        <v>3</v>
      </c>
      <c r="E77" t="str">
        <f t="shared" si="5"/>
        <v>Consistent</v>
      </c>
      <c r="F77" t="str">
        <f t="shared" si="6"/>
        <v>High</v>
      </c>
      <c r="G77" t="str">
        <f t="shared" si="7"/>
        <v>HIGH</v>
      </c>
      <c r="H77">
        <v>0</v>
      </c>
      <c r="I77">
        <v>0</v>
      </c>
      <c r="J77">
        <v>1</v>
      </c>
      <c r="K77" t="s">
        <v>16</v>
      </c>
      <c r="L77" t="s">
        <v>16</v>
      </c>
      <c r="M77" t="s">
        <v>46</v>
      </c>
      <c r="N77">
        <v>2</v>
      </c>
    </row>
    <row r="78" ht="17" spans="1:14">
      <c r="A78" s="1" t="s">
        <v>86</v>
      </c>
      <c r="B78" t="s">
        <v>15</v>
      </c>
      <c r="C78" t="str">
        <f t="shared" si="4"/>
        <v>OS</v>
      </c>
      <c r="D78">
        <v>3</v>
      </c>
      <c r="E78" t="str">
        <f t="shared" si="5"/>
        <v>Inconsistent</v>
      </c>
      <c r="F78" t="str">
        <f t="shared" si="6"/>
        <v>Low</v>
      </c>
      <c r="G78" t="str">
        <f t="shared" si="7"/>
        <v>LOW</v>
      </c>
      <c r="H78">
        <v>0</v>
      </c>
      <c r="I78">
        <v>0</v>
      </c>
      <c r="J78">
        <v>1</v>
      </c>
      <c r="K78" t="s">
        <v>16</v>
      </c>
      <c r="L78" t="s">
        <v>16</v>
      </c>
      <c r="M78" t="s">
        <v>46</v>
      </c>
      <c r="N78">
        <v>2</v>
      </c>
    </row>
    <row r="79" ht="17" spans="1:14">
      <c r="A79" s="1" t="s">
        <v>87</v>
      </c>
      <c r="B79" t="s">
        <v>35</v>
      </c>
      <c r="C79" t="str">
        <f t="shared" si="4"/>
        <v>OS</v>
      </c>
      <c r="D79">
        <v>3</v>
      </c>
      <c r="E79" t="str">
        <f t="shared" si="5"/>
        <v>Inconsistent</v>
      </c>
      <c r="F79" t="str">
        <f t="shared" si="6"/>
        <v>Low</v>
      </c>
      <c r="G79" t="str">
        <f t="shared" si="7"/>
        <v>LOW</v>
      </c>
      <c r="H79">
        <v>0</v>
      </c>
      <c r="I79">
        <v>0</v>
      </c>
      <c r="J79">
        <v>1</v>
      </c>
      <c r="K79" t="s">
        <v>16</v>
      </c>
      <c r="L79" t="s">
        <v>16</v>
      </c>
      <c r="M79" t="s">
        <v>46</v>
      </c>
      <c r="N79">
        <v>2</v>
      </c>
    </row>
    <row r="80" ht="34" spans="1:14">
      <c r="A80" s="1" t="s">
        <v>88</v>
      </c>
      <c r="B80" t="s">
        <v>27</v>
      </c>
      <c r="C80" t="str">
        <f t="shared" si="4"/>
        <v>TS</v>
      </c>
      <c r="D80">
        <v>3</v>
      </c>
      <c r="E80" t="str">
        <f t="shared" si="5"/>
        <v>Consistent</v>
      </c>
      <c r="F80" t="str">
        <f t="shared" si="6"/>
        <v>High</v>
      </c>
      <c r="G80" t="str">
        <f t="shared" si="7"/>
        <v>HIGH</v>
      </c>
      <c r="H80">
        <v>0</v>
      </c>
      <c r="I80">
        <v>0</v>
      </c>
      <c r="J80">
        <v>1</v>
      </c>
      <c r="K80" t="s">
        <v>16</v>
      </c>
      <c r="L80" t="s">
        <v>16</v>
      </c>
      <c r="M80" t="s">
        <v>46</v>
      </c>
      <c r="N80">
        <v>2</v>
      </c>
    </row>
    <row r="81" ht="51" spans="1:14">
      <c r="A81" s="1" t="s">
        <v>89</v>
      </c>
      <c r="B81" t="s">
        <v>15</v>
      </c>
      <c r="C81" t="str">
        <f t="shared" si="4"/>
        <v>OS</v>
      </c>
      <c r="D81">
        <v>5</v>
      </c>
      <c r="E81" t="str">
        <f t="shared" si="5"/>
        <v>Consistent</v>
      </c>
      <c r="F81" t="str">
        <f t="shared" si="6"/>
        <v>Low</v>
      </c>
      <c r="G81" t="str">
        <f t="shared" si="7"/>
        <v>MODERATE</v>
      </c>
      <c r="H81">
        <v>0</v>
      </c>
      <c r="I81">
        <v>1</v>
      </c>
      <c r="J81">
        <v>1</v>
      </c>
      <c r="K81" t="s">
        <v>16</v>
      </c>
      <c r="L81" t="s">
        <v>16</v>
      </c>
      <c r="M81" t="s">
        <v>90</v>
      </c>
      <c r="N81">
        <v>3</v>
      </c>
    </row>
    <row r="82" ht="34" spans="1:14">
      <c r="A82" s="1" t="s">
        <v>91</v>
      </c>
      <c r="B82" t="s">
        <v>15</v>
      </c>
      <c r="C82" t="str">
        <f t="shared" si="4"/>
        <v>OS</v>
      </c>
      <c r="D82">
        <v>5</v>
      </c>
      <c r="E82" t="str">
        <f t="shared" si="5"/>
        <v>Consistent</v>
      </c>
      <c r="F82" t="str">
        <f t="shared" si="6"/>
        <v>Low</v>
      </c>
      <c r="G82" t="str">
        <f t="shared" si="7"/>
        <v>MODERATE</v>
      </c>
      <c r="H82">
        <v>0</v>
      </c>
      <c r="I82">
        <v>1</v>
      </c>
      <c r="J82">
        <v>1</v>
      </c>
      <c r="K82" t="s">
        <v>16</v>
      </c>
      <c r="L82" t="s">
        <v>16</v>
      </c>
      <c r="M82" t="s">
        <v>90</v>
      </c>
      <c r="N82">
        <v>3</v>
      </c>
    </row>
    <row r="83" ht="34" spans="1:14">
      <c r="A83" s="1" t="s">
        <v>92</v>
      </c>
      <c r="B83" t="s">
        <v>15</v>
      </c>
      <c r="C83" t="str">
        <f t="shared" si="4"/>
        <v>OS</v>
      </c>
      <c r="D83">
        <v>5</v>
      </c>
      <c r="E83" t="str">
        <f t="shared" si="5"/>
        <v>Consistent</v>
      </c>
      <c r="F83" t="str">
        <f t="shared" si="6"/>
        <v>Low</v>
      </c>
      <c r="G83" t="str">
        <f t="shared" si="7"/>
        <v>MODERATE</v>
      </c>
      <c r="H83">
        <v>0</v>
      </c>
      <c r="I83">
        <v>1</v>
      </c>
      <c r="J83">
        <v>0</v>
      </c>
      <c r="K83" t="s">
        <v>16</v>
      </c>
      <c r="L83" t="s">
        <v>16</v>
      </c>
      <c r="M83" t="s">
        <v>90</v>
      </c>
      <c r="N83">
        <v>3</v>
      </c>
    </row>
    <row r="84" ht="51" spans="1:14">
      <c r="A84" s="1" t="s">
        <v>93</v>
      </c>
      <c r="B84" t="s">
        <v>15</v>
      </c>
      <c r="C84" t="str">
        <f t="shared" si="4"/>
        <v>OS</v>
      </c>
      <c r="D84">
        <v>5</v>
      </c>
      <c r="E84" t="str">
        <f t="shared" si="5"/>
        <v>Consistent</v>
      </c>
      <c r="F84" t="str">
        <f t="shared" si="6"/>
        <v>Low</v>
      </c>
      <c r="G84" t="str">
        <f t="shared" si="7"/>
        <v>MODERATE</v>
      </c>
      <c r="H84">
        <v>0</v>
      </c>
      <c r="I84">
        <v>1</v>
      </c>
      <c r="J84">
        <v>0</v>
      </c>
      <c r="K84" t="s">
        <v>16</v>
      </c>
      <c r="L84" t="s">
        <v>16</v>
      </c>
      <c r="M84" t="s">
        <v>90</v>
      </c>
      <c r="N84">
        <v>3</v>
      </c>
    </row>
    <row r="85" ht="51" spans="1:14">
      <c r="A85" s="1" t="s">
        <v>94</v>
      </c>
      <c r="B85" t="s">
        <v>15</v>
      </c>
      <c r="C85" t="str">
        <f t="shared" si="4"/>
        <v>OS</v>
      </c>
      <c r="D85">
        <v>5</v>
      </c>
      <c r="E85" t="str">
        <f t="shared" si="5"/>
        <v>Consistent</v>
      </c>
      <c r="F85" t="str">
        <f t="shared" si="6"/>
        <v>Low</v>
      </c>
      <c r="G85" t="str">
        <f t="shared" si="7"/>
        <v>MODERATE</v>
      </c>
      <c r="H85">
        <v>0</v>
      </c>
      <c r="I85">
        <v>1</v>
      </c>
      <c r="J85">
        <v>0</v>
      </c>
      <c r="K85" t="s">
        <v>16</v>
      </c>
      <c r="L85" t="s">
        <v>16</v>
      </c>
      <c r="M85" t="s">
        <v>90</v>
      </c>
      <c r="N85">
        <v>3</v>
      </c>
    </row>
    <row r="86" ht="34" spans="1:14">
      <c r="A86" s="1" t="s">
        <v>95</v>
      </c>
      <c r="B86" t="s">
        <v>15</v>
      </c>
      <c r="C86" t="str">
        <f t="shared" si="4"/>
        <v>OS</v>
      </c>
      <c r="D86">
        <v>5</v>
      </c>
      <c r="E86" t="str">
        <f t="shared" si="5"/>
        <v>Consistent</v>
      </c>
      <c r="F86" t="str">
        <f t="shared" si="6"/>
        <v>Low</v>
      </c>
      <c r="G86" t="str">
        <f t="shared" si="7"/>
        <v>MODERATE</v>
      </c>
      <c r="H86">
        <v>1</v>
      </c>
      <c r="I86">
        <v>0</v>
      </c>
      <c r="J86">
        <v>1</v>
      </c>
      <c r="K86" t="s">
        <v>16</v>
      </c>
      <c r="L86" t="s">
        <v>16</v>
      </c>
      <c r="M86" t="s">
        <v>90</v>
      </c>
      <c r="N86">
        <v>3</v>
      </c>
    </row>
    <row r="87" ht="68" spans="1:14">
      <c r="A87" s="1" t="s">
        <v>96</v>
      </c>
      <c r="B87" t="s">
        <v>15</v>
      </c>
      <c r="C87" t="str">
        <f t="shared" si="4"/>
        <v>OS</v>
      </c>
      <c r="D87">
        <v>5</v>
      </c>
      <c r="E87" t="str">
        <f t="shared" si="5"/>
        <v>Consistent</v>
      </c>
      <c r="F87" t="str">
        <f t="shared" si="6"/>
        <v>Low</v>
      </c>
      <c r="G87" t="str">
        <f t="shared" si="7"/>
        <v>MODERATE</v>
      </c>
      <c r="H87">
        <v>1</v>
      </c>
      <c r="I87">
        <v>1</v>
      </c>
      <c r="J87">
        <v>0</v>
      </c>
      <c r="K87" t="s">
        <v>16</v>
      </c>
      <c r="L87" t="s">
        <v>16</v>
      </c>
      <c r="M87" t="s">
        <v>90</v>
      </c>
      <c r="N87">
        <v>3</v>
      </c>
    </row>
    <row r="88" ht="34" spans="1:14">
      <c r="A88" s="1" t="s">
        <v>97</v>
      </c>
      <c r="B88" t="s">
        <v>15</v>
      </c>
      <c r="C88" t="str">
        <f t="shared" si="4"/>
        <v>OS</v>
      </c>
      <c r="D88">
        <v>5</v>
      </c>
      <c r="E88" t="str">
        <f t="shared" si="5"/>
        <v>Consistent</v>
      </c>
      <c r="F88" t="str">
        <f t="shared" si="6"/>
        <v>Low</v>
      </c>
      <c r="G88" t="str">
        <f t="shared" si="7"/>
        <v>MODERATE</v>
      </c>
      <c r="H88">
        <v>0</v>
      </c>
      <c r="I88">
        <v>1</v>
      </c>
      <c r="J88">
        <v>0</v>
      </c>
      <c r="K88" t="s">
        <v>16</v>
      </c>
      <c r="L88" t="s">
        <v>16</v>
      </c>
      <c r="M88" t="s">
        <v>90</v>
      </c>
      <c r="N88">
        <v>3</v>
      </c>
    </row>
    <row r="89" ht="51" spans="1:14">
      <c r="A89" s="1" t="s">
        <v>98</v>
      </c>
      <c r="B89" t="s">
        <v>15</v>
      </c>
      <c r="C89" t="str">
        <f t="shared" si="4"/>
        <v>OS</v>
      </c>
      <c r="D89">
        <v>5</v>
      </c>
      <c r="E89" t="str">
        <f t="shared" si="5"/>
        <v>Consistent</v>
      </c>
      <c r="F89" t="str">
        <f t="shared" si="6"/>
        <v>Low</v>
      </c>
      <c r="G89" t="str">
        <f t="shared" si="7"/>
        <v>MODERATE</v>
      </c>
      <c r="H89">
        <v>0</v>
      </c>
      <c r="I89">
        <v>1</v>
      </c>
      <c r="J89">
        <v>0</v>
      </c>
      <c r="K89" t="s">
        <v>16</v>
      </c>
      <c r="L89" t="s">
        <v>16</v>
      </c>
      <c r="M89" t="s">
        <v>90</v>
      </c>
      <c r="N89">
        <v>3</v>
      </c>
    </row>
    <row r="90" ht="51" spans="1:14">
      <c r="A90" s="1" t="s">
        <v>99</v>
      </c>
      <c r="B90" t="s">
        <v>15</v>
      </c>
      <c r="C90" t="str">
        <f t="shared" si="4"/>
        <v>OS</v>
      </c>
      <c r="D90">
        <v>5</v>
      </c>
      <c r="E90" t="str">
        <f t="shared" si="5"/>
        <v>Consistent</v>
      </c>
      <c r="F90" t="str">
        <f t="shared" si="6"/>
        <v>Low</v>
      </c>
      <c r="G90" t="str">
        <f t="shared" si="7"/>
        <v>MODERATE</v>
      </c>
      <c r="H90">
        <v>1</v>
      </c>
      <c r="I90">
        <v>1</v>
      </c>
      <c r="J90">
        <v>0</v>
      </c>
      <c r="K90" t="s">
        <v>16</v>
      </c>
      <c r="L90" t="s">
        <v>16</v>
      </c>
      <c r="M90" t="s">
        <v>90</v>
      </c>
      <c r="N90">
        <v>3</v>
      </c>
    </row>
    <row r="91" ht="17" spans="1:14">
      <c r="A91" s="1" t="s">
        <v>100</v>
      </c>
      <c r="B91" t="s">
        <v>15</v>
      </c>
      <c r="C91" t="str">
        <f t="shared" si="4"/>
        <v>OS</v>
      </c>
      <c r="D91">
        <v>5</v>
      </c>
      <c r="E91" t="str">
        <f t="shared" si="5"/>
        <v>Consistent</v>
      </c>
      <c r="F91" t="str">
        <f t="shared" si="6"/>
        <v>Low</v>
      </c>
      <c r="G91" t="str">
        <f t="shared" si="7"/>
        <v>MODERATE</v>
      </c>
      <c r="H91">
        <v>0</v>
      </c>
      <c r="I91">
        <v>0</v>
      </c>
      <c r="J91">
        <v>1</v>
      </c>
      <c r="K91" t="s">
        <v>16</v>
      </c>
      <c r="L91" t="s">
        <v>16</v>
      </c>
      <c r="M91" t="s">
        <v>90</v>
      </c>
      <c r="N91">
        <v>3</v>
      </c>
    </row>
    <row r="92" ht="34" spans="1:14">
      <c r="A92" s="1" t="s">
        <v>101</v>
      </c>
      <c r="B92" t="s">
        <v>15</v>
      </c>
      <c r="C92" t="str">
        <f t="shared" si="4"/>
        <v>OS</v>
      </c>
      <c r="D92">
        <v>5</v>
      </c>
      <c r="E92" t="str">
        <f t="shared" si="5"/>
        <v>Consistent</v>
      </c>
      <c r="F92" t="str">
        <f t="shared" si="6"/>
        <v>Low</v>
      </c>
      <c r="G92" t="str">
        <f t="shared" si="7"/>
        <v>MODERATE</v>
      </c>
      <c r="H92">
        <v>0</v>
      </c>
      <c r="I92">
        <v>1</v>
      </c>
      <c r="J92">
        <v>0</v>
      </c>
      <c r="K92" t="s">
        <v>16</v>
      </c>
      <c r="L92" t="s">
        <v>16</v>
      </c>
      <c r="M92" t="s">
        <v>90</v>
      </c>
      <c r="N92">
        <v>3</v>
      </c>
    </row>
    <row r="93" ht="34" spans="1:14">
      <c r="A93" s="1" t="s">
        <v>102</v>
      </c>
      <c r="B93" t="s">
        <v>15</v>
      </c>
      <c r="C93" t="str">
        <f t="shared" si="4"/>
        <v>OS</v>
      </c>
      <c r="D93">
        <v>5</v>
      </c>
      <c r="E93" t="str">
        <f t="shared" si="5"/>
        <v>Consistent</v>
      </c>
      <c r="F93" t="str">
        <f t="shared" si="6"/>
        <v>Low</v>
      </c>
      <c r="G93" t="str">
        <f t="shared" si="7"/>
        <v>MODERATE</v>
      </c>
      <c r="H93">
        <v>0</v>
      </c>
      <c r="I93">
        <v>1</v>
      </c>
      <c r="J93">
        <v>0</v>
      </c>
      <c r="K93" t="s">
        <v>16</v>
      </c>
      <c r="L93" t="s">
        <v>16</v>
      </c>
      <c r="M93" t="s">
        <v>90</v>
      </c>
      <c r="N93">
        <v>3</v>
      </c>
    </row>
    <row r="94" ht="17" spans="1:14">
      <c r="A94" s="1" t="s">
        <v>103</v>
      </c>
      <c r="B94" t="s">
        <v>35</v>
      </c>
      <c r="C94" t="str">
        <f t="shared" si="4"/>
        <v>OS</v>
      </c>
      <c r="D94">
        <v>5</v>
      </c>
      <c r="E94" t="str">
        <f t="shared" si="5"/>
        <v>Inconsistent</v>
      </c>
      <c r="F94" t="str">
        <f t="shared" si="6"/>
        <v>Low</v>
      </c>
      <c r="G94" t="str">
        <f t="shared" si="7"/>
        <v>LOW</v>
      </c>
      <c r="H94">
        <v>0</v>
      </c>
      <c r="I94">
        <v>0</v>
      </c>
      <c r="J94">
        <v>1</v>
      </c>
      <c r="K94" t="s">
        <v>16</v>
      </c>
      <c r="L94" t="s">
        <v>16</v>
      </c>
      <c r="M94" t="s">
        <v>90</v>
      </c>
      <c r="N94">
        <v>3</v>
      </c>
    </row>
    <row r="95" ht="34" spans="1:14">
      <c r="A95" s="1" t="s">
        <v>104</v>
      </c>
      <c r="B95" t="s">
        <v>15</v>
      </c>
      <c r="C95" t="str">
        <f t="shared" si="4"/>
        <v>OS</v>
      </c>
      <c r="D95">
        <v>5</v>
      </c>
      <c r="E95" t="str">
        <f t="shared" si="5"/>
        <v>Consistent</v>
      </c>
      <c r="F95" t="str">
        <f t="shared" si="6"/>
        <v>Low</v>
      </c>
      <c r="G95" t="str">
        <f t="shared" si="7"/>
        <v>MODERATE</v>
      </c>
      <c r="H95">
        <v>0</v>
      </c>
      <c r="I95">
        <v>1</v>
      </c>
      <c r="J95">
        <v>1</v>
      </c>
      <c r="K95" t="s">
        <v>16</v>
      </c>
      <c r="L95" t="s">
        <v>16</v>
      </c>
      <c r="M95" t="s">
        <v>90</v>
      </c>
      <c r="N95">
        <v>3</v>
      </c>
    </row>
    <row r="96" ht="34" spans="1:14">
      <c r="A96" s="1" t="s">
        <v>105</v>
      </c>
      <c r="B96" t="s">
        <v>15</v>
      </c>
      <c r="C96" t="str">
        <f t="shared" si="4"/>
        <v>OS</v>
      </c>
      <c r="D96">
        <v>5</v>
      </c>
      <c r="E96" t="str">
        <f t="shared" si="5"/>
        <v>Consistent</v>
      </c>
      <c r="F96" t="str">
        <f t="shared" si="6"/>
        <v>Low</v>
      </c>
      <c r="G96" t="str">
        <f t="shared" si="7"/>
        <v>MODERATE</v>
      </c>
      <c r="H96">
        <v>0</v>
      </c>
      <c r="I96">
        <v>1</v>
      </c>
      <c r="J96">
        <v>0</v>
      </c>
      <c r="K96" t="s">
        <v>16</v>
      </c>
      <c r="L96" t="s">
        <v>16</v>
      </c>
      <c r="M96" t="s">
        <v>90</v>
      </c>
      <c r="N96">
        <v>3</v>
      </c>
    </row>
    <row r="97" ht="51" spans="1:14">
      <c r="A97" s="1" t="s">
        <v>106</v>
      </c>
      <c r="B97" t="s">
        <v>15</v>
      </c>
      <c r="C97" t="str">
        <f t="shared" si="4"/>
        <v>OS</v>
      </c>
      <c r="D97">
        <v>5</v>
      </c>
      <c r="E97" t="str">
        <f t="shared" si="5"/>
        <v>Consistent</v>
      </c>
      <c r="F97" t="str">
        <f t="shared" si="6"/>
        <v>Low</v>
      </c>
      <c r="G97" t="str">
        <f t="shared" si="7"/>
        <v>MODERATE</v>
      </c>
      <c r="H97">
        <v>0</v>
      </c>
      <c r="I97">
        <v>0</v>
      </c>
      <c r="J97">
        <v>1</v>
      </c>
      <c r="K97" t="s">
        <v>16</v>
      </c>
      <c r="L97" t="s">
        <v>16</v>
      </c>
      <c r="M97" t="s">
        <v>90</v>
      </c>
      <c r="N97">
        <v>3</v>
      </c>
    </row>
    <row r="98" ht="17" spans="1:14">
      <c r="A98" s="1" t="s">
        <v>107</v>
      </c>
      <c r="B98" t="s">
        <v>15</v>
      </c>
      <c r="C98" t="str">
        <f t="shared" si="4"/>
        <v>OS</v>
      </c>
      <c r="D98">
        <v>5</v>
      </c>
      <c r="E98" t="str">
        <f t="shared" si="5"/>
        <v>Consistent</v>
      </c>
      <c r="F98" t="str">
        <f t="shared" si="6"/>
        <v>Low</v>
      </c>
      <c r="G98" t="str">
        <f t="shared" si="7"/>
        <v>MODERATE</v>
      </c>
      <c r="H98">
        <v>1</v>
      </c>
      <c r="I98">
        <v>0</v>
      </c>
      <c r="J98">
        <v>1</v>
      </c>
      <c r="K98" t="s">
        <v>16</v>
      </c>
      <c r="L98" t="s">
        <v>16</v>
      </c>
      <c r="M98" t="s">
        <v>90</v>
      </c>
      <c r="N98">
        <v>3</v>
      </c>
    </row>
    <row r="99" ht="34" spans="1:14">
      <c r="A99" s="1" t="s">
        <v>108</v>
      </c>
      <c r="B99" t="s">
        <v>15</v>
      </c>
      <c r="C99" t="str">
        <f t="shared" si="4"/>
        <v>OS</v>
      </c>
      <c r="D99">
        <v>5</v>
      </c>
      <c r="E99" t="str">
        <f t="shared" si="5"/>
        <v>Consistent</v>
      </c>
      <c r="F99" t="str">
        <f t="shared" si="6"/>
        <v>Low</v>
      </c>
      <c r="G99" t="str">
        <f t="shared" si="7"/>
        <v>MODERATE</v>
      </c>
      <c r="H99">
        <v>0</v>
      </c>
      <c r="I99">
        <v>1</v>
      </c>
      <c r="J99">
        <v>0</v>
      </c>
      <c r="K99" t="s">
        <v>16</v>
      </c>
      <c r="L99" t="s">
        <v>16</v>
      </c>
      <c r="M99" t="s">
        <v>90</v>
      </c>
      <c r="N99">
        <v>3</v>
      </c>
    </row>
    <row r="100" ht="34" spans="1:14">
      <c r="A100" s="1" t="s">
        <v>109</v>
      </c>
      <c r="B100" t="s">
        <v>15</v>
      </c>
      <c r="C100" t="str">
        <f t="shared" si="4"/>
        <v>OS</v>
      </c>
      <c r="D100">
        <v>5</v>
      </c>
      <c r="E100" t="str">
        <f t="shared" si="5"/>
        <v>Consistent</v>
      </c>
      <c r="F100" t="str">
        <f t="shared" si="6"/>
        <v>Low</v>
      </c>
      <c r="G100" t="str">
        <f t="shared" si="7"/>
        <v>MODERATE</v>
      </c>
      <c r="H100">
        <v>0</v>
      </c>
      <c r="I100">
        <v>1</v>
      </c>
      <c r="J100">
        <v>0</v>
      </c>
      <c r="K100" t="s">
        <v>16</v>
      </c>
      <c r="L100" t="s">
        <v>16</v>
      </c>
      <c r="M100" t="s">
        <v>90</v>
      </c>
      <c r="N100">
        <v>3</v>
      </c>
    </row>
    <row r="101" ht="34" spans="1:14">
      <c r="A101" s="1" t="s">
        <v>110</v>
      </c>
      <c r="B101" t="s">
        <v>15</v>
      </c>
      <c r="C101" t="str">
        <f t="shared" si="4"/>
        <v>OS</v>
      </c>
      <c r="D101">
        <v>4</v>
      </c>
      <c r="E101" t="str">
        <f t="shared" si="5"/>
        <v>Partially Consistent</v>
      </c>
      <c r="F101" t="str">
        <f t="shared" si="6"/>
        <v>Low</v>
      </c>
      <c r="G101" t="str">
        <f t="shared" si="7"/>
        <v>MODERATE</v>
      </c>
      <c r="H101">
        <v>0</v>
      </c>
      <c r="I101">
        <v>1</v>
      </c>
      <c r="J101">
        <v>0</v>
      </c>
      <c r="K101" t="s">
        <v>16</v>
      </c>
      <c r="L101" t="s">
        <v>16</v>
      </c>
      <c r="M101" t="s">
        <v>90</v>
      </c>
      <c r="N101">
        <v>3</v>
      </c>
    </row>
    <row r="102" ht="34" spans="1:14">
      <c r="A102" s="1" t="s">
        <v>111</v>
      </c>
      <c r="B102" t="s">
        <v>15</v>
      </c>
      <c r="C102" t="str">
        <f t="shared" si="4"/>
        <v>OS</v>
      </c>
      <c r="D102">
        <v>4</v>
      </c>
      <c r="E102" t="str">
        <f t="shared" si="5"/>
        <v>Partially Consistent</v>
      </c>
      <c r="F102" t="str">
        <f t="shared" si="6"/>
        <v>Low</v>
      </c>
      <c r="G102" t="str">
        <f t="shared" si="7"/>
        <v>MODERATE</v>
      </c>
      <c r="H102">
        <v>0</v>
      </c>
      <c r="I102">
        <v>1</v>
      </c>
      <c r="J102">
        <v>0</v>
      </c>
      <c r="K102" t="s">
        <v>16</v>
      </c>
      <c r="L102" t="s">
        <v>16</v>
      </c>
      <c r="M102" t="s">
        <v>90</v>
      </c>
      <c r="N102">
        <v>3</v>
      </c>
    </row>
    <row r="103" ht="34" spans="1:14">
      <c r="A103" s="1" t="s">
        <v>112</v>
      </c>
      <c r="B103" t="s">
        <v>15</v>
      </c>
      <c r="C103" t="str">
        <f t="shared" si="4"/>
        <v>OS</v>
      </c>
      <c r="D103">
        <v>4</v>
      </c>
      <c r="E103" t="str">
        <f t="shared" si="5"/>
        <v>Partially Consistent</v>
      </c>
      <c r="F103" t="str">
        <f t="shared" si="6"/>
        <v>Low</v>
      </c>
      <c r="G103" t="str">
        <f t="shared" si="7"/>
        <v>MODERATE</v>
      </c>
      <c r="H103">
        <v>0</v>
      </c>
      <c r="I103">
        <v>1</v>
      </c>
      <c r="J103">
        <v>0</v>
      </c>
      <c r="K103" t="s">
        <v>16</v>
      </c>
      <c r="L103" t="s">
        <v>16</v>
      </c>
      <c r="M103" t="s">
        <v>90</v>
      </c>
      <c r="N103">
        <v>3</v>
      </c>
    </row>
    <row r="104" ht="34" spans="1:14">
      <c r="A104" s="1" t="s">
        <v>113</v>
      </c>
      <c r="B104" t="s">
        <v>15</v>
      </c>
      <c r="C104" t="str">
        <f t="shared" si="4"/>
        <v>OS</v>
      </c>
      <c r="D104">
        <v>4</v>
      </c>
      <c r="E104" t="str">
        <f t="shared" si="5"/>
        <v>Partially Consistent</v>
      </c>
      <c r="F104" t="str">
        <f t="shared" si="6"/>
        <v>Low</v>
      </c>
      <c r="G104" t="str">
        <f t="shared" si="7"/>
        <v>MODERATE</v>
      </c>
      <c r="H104">
        <v>0</v>
      </c>
      <c r="I104">
        <v>1</v>
      </c>
      <c r="J104">
        <v>0</v>
      </c>
      <c r="K104" t="s">
        <v>16</v>
      </c>
      <c r="L104" t="s">
        <v>16</v>
      </c>
      <c r="M104" t="s">
        <v>90</v>
      </c>
      <c r="N104">
        <v>3</v>
      </c>
    </row>
    <row r="105" ht="17" spans="1:14">
      <c r="A105" s="1" t="s">
        <v>114</v>
      </c>
      <c r="B105" t="s">
        <v>15</v>
      </c>
      <c r="C105" t="str">
        <f t="shared" si="4"/>
        <v>OS</v>
      </c>
      <c r="D105">
        <v>4</v>
      </c>
      <c r="E105" t="str">
        <f t="shared" si="5"/>
        <v>Partially Consistent</v>
      </c>
      <c r="F105" t="str">
        <f t="shared" si="6"/>
        <v>Low</v>
      </c>
      <c r="G105" t="str">
        <f t="shared" si="7"/>
        <v>MODERATE</v>
      </c>
      <c r="H105">
        <v>1</v>
      </c>
      <c r="I105">
        <v>0</v>
      </c>
      <c r="J105">
        <v>1</v>
      </c>
      <c r="K105" t="s">
        <v>16</v>
      </c>
      <c r="L105" t="s">
        <v>16</v>
      </c>
      <c r="M105" t="s">
        <v>90</v>
      </c>
      <c r="N105">
        <v>3</v>
      </c>
    </row>
    <row r="106" ht="34" spans="1:14">
      <c r="A106" s="1" t="s">
        <v>115</v>
      </c>
      <c r="B106" t="s">
        <v>27</v>
      </c>
      <c r="C106" t="str">
        <f t="shared" si="4"/>
        <v>TS</v>
      </c>
      <c r="D106">
        <v>4</v>
      </c>
      <c r="E106" t="str">
        <f t="shared" si="5"/>
        <v>Partially Consistent</v>
      </c>
      <c r="F106" t="str">
        <f t="shared" si="6"/>
        <v>High</v>
      </c>
      <c r="G106" t="str">
        <f t="shared" si="7"/>
        <v>MODERATE</v>
      </c>
      <c r="H106">
        <v>0</v>
      </c>
      <c r="I106">
        <v>0</v>
      </c>
      <c r="J106">
        <v>1</v>
      </c>
      <c r="K106" t="s">
        <v>16</v>
      </c>
      <c r="L106" t="s">
        <v>16</v>
      </c>
      <c r="M106" t="s">
        <v>90</v>
      </c>
      <c r="N106">
        <v>3</v>
      </c>
    </row>
    <row r="107" ht="34" spans="1:14">
      <c r="A107" s="1" t="s">
        <v>116</v>
      </c>
      <c r="B107" t="s">
        <v>35</v>
      </c>
      <c r="C107" t="str">
        <f t="shared" si="4"/>
        <v>OS</v>
      </c>
      <c r="D107">
        <v>4</v>
      </c>
      <c r="E107" t="str">
        <f t="shared" si="5"/>
        <v>Inconsistent</v>
      </c>
      <c r="F107" t="str">
        <f t="shared" si="6"/>
        <v>Low</v>
      </c>
      <c r="G107" t="str">
        <f t="shared" si="7"/>
        <v>LOW</v>
      </c>
      <c r="H107">
        <v>0</v>
      </c>
      <c r="I107">
        <v>1</v>
      </c>
      <c r="J107">
        <v>1</v>
      </c>
      <c r="K107" t="s">
        <v>16</v>
      </c>
      <c r="L107" t="s">
        <v>16</v>
      </c>
      <c r="M107" t="s">
        <v>90</v>
      </c>
      <c r="N107">
        <v>3</v>
      </c>
    </row>
    <row r="108" ht="17" spans="1:14">
      <c r="A108" s="1" t="s">
        <v>117</v>
      </c>
      <c r="B108" t="s">
        <v>35</v>
      </c>
      <c r="C108" t="str">
        <f t="shared" si="4"/>
        <v>OS</v>
      </c>
      <c r="D108">
        <v>4</v>
      </c>
      <c r="E108" t="str">
        <f t="shared" si="5"/>
        <v>Inconsistent</v>
      </c>
      <c r="F108" t="str">
        <f t="shared" si="6"/>
        <v>Low</v>
      </c>
      <c r="G108" t="str">
        <f t="shared" si="7"/>
        <v>LOW</v>
      </c>
      <c r="H108">
        <v>0</v>
      </c>
      <c r="I108">
        <v>0</v>
      </c>
      <c r="J108">
        <v>1</v>
      </c>
      <c r="K108" t="s">
        <v>16</v>
      </c>
      <c r="L108" t="s">
        <v>16</v>
      </c>
      <c r="M108" t="s">
        <v>90</v>
      </c>
      <c r="N108">
        <v>3</v>
      </c>
    </row>
    <row r="109" ht="17" spans="1:14">
      <c r="A109" s="1" t="s">
        <v>118</v>
      </c>
      <c r="B109" t="s">
        <v>15</v>
      </c>
      <c r="C109" t="str">
        <f t="shared" si="4"/>
        <v>OS</v>
      </c>
      <c r="D109">
        <v>4</v>
      </c>
      <c r="E109" t="str">
        <f t="shared" si="5"/>
        <v>Partially Consistent</v>
      </c>
      <c r="F109" t="str">
        <f t="shared" si="6"/>
        <v>Low</v>
      </c>
      <c r="G109" t="str">
        <f t="shared" si="7"/>
        <v>MODERATE</v>
      </c>
      <c r="H109">
        <v>0</v>
      </c>
      <c r="I109">
        <v>1</v>
      </c>
      <c r="J109">
        <v>0</v>
      </c>
      <c r="K109" t="s">
        <v>16</v>
      </c>
      <c r="L109" t="s">
        <v>16</v>
      </c>
      <c r="M109" t="s">
        <v>90</v>
      </c>
      <c r="N109">
        <v>3</v>
      </c>
    </row>
    <row r="110" ht="17" spans="1:14">
      <c r="A110" s="1" t="s">
        <v>119</v>
      </c>
      <c r="B110" t="s">
        <v>27</v>
      </c>
      <c r="C110" t="str">
        <f t="shared" si="4"/>
        <v>TS</v>
      </c>
      <c r="D110">
        <v>4</v>
      </c>
      <c r="E110" t="str">
        <f t="shared" si="5"/>
        <v>Partially Consistent</v>
      </c>
      <c r="F110" t="s">
        <v>20</v>
      </c>
      <c r="G110" t="str">
        <f t="shared" si="7"/>
        <v>LOW</v>
      </c>
      <c r="H110">
        <v>0</v>
      </c>
      <c r="I110">
        <v>0</v>
      </c>
      <c r="J110">
        <v>1</v>
      </c>
      <c r="K110" t="s">
        <v>16</v>
      </c>
      <c r="L110" t="s">
        <v>16</v>
      </c>
      <c r="M110" t="s">
        <v>90</v>
      </c>
      <c r="N110">
        <v>3</v>
      </c>
    </row>
    <row r="111" ht="34" spans="1:14">
      <c r="A111" s="1" t="s">
        <v>120</v>
      </c>
      <c r="B111" t="s">
        <v>15</v>
      </c>
      <c r="C111" t="str">
        <f t="shared" si="4"/>
        <v>OS</v>
      </c>
      <c r="D111">
        <v>4</v>
      </c>
      <c r="E111" t="str">
        <f t="shared" si="5"/>
        <v>Partially Consistent</v>
      </c>
      <c r="F111" t="str">
        <f t="shared" si="6"/>
        <v>Low</v>
      </c>
      <c r="G111" t="str">
        <f t="shared" si="7"/>
        <v>MODERATE</v>
      </c>
      <c r="H111">
        <v>0</v>
      </c>
      <c r="I111">
        <v>0</v>
      </c>
      <c r="J111">
        <v>1</v>
      </c>
      <c r="K111" t="s">
        <v>16</v>
      </c>
      <c r="L111" t="s">
        <v>16</v>
      </c>
      <c r="M111" t="s">
        <v>90</v>
      </c>
      <c r="N111">
        <v>3</v>
      </c>
    </row>
    <row r="112" ht="68" spans="1:14">
      <c r="A112" s="1" t="s">
        <v>121</v>
      </c>
      <c r="B112" t="s">
        <v>15</v>
      </c>
      <c r="C112" t="str">
        <f t="shared" si="4"/>
        <v>OS</v>
      </c>
      <c r="D112">
        <v>4</v>
      </c>
      <c r="E112" t="str">
        <f t="shared" si="5"/>
        <v>Partially Consistent</v>
      </c>
      <c r="F112" t="str">
        <f t="shared" si="6"/>
        <v>Low</v>
      </c>
      <c r="G112" t="str">
        <f t="shared" si="7"/>
        <v>MODERATE</v>
      </c>
      <c r="H112">
        <v>0</v>
      </c>
      <c r="I112">
        <v>0</v>
      </c>
      <c r="J112">
        <v>1</v>
      </c>
      <c r="K112" t="s">
        <v>16</v>
      </c>
      <c r="L112" t="s">
        <v>16</v>
      </c>
      <c r="M112" t="s">
        <v>90</v>
      </c>
      <c r="N112">
        <v>3</v>
      </c>
    </row>
    <row r="113" ht="17" spans="1:14">
      <c r="A113" s="1" t="s">
        <v>122</v>
      </c>
      <c r="B113" t="s">
        <v>35</v>
      </c>
      <c r="C113" t="str">
        <f t="shared" si="4"/>
        <v>OS</v>
      </c>
      <c r="D113">
        <v>4</v>
      </c>
      <c r="E113" t="str">
        <f t="shared" si="5"/>
        <v>Inconsistent</v>
      </c>
      <c r="F113" t="str">
        <f t="shared" si="6"/>
        <v>Low</v>
      </c>
      <c r="G113" t="str">
        <f t="shared" si="7"/>
        <v>LOW</v>
      </c>
      <c r="H113">
        <v>0</v>
      </c>
      <c r="I113">
        <v>0</v>
      </c>
      <c r="J113">
        <v>1</v>
      </c>
      <c r="K113" t="s">
        <v>16</v>
      </c>
      <c r="L113" t="s">
        <v>16</v>
      </c>
      <c r="M113" t="s">
        <v>90</v>
      </c>
      <c r="N113">
        <v>3</v>
      </c>
    </row>
    <row r="114" ht="17" spans="1:14">
      <c r="A114" s="1" t="s">
        <v>123</v>
      </c>
      <c r="B114" t="s">
        <v>35</v>
      </c>
      <c r="C114" t="str">
        <f t="shared" si="4"/>
        <v>OS</v>
      </c>
      <c r="D114">
        <v>4</v>
      </c>
      <c r="E114" t="str">
        <f t="shared" si="5"/>
        <v>Inconsistent</v>
      </c>
      <c r="F114" t="str">
        <f t="shared" si="6"/>
        <v>Low</v>
      </c>
      <c r="G114" t="str">
        <f t="shared" si="7"/>
        <v>LOW</v>
      </c>
      <c r="H114">
        <v>0</v>
      </c>
      <c r="I114">
        <v>0</v>
      </c>
      <c r="J114">
        <v>1</v>
      </c>
      <c r="K114" t="s">
        <v>16</v>
      </c>
      <c r="L114" t="s">
        <v>16</v>
      </c>
      <c r="M114" t="s">
        <v>90</v>
      </c>
      <c r="N114">
        <v>3</v>
      </c>
    </row>
    <row r="115" ht="51" spans="1:14">
      <c r="A115" s="1" t="s">
        <v>124</v>
      </c>
      <c r="B115" t="s">
        <v>35</v>
      </c>
      <c r="C115" t="str">
        <f t="shared" si="4"/>
        <v>OS</v>
      </c>
      <c r="D115">
        <v>4</v>
      </c>
      <c r="E115" t="str">
        <f t="shared" si="5"/>
        <v>Inconsistent</v>
      </c>
      <c r="F115" t="str">
        <f t="shared" si="6"/>
        <v>Low</v>
      </c>
      <c r="G115" t="str">
        <f t="shared" si="7"/>
        <v>LOW</v>
      </c>
      <c r="H115">
        <v>0</v>
      </c>
      <c r="I115">
        <v>0</v>
      </c>
      <c r="J115">
        <v>1</v>
      </c>
      <c r="K115" t="s">
        <v>16</v>
      </c>
      <c r="L115" t="s">
        <v>16</v>
      </c>
      <c r="M115" t="s">
        <v>90</v>
      </c>
      <c r="N115">
        <v>3</v>
      </c>
    </row>
    <row r="116" ht="17" spans="1:14">
      <c r="A116" s="1" t="s">
        <v>125</v>
      </c>
      <c r="B116" t="s">
        <v>27</v>
      </c>
      <c r="C116" t="str">
        <f t="shared" si="4"/>
        <v>TS</v>
      </c>
      <c r="D116">
        <v>4</v>
      </c>
      <c r="E116" t="str">
        <f t="shared" si="5"/>
        <v>Partially Consistent</v>
      </c>
      <c r="F116" t="s">
        <v>20</v>
      </c>
      <c r="G116" t="str">
        <f t="shared" si="7"/>
        <v>LOW</v>
      </c>
      <c r="H116">
        <v>1</v>
      </c>
      <c r="I116">
        <v>0</v>
      </c>
      <c r="J116">
        <v>1</v>
      </c>
      <c r="K116" t="s">
        <v>16</v>
      </c>
      <c r="L116" t="s">
        <v>16</v>
      </c>
      <c r="M116" t="s">
        <v>90</v>
      </c>
      <c r="N116">
        <v>3</v>
      </c>
    </row>
    <row r="117" ht="17" spans="1:14">
      <c r="A117" s="1" t="s">
        <v>41</v>
      </c>
      <c r="B117" t="s">
        <v>35</v>
      </c>
      <c r="C117" t="str">
        <f t="shared" si="4"/>
        <v>OS</v>
      </c>
      <c r="D117">
        <v>4</v>
      </c>
      <c r="E117" t="str">
        <f t="shared" si="5"/>
        <v>Inconsistent</v>
      </c>
      <c r="F117" t="str">
        <f t="shared" si="6"/>
        <v>Low</v>
      </c>
      <c r="G117" t="str">
        <f t="shared" si="7"/>
        <v>LOW</v>
      </c>
      <c r="H117">
        <v>0</v>
      </c>
      <c r="I117">
        <v>0</v>
      </c>
      <c r="J117">
        <v>1</v>
      </c>
      <c r="K117" t="s">
        <v>16</v>
      </c>
      <c r="L117" t="s">
        <v>16</v>
      </c>
      <c r="M117" t="s">
        <v>90</v>
      </c>
      <c r="N117">
        <v>3</v>
      </c>
    </row>
    <row r="118" ht="17" spans="1:14">
      <c r="A118" s="1" t="s">
        <v>125</v>
      </c>
      <c r="B118" t="s">
        <v>27</v>
      </c>
      <c r="C118" t="str">
        <f t="shared" si="4"/>
        <v>TS</v>
      </c>
      <c r="D118">
        <v>4</v>
      </c>
      <c r="E118" t="str">
        <f t="shared" si="5"/>
        <v>Partially Consistent</v>
      </c>
      <c r="F118" t="s">
        <v>20</v>
      </c>
      <c r="G118" t="str">
        <f t="shared" si="7"/>
        <v>LOW</v>
      </c>
      <c r="H118">
        <v>1</v>
      </c>
      <c r="I118">
        <v>0</v>
      </c>
      <c r="J118">
        <v>1</v>
      </c>
      <c r="K118" t="s">
        <v>16</v>
      </c>
      <c r="L118" t="s">
        <v>16</v>
      </c>
      <c r="M118" t="s">
        <v>90</v>
      </c>
      <c r="N118">
        <v>3</v>
      </c>
    </row>
    <row r="119" ht="17" spans="1:14">
      <c r="A119" s="1" t="s">
        <v>126</v>
      </c>
      <c r="B119" t="s">
        <v>35</v>
      </c>
      <c r="C119" t="str">
        <f t="shared" si="4"/>
        <v>OS</v>
      </c>
      <c r="D119">
        <v>4</v>
      </c>
      <c r="E119" t="str">
        <f t="shared" si="5"/>
        <v>Inconsistent</v>
      </c>
      <c r="F119" t="str">
        <f t="shared" si="6"/>
        <v>Low</v>
      </c>
      <c r="G119" t="str">
        <f t="shared" si="7"/>
        <v>LOW</v>
      </c>
      <c r="H119">
        <v>0</v>
      </c>
      <c r="I119">
        <v>0</v>
      </c>
      <c r="J119">
        <v>1</v>
      </c>
      <c r="K119" t="s">
        <v>16</v>
      </c>
      <c r="L119" t="s">
        <v>16</v>
      </c>
      <c r="M119" t="s">
        <v>90</v>
      </c>
      <c r="N119">
        <v>3</v>
      </c>
    </row>
    <row r="120" ht="34" spans="1:14">
      <c r="A120" s="1" t="s">
        <v>127</v>
      </c>
      <c r="B120" t="s">
        <v>15</v>
      </c>
      <c r="C120" t="str">
        <f t="shared" si="4"/>
        <v>OS</v>
      </c>
      <c r="D120">
        <v>4</v>
      </c>
      <c r="E120" t="str">
        <f t="shared" si="5"/>
        <v>Partially Consistent</v>
      </c>
      <c r="F120" t="str">
        <f t="shared" si="6"/>
        <v>Low</v>
      </c>
      <c r="G120" t="str">
        <f t="shared" si="7"/>
        <v>MODERATE</v>
      </c>
      <c r="H120">
        <v>0</v>
      </c>
      <c r="I120">
        <v>1</v>
      </c>
      <c r="J120">
        <v>0</v>
      </c>
      <c r="K120" t="s">
        <v>16</v>
      </c>
      <c r="L120" t="s">
        <v>16</v>
      </c>
      <c r="M120" t="s">
        <v>90</v>
      </c>
      <c r="N120">
        <v>3</v>
      </c>
    </row>
    <row r="121" ht="17" spans="1:14">
      <c r="A121" s="1" t="s">
        <v>128</v>
      </c>
      <c r="B121" t="s">
        <v>35</v>
      </c>
      <c r="C121" t="str">
        <f t="shared" si="4"/>
        <v>OS</v>
      </c>
      <c r="D121">
        <v>2</v>
      </c>
      <c r="E121" t="str">
        <f t="shared" si="5"/>
        <v>Partially Consistent</v>
      </c>
      <c r="F121" t="str">
        <f t="shared" si="6"/>
        <v>Low</v>
      </c>
      <c r="G121" t="str">
        <f t="shared" si="7"/>
        <v>MODERATE</v>
      </c>
      <c r="H121">
        <v>0</v>
      </c>
      <c r="I121">
        <v>0</v>
      </c>
      <c r="J121">
        <v>1</v>
      </c>
      <c r="K121" t="s">
        <v>16</v>
      </c>
      <c r="L121" t="s">
        <v>16</v>
      </c>
      <c r="M121" t="s">
        <v>90</v>
      </c>
      <c r="N121">
        <v>3</v>
      </c>
    </row>
    <row r="122" ht="17" spans="1:14">
      <c r="A122" s="1" t="s">
        <v>129</v>
      </c>
      <c r="B122" t="s">
        <v>35</v>
      </c>
      <c r="C122" t="str">
        <f t="shared" si="4"/>
        <v>OS</v>
      </c>
      <c r="D122">
        <v>2</v>
      </c>
      <c r="E122" t="str">
        <f t="shared" si="5"/>
        <v>Partially Consistent</v>
      </c>
      <c r="F122" t="str">
        <f t="shared" si="6"/>
        <v>Low</v>
      </c>
      <c r="G122" t="str">
        <f t="shared" si="7"/>
        <v>MODERATE</v>
      </c>
      <c r="H122">
        <v>0</v>
      </c>
      <c r="I122">
        <v>0</v>
      </c>
      <c r="J122">
        <v>1</v>
      </c>
      <c r="K122" t="s">
        <v>16</v>
      </c>
      <c r="L122" t="s">
        <v>16</v>
      </c>
      <c r="M122" t="s">
        <v>90</v>
      </c>
      <c r="N122">
        <v>3</v>
      </c>
    </row>
    <row r="123" ht="51" spans="1:14">
      <c r="A123" s="1" t="s">
        <v>130</v>
      </c>
      <c r="B123" t="s">
        <v>35</v>
      </c>
      <c r="C123" t="str">
        <f t="shared" si="4"/>
        <v>OS</v>
      </c>
      <c r="D123">
        <v>2</v>
      </c>
      <c r="E123" t="str">
        <f t="shared" si="5"/>
        <v>Partially Consistent</v>
      </c>
      <c r="F123" t="str">
        <f t="shared" si="6"/>
        <v>Low</v>
      </c>
      <c r="G123" t="str">
        <f t="shared" si="7"/>
        <v>MODERATE</v>
      </c>
      <c r="H123">
        <v>0</v>
      </c>
      <c r="I123">
        <v>0</v>
      </c>
      <c r="J123">
        <v>1</v>
      </c>
      <c r="K123" t="s">
        <v>16</v>
      </c>
      <c r="L123" t="s">
        <v>16</v>
      </c>
      <c r="M123" t="s">
        <v>90</v>
      </c>
      <c r="N123">
        <v>3</v>
      </c>
    </row>
    <row r="124" ht="17" spans="1:14">
      <c r="A124" s="1" t="s">
        <v>131</v>
      </c>
      <c r="B124" t="s">
        <v>27</v>
      </c>
      <c r="C124" t="str">
        <f t="shared" si="4"/>
        <v>TS</v>
      </c>
      <c r="D124">
        <v>2</v>
      </c>
      <c r="E124" t="str">
        <f t="shared" si="5"/>
        <v>Partially Consistent</v>
      </c>
      <c r="F124" t="str">
        <f t="shared" si="6"/>
        <v>High</v>
      </c>
      <c r="G124" t="str">
        <f t="shared" si="7"/>
        <v>MODERATE</v>
      </c>
      <c r="H124">
        <v>0</v>
      </c>
      <c r="I124">
        <v>0</v>
      </c>
      <c r="J124">
        <v>1</v>
      </c>
      <c r="K124" t="s">
        <v>16</v>
      </c>
      <c r="L124" t="s">
        <v>16</v>
      </c>
      <c r="M124" t="s">
        <v>90</v>
      </c>
      <c r="N124">
        <v>3</v>
      </c>
    </row>
    <row r="125" ht="34" spans="1:14">
      <c r="A125" s="1" t="s">
        <v>132</v>
      </c>
      <c r="B125" t="s">
        <v>27</v>
      </c>
      <c r="C125" t="str">
        <f t="shared" si="4"/>
        <v>TS</v>
      </c>
      <c r="D125">
        <v>2</v>
      </c>
      <c r="E125" t="str">
        <f t="shared" si="5"/>
        <v>Partially Consistent</v>
      </c>
      <c r="F125" t="str">
        <f t="shared" si="6"/>
        <v>High</v>
      </c>
      <c r="G125" t="str">
        <f t="shared" si="7"/>
        <v>MODERATE</v>
      </c>
      <c r="H125">
        <v>0</v>
      </c>
      <c r="I125">
        <v>0</v>
      </c>
      <c r="J125">
        <v>1</v>
      </c>
      <c r="K125" t="s">
        <v>16</v>
      </c>
      <c r="L125" t="s">
        <v>16</v>
      </c>
      <c r="M125" t="s">
        <v>90</v>
      </c>
      <c r="N125">
        <v>3</v>
      </c>
    </row>
    <row r="126" ht="101" spans="1:14">
      <c r="A126" s="1" t="s">
        <v>133</v>
      </c>
      <c r="B126" t="s">
        <v>27</v>
      </c>
      <c r="C126" t="str">
        <f t="shared" si="4"/>
        <v>TS</v>
      </c>
      <c r="D126">
        <v>2</v>
      </c>
      <c r="E126" t="str">
        <f t="shared" si="5"/>
        <v>Partially Consistent</v>
      </c>
      <c r="F126" t="str">
        <f t="shared" si="6"/>
        <v>High</v>
      </c>
      <c r="G126" t="str">
        <f t="shared" si="7"/>
        <v>MODERATE</v>
      </c>
      <c r="H126">
        <v>1</v>
      </c>
      <c r="I126">
        <v>0</v>
      </c>
      <c r="J126">
        <v>1</v>
      </c>
      <c r="K126" t="s">
        <v>16</v>
      </c>
      <c r="L126" t="s">
        <v>16</v>
      </c>
      <c r="M126" t="s">
        <v>90</v>
      </c>
      <c r="N126">
        <v>3</v>
      </c>
    </row>
    <row r="127" ht="17" spans="1:14">
      <c r="A127" s="1" t="s">
        <v>134</v>
      </c>
      <c r="B127" t="s">
        <v>35</v>
      </c>
      <c r="C127" t="str">
        <f t="shared" si="4"/>
        <v>OS</v>
      </c>
      <c r="D127">
        <v>2</v>
      </c>
      <c r="E127" t="str">
        <f t="shared" si="5"/>
        <v>Partially Consistent</v>
      </c>
      <c r="F127" t="str">
        <f t="shared" si="6"/>
        <v>Low</v>
      </c>
      <c r="G127" t="str">
        <f t="shared" si="7"/>
        <v>MODERATE</v>
      </c>
      <c r="H127">
        <v>0</v>
      </c>
      <c r="I127">
        <v>0</v>
      </c>
      <c r="J127" t="s">
        <v>16</v>
      </c>
      <c r="K127" t="s">
        <v>16</v>
      </c>
      <c r="L127" t="s">
        <v>16</v>
      </c>
      <c r="M127" t="s">
        <v>90</v>
      </c>
      <c r="N127">
        <v>3</v>
      </c>
    </row>
    <row r="128" ht="34" spans="1:14">
      <c r="A128" s="1" t="s">
        <v>135</v>
      </c>
      <c r="B128" t="s">
        <v>27</v>
      </c>
      <c r="C128" t="str">
        <f t="shared" si="4"/>
        <v>TS</v>
      </c>
      <c r="D128">
        <v>2</v>
      </c>
      <c r="E128" t="str">
        <f t="shared" si="5"/>
        <v>Partially Consistent</v>
      </c>
      <c r="F128" t="str">
        <f t="shared" si="6"/>
        <v>High</v>
      </c>
      <c r="G128" t="str">
        <f t="shared" si="7"/>
        <v>MODERATE</v>
      </c>
      <c r="H128">
        <v>1</v>
      </c>
      <c r="I128">
        <v>1</v>
      </c>
      <c r="J128" s="4">
        <v>1</v>
      </c>
      <c r="K128" t="s">
        <v>16</v>
      </c>
      <c r="L128" t="s">
        <v>16</v>
      </c>
      <c r="M128" t="s">
        <v>90</v>
      </c>
      <c r="N128">
        <v>3</v>
      </c>
    </row>
    <row r="129" ht="68" spans="1:14">
      <c r="A129" s="1" t="s">
        <v>136</v>
      </c>
      <c r="B129" t="s">
        <v>35</v>
      </c>
      <c r="C129" t="str">
        <f t="shared" si="4"/>
        <v>OS</v>
      </c>
      <c r="D129">
        <v>2</v>
      </c>
      <c r="E129" t="str">
        <f t="shared" si="5"/>
        <v>Partially Consistent</v>
      </c>
      <c r="F129" t="str">
        <f t="shared" si="6"/>
        <v>Low</v>
      </c>
      <c r="G129" t="str">
        <f t="shared" si="7"/>
        <v>MODERATE</v>
      </c>
      <c r="H129">
        <v>0</v>
      </c>
      <c r="I129">
        <v>0</v>
      </c>
      <c r="J129">
        <v>1</v>
      </c>
      <c r="K129" t="s">
        <v>16</v>
      </c>
      <c r="L129" t="s">
        <v>16</v>
      </c>
      <c r="M129" t="s">
        <v>90</v>
      </c>
      <c r="N129">
        <v>3</v>
      </c>
    </row>
    <row r="130" ht="17" spans="1:14">
      <c r="A130" s="1" t="s">
        <v>137</v>
      </c>
      <c r="B130" t="s">
        <v>35</v>
      </c>
      <c r="C130" t="str">
        <f t="shared" ref="C130:C179" si="8">IF(B130="NEUTRAL","TS","OS")</f>
        <v>OS</v>
      </c>
      <c r="D130">
        <v>2</v>
      </c>
      <c r="E130" t="str">
        <f t="shared" ref="E130:E179" si="9">IF(C130="TS",IF(D130=3,"Consistent",IF(OR(D130=2,D130=4),"Partially Consistent","Inconsistent")),IF(D130=3,"Inconsistent",IF(AND(D130=5,B130="POSITIVE"),"Consistent",IF(AND(D130=1,B130="NEGATIVE"),"Consistent",IF(AND(D130=4,B130="POSITIVE"),"Partially Consistent",IF(AND(D130=2,B130="NEGATIVE"),"Partially Consistent","Inconsistent"))))))</f>
        <v>Partially Consistent</v>
      </c>
      <c r="F130" t="str">
        <f t="shared" ref="F130:F179" si="10">IF(C130="TS","High","Low")</f>
        <v>Low</v>
      </c>
      <c r="G130" t="str">
        <f t="shared" ref="G130:G179" si="11">IF(AND(B130="NEUTRAL",F130="Low"),"LOW",IF(AND(C130="TS",F130="High",D130=3),"HIGH",IF(AND(C130="TS",F130="High",OR(D130=2,D130=4)),"MODERATE",IF(AND(C130="TS",F130="High",OR(D130=1,D130=5)),"LOW",IF(AND(C130="OS",E130="Consistent",OR(D130=1,D130=5)),"MODERATE",IF(AND(C130="OS",E130="Partially Consistent",OR(D130=2,D130=4)),"MODERATE","LOW"))))))</f>
        <v>MODERATE</v>
      </c>
      <c r="H130">
        <v>0</v>
      </c>
      <c r="I130">
        <v>0</v>
      </c>
      <c r="J130">
        <v>1</v>
      </c>
      <c r="K130" t="s">
        <v>16</v>
      </c>
      <c r="L130" t="s">
        <v>16</v>
      </c>
      <c r="M130" t="s">
        <v>90</v>
      </c>
      <c r="N130">
        <v>3</v>
      </c>
    </row>
    <row r="131" ht="17" spans="1:14">
      <c r="A131" s="1" t="s">
        <v>138</v>
      </c>
      <c r="B131" t="s">
        <v>27</v>
      </c>
      <c r="C131" t="str">
        <f t="shared" si="8"/>
        <v>TS</v>
      </c>
      <c r="D131">
        <v>2</v>
      </c>
      <c r="E131" t="str">
        <f t="shared" si="9"/>
        <v>Partially Consistent</v>
      </c>
      <c r="F131" t="s">
        <v>20</v>
      </c>
      <c r="G131" t="str">
        <f t="shared" si="11"/>
        <v>LOW</v>
      </c>
      <c r="H131">
        <v>0</v>
      </c>
      <c r="I131">
        <v>0</v>
      </c>
      <c r="J131">
        <v>1</v>
      </c>
      <c r="K131" t="s">
        <v>16</v>
      </c>
      <c r="L131" t="s">
        <v>16</v>
      </c>
      <c r="M131" t="s">
        <v>90</v>
      </c>
      <c r="N131">
        <v>3</v>
      </c>
    </row>
    <row r="132" ht="34" spans="1:14">
      <c r="A132" s="1" t="s">
        <v>139</v>
      </c>
      <c r="B132" t="s">
        <v>35</v>
      </c>
      <c r="C132" t="str">
        <f t="shared" si="8"/>
        <v>OS</v>
      </c>
      <c r="D132">
        <v>1</v>
      </c>
      <c r="E132" t="str">
        <f t="shared" si="9"/>
        <v>Consistent</v>
      </c>
      <c r="F132" t="str">
        <f t="shared" si="10"/>
        <v>Low</v>
      </c>
      <c r="G132" t="str">
        <f t="shared" si="11"/>
        <v>MODERATE</v>
      </c>
      <c r="H132">
        <v>1</v>
      </c>
      <c r="I132">
        <v>0</v>
      </c>
      <c r="J132">
        <v>1</v>
      </c>
      <c r="K132" t="s">
        <v>16</v>
      </c>
      <c r="L132" t="s">
        <v>16</v>
      </c>
      <c r="M132" t="s">
        <v>90</v>
      </c>
      <c r="N132">
        <v>3</v>
      </c>
    </row>
    <row r="133" ht="17" spans="1:14">
      <c r="A133" s="1" t="s">
        <v>140</v>
      </c>
      <c r="B133" t="s">
        <v>35</v>
      </c>
      <c r="C133" t="str">
        <f t="shared" si="8"/>
        <v>OS</v>
      </c>
      <c r="D133">
        <v>1</v>
      </c>
      <c r="E133" t="str">
        <f t="shared" si="9"/>
        <v>Consistent</v>
      </c>
      <c r="F133" t="str">
        <f t="shared" si="10"/>
        <v>Low</v>
      </c>
      <c r="G133" t="str">
        <f t="shared" si="11"/>
        <v>MODERATE</v>
      </c>
      <c r="H133">
        <v>0</v>
      </c>
      <c r="I133">
        <v>0</v>
      </c>
      <c r="J133">
        <v>1</v>
      </c>
      <c r="K133" t="s">
        <v>16</v>
      </c>
      <c r="L133" t="s">
        <v>16</v>
      </c>
      <c r="M133" t="s">
        <v>90</v>
      </c>
      <c r="N133">
        <v>3</v>
      </c>
    </row>
    <row r="134" ht="51" spans="1:14">
      <c r="A134" s="1" t="s">
        <v>141</v>
      </c>
      <c r="B134" t="s">
        <v>35</v>
      </c>
      <c r="C134" t="str">
        <f t="shared" si="8"/>
        <v>OS</v>
      </c>
      <c r="D134">
        <v>1</v>
      </c>
      <c r="E134" t="str">
        <f t="shared" si="9"/>
        <v>Consistent</v>
      </c>
      <c r="F134" t="str">
        <f t="shared" si="10"/>
        <v>Low</v>
      </c>
      <c r="G134" t="str">
        <f t="shared" si="11"/>
        <v>MODERATE</v>
      </c>
      <c r="H134">
        <v>0</v>
      </c>
      <c r="I134">
        <v>0</v>
      </c>
      <c r="J134">
        <v>1</v>
      </c>
      <c r="K134" t="s">
        <v>16</v>
      </c>
      <c r="L134" t="s">
        <v>16</v>
      </c>
      <c r="M134" t="s">
        <v>90</v>
      </c>
      <c r="N134">
        <v>3</v>
      </c>
    </row>
    <row r="135" ht="17" spans="1:14">
      <c r="A135" s="1" t="s">
        <v>142</v>
      </c>
      <c r="B135" t="s">
        <v>27</v>
      </c>
      <c r="C135" t="str">
        <f t="shared" si="8"/>
        <v>TS</v>
      </c>
      <c r="D135">
        <v>1</v>
      </c>
      <c r="E135" t="str">
        <f t="shared" si="9"/>
        <v>Inconsistent</v>
      </c>
      <c r="F135" t="str">
        <f t="shared" si="10"/>
        <v>High</v>
      </c>
      <c r="G135" t="str">
        <f t="shared" si="11"/>
        <v>LOW</v>
      </c>
      <c r="H135">
        <v>0</v>
      </c>
      <c r="I135">
        <v>0</v>
      </c>
      <c r="J135">
        <v>1</v>
      </c>
      <c r="K135" t="s">
        <v>16</v>
      </c>
      <c r="L135" t="s">
        <v>16</v>
      </c>
      <c r="M135" t="s">
        <v>90</v>
      </c>
      <c r="N135">
        <v>3</v>
      </c>
    </row>
    <row r="136" ht="17" spans="1:14">
      <c r="A136" s="1" t="s">
        <v>143</v>
      </c>
      <c r="B136" t="s">
        <v>35</v>
      </c>
      <c r="C136" t="str">
        <f t="shared" si="8"/>
        <v>OS</v>
      </c>
      <c r="D136">
        <v>1</v>
      </c>
      <c r="E136" t="str">
        <f t="shared" si="9"/>
        <v>Consistent</v>
      </c>
      <c r="F136" t="str">
        <f t="shared" si="10"/>
        <v>Low</v>
      </c>
      <c r="G136" t="str">
        <f t="shared" si="11"/>
        <v>MODERATE</v>
      </c>
      <c r="H136">
        <v>0</v>
      </c>
      <c r="I136">
        <v>0</v>
      </c>
      <c r="J136">
        <v>1</v>
      </c>
      <c r="K136" t="s">
        <v>16</v>
      </c>
      <c r="L136" t="s">
        <v>16</v>
      </c>
      <c r="M136" t="s">
        <v>90</v>
      </c>
      <c r="N136">
        <v>3</v>
      </c>
    </row>
    <row r="137" ht="34" spans="1:14">
      <c r="A137" s="1" t="s">
        <v>144</v>
      </c>
      <c r="B137" t="s">
        <v>27</v>
      </c>
      <c r="C137" t="str">
        <f t="shared" si="8"/>
        <v>TS</v>
      </c>
      <c r="D137">
        <v>1</v>
      </c>
      <c r="E137" t="str">
        <f t="shared" si="9"/>
        <v>Inconsistent</v>
      </c>
      <c r="F137" t="str">
        <f t="shared" si="10"/>
        <v>High</v>
      </c>
      <c r="G137" t="str">
        <f t="shared" si="11"/>
        <v>LOW</v>
      </c>
      <c r="H137">
        <v>0</v>
      </c>
      <c r="I137">
        <v>0</v>
      </c>
      <c r="J137">
        <v>1</v>
      </c>
      <c r="K137" t="s">
        <v>16</v>
      </c>
      <c r="L137" t="s">
        <v>16</v>
      </c>
      <c r="M137" t="s">
        <v>90</v>
      </c>
      <c r="N137">
        <v>3</v>
      </c>
    </row>
    <row r="138" ht="51" spans="1:14">
      <c r="A138" s="1" t="s">
        <v>145</v>
      </c>
      <c r="B138" t="s">
        <v>35</v>
      </c>
      <c r="C138" t="str">
        <f t="shared" si="8"/>
        <v>OS</v>
      </c>
      <c r="D138">
        <v>1</v>
      </c>
      <c r="E138" t="str">
        <f t="shared" si="9"/>
        <v>Consistent</v>
      </c>
      <c r="F138" t="str">
        <f t="shared" si="10"/>
        <v>Low</v>
      </c>
      <c r="G138" t="str">
        <f t="shared" si="11"/>
        <v>MODERATE</v>
      </c>
      <c r="H138">
        <v>0</v>
      </c>
      <c r="I138">
        <v>0</v>
      </c>
      <c r="J138">
        <v>1</v>
      </c>
      <c r="K138" t="s">
        <v>16</v>
      </c>
      <c r="L138" t="s">
        <v>16</v>
      </c>
      <c r="M138" t="s">
        <v>90</v>
      </c>
      <c r="N138">
        <v>3</v>
      </c>
    </row>
    <row r="139" ht="17" spans="1:14">
      <c r="A139" s="1" t="s">
        <v>146</v>
      </c>
      <c r="B139" t="s">
        <v>35</v>
      </c>
      <c r="C139" t="str">
        <f t="shared" si="8"/>
        <v>OS</v>
      </c>
      <c r="D139">
        <v>1</v>
      </c>
      <c r="E139" t="str">
        <f t="shared" si="9"/>
        <v>Consistent</v>
      </c>
      <c r="F139" t="str">
        <f t="shared" si="10"/>
        <v>Low</v>
      </c>
      <c r="G139" t="str">
        <f t="shared" si="11"/>
        <v>MODERATE</v>
      </c>
      <c r="H139">
        <v>0</v>
      </c>
      <c r="I139">
        <v>0</v>
      </c>
      <c r="J139">
        <v>1</v>
      </c>
      <c r="K139" t="s">
        <v>16</v>
      </c>
      <c r="L139" t="s">
        <v>16</v>
      </c>
      <c r="M139" t="s">
        <v>90</v>
      </c>
      <c r="N139">
        <v>3</v>
      </c>
    </row>
    <row r="140" ht="17" spans="1:14">
      <c r="A140" s="1" t="s">
        <v>147</v>
      </c>
      <c r="B140" t="s">
        <v>15</v>
      </c>
      <c r="C140" t="str">
        <f t="shared" si="8"/>
        <v>OS</v>
      </c>
      <c r="D140">
        <v>1</v>
      </c>
      <c r="E140" t="str">
        <f t="shared" si="9"/>
        <v>Inconsistent</v>
      </c>
      <c r="F140" t="str">
        <f t="shared" si="10"/>
        <v>Low</v>
      </c>
      <c r="G140" t="str">
        <f t="shared" si="11"/>
        <v>LOW</v>
      </c>
      <c r="H140">
        <v>0</v>
      </c>
      <c r="I140">
        <v>0</v>
      </c>
      <c r="J140">
        <v>1</v>
      </c>
      <c r="K140" t="s">
        <v>16</v>
      </c>
      <c r="L140" t="s">
        <v>16</v>
      </c>
      <c r="M140" t="s">
        <v>90</v>
      </c>
      <c r="N140">
        <v>3</v>
      </c>
    </row>
    <row r="141" ht="34" spans="1:14">
      <c r="A141" s="1" t="s">
        <v>139</v>
      </c>
      <c r="B141" t="s">
        <v>35</v>
      </c>
      <c r="C141" t="str">
        <f t="shared" si="8"/>
        <v>OS</v>
      </c>
      <c r="D141">
        <v>1</v>
      </c>
      <c r="E141" t="str">
        <f t="shared" si="9"/>
        <v>Consistent</v>
      </c>
      <c r="F141" t="str">
        <f t="shared" si="10"/>
        <v>Low</v>
      </c>
      <c r="G141" t="str">
        <f t="shared" si="11"/>
        <v>MODERATE</v>
      </c>
      <c r="H141">
        <v>1</v>
      </c>
      <c r="I141">
        <v>0</v>
      </c>
      <c r="J141">
        <v>1</v>
      </c>
      <c r="K141" t="s">
        <v>16</v>
      </c>
      <c r="L141" t="s">
        <v>16</v>
      </c>
      <c r="M141" t="s">
        <v>90</v>
      </c>
      <c r="N141">
        <v>3</v>
      </c>
    </row>
    <row r="142" ht="17" spans="1:14">
      <c r="A142" s="1" t="s">
        <v>140</v>
      </c>
      <c r="B142" t="s">
        <v>35</v>
      </c>
      <c r="C142" t="str">
        <f t="shared" si="8"/>
        <v>OS</v>
      </c>
      <c r="D142">
        <v>1</v>
      </c>
      <c r="E142" t="str">
        <f t="shared" si="9"/>
        <v>Consistent</v>
      </c>
      <c r="F142" t="str">
        <f t="shared" si="10"/>
        <v>Low</v>
      </c>
      <c r="G142" t="str">
        <f t="shared" si="11"/>
        <v>MODERATE</v>
      </c>
      <c r="H142">
        <v>0</v>
      </c>
      <c r="I142">
        <v>0</v>
      </c>
      <c r="J142">
        <v>1</v>
      </c>
      <c r="K142" t="s">
        <v>16</v>
      </c>
      <c r="L142" t="s">
        <v>16</v>
      </c>
      <c r="M142" t="s">
        <v>90</v>
      </c>
      <c r="N142">
        <v>3</v>
      </c>
    </row>
    <row r="143" ht="51" spans="1:14">
      <c r="A143" s="1" t="s">
        <v>141</v>
      </c>
      <c r="B143" t="s">
        <v>35</v>
      </c>
      <c r="C143" t="str">
        <f t="shared" si="8"/>
        <v>OS</v>
      </c>
      <c r="D143">
        <v>1</v>
      </c>
      <c r="E143" t="str">
        <f t="shared" si="9"/>
        <v>Consistent</v>
      </c>
      <c r="F143" t="str">
        <f t="shared" si="10"/>
        <v>Low</v>
      </c>
      <c r="G143" t="str">
        <f t="shared" si="11"/>
        <v>MODERATE</v>
      </c>
      <c r="H143">
        <v>0</v>
      </c>
      <c r="I143">
        <v>0</v>
      </c>
      <c r="J143">
        <v>1</v>
      </c>
      <c r="K143" t="s">
        <v>16</v>
      </c>
      <c r="L143" t="s">
        <v>16</v>
      </c>
      <c r="M143" t="s">
        <v>90</v>
      </c>
      <c r="N143">
        <v>3</v>
      </c>
    </row>
    <row r="144" ht="17" spans="1:14">
      <c r="A144" s="1" t="s">
        <v>142</v>
      </c>
      <c r="B144" t="s">
        <v>27</v>
      </c>
      <c r="C144" t="str">
        <f t="shared" si="8"/>
        <v>TS</v>
      </c>
      <c r="D144">
        <v>1</v>
      </c>
      <c r="E144" t="str">
        <f t="shared" si="9"/>
        <v>Inconsistent</v>
      </c>
      <c r="F144" t="str">
        <f t="shared" si="10"/>
        <v>High</v>
      </c>
      <c r="G144" t="str">
        <f t="shared" si="11"/>
        <v>LOW</v>
      </c>
      <c r="H144">
        <v>0</v>
      </c>
      <c r="I144">
        <v>0</v>
      </c>
      <c r="J144">
        <v>1</v>
      </c>
      <c r="K144" t="s">
        <v>16</v>
      </c>
      <c r="L144" t="s">
        <v>16</v>
      </c>
      <c r="M144" t="s">
        <v>90</v>
      </c>
      <c r="N144">
        <v>3</v>
      </c>
    </row>
    <row r="145" ht="17" spans="1:14">
      <c r="A145" s="1" t="s">
        <v>143</v>
      </c>
      <c r="B145" t="s">
        <v>35</v>
      </c>
      <c r="C145" t="str">
        <f t="shared" si="8"/>
        <v>OS</v>
      </c>
      <c r="D145">
        <v>1</v>
      </c>
      <c r="E145" t="str">
        <f t="shared" si="9"/>
        <v>Consistent</v>
      </c>
      <c r="F145" t="str">
        <f t="shared" si="10"/>
        <v>Low</v>
      </c>
      <c r="G145" t="str">
        <f t="shared" si="11"/>
        <v>MODERATE</v>
      </c>
      <c r="H145">
        <v>0</v>
      </c>
      <c r="I145">
        <v>0</v>
      </c>
      <c r="J145">
        <v>1</v>
      </c>
      <c r="K145" t="s">
        <v>16</v>
      </c>
      <c r="L145" t="s">
        <v>16</v>
      </c>
      <c r="M145" t="s">
        <v>90</v>
      </c>
      <c r="N145">
        <v>3</v>
      </c>
    </row>
    <row r="146" ht="34" spans="1:14">
      <c r="A146" s="1" t="s">
        <v>144</v>
      </c>
      <c r="B146" t="s">
        <v>27</v>
      </c>
      <c r="C146" t="str">
        <f t="shared" si="8"/>
        <v>TS</v>
      </c>
      <c r="D146">
        <v>1</v>
      </c>
      <c r="E146" t="str">
        <f t="shared" si="9"/>
        <v>Inconsistent</v>
      </c>
      <c r="F146" t="str">
        <f t="shared" si="10"/>
        <v>High</v>
      </c>
      <c r="G146" t="str">
        <f t="shared" si="11"/>
        <v>LOW</v>
      </c>
      <c r="H146">
        <v>0</v>
      </c>
      <c r="I146">
        <v>0</v>
      </c>
      <c r="J146">
        <v>1</v>
      </c>
      <c r="K146" t="s">
        <v>16</v>
      </c>
      <c r="L146" t="s">
        <v>16</v>
      </c>
      <c r="M146" t="s">
        <v>90</v>
      </c>
      <c r="N146">
        <v>3</v>
      </c>
    </row>
    <row r="147" ht="51" spans="1:14">
      <c r="A147" s="1" t="s">
        <v>145</v>
      </c>
      <c r="B147" t="s">
        <v>35</v>
      </c>
      <c r="C147" t="str">
        <f t="shared" si="8"/>
        <v>OS</v>
      </c>
      <c r="D147">
        <v>1</v>
      </c>
      <c r="E147" t="str">
        <f t="shared" si="9"/>
        <v>Consistent</v>
      </c>
      <c r="F147" t="str">
        <f t="shared" si="10"/>
        <v>Low</v>
      </c>
      <c r="G147" t="str">
        <f t="shared" si="11"/>
        <v>MODERATE</v>
      </c>
      <c r="H147">
        <v>0</v>
      </c>
      <c r="I147">
        <v>0</v>
      </c>
      <c r="J147">
        <v>1</v>
      </c>
      <c r="K147" t="s">
        <v>16</v>
      </c>
      <c r="L147" t="s">
        <v>16</v>
      </c>
      <c r="M147" t="s">
        <v>90</v>
      </c>
      <c r="N147">
        <v>3</v>
      </c>
    </row>
    <row r="148" ht="17" spans="1:14">
      <c r="A148" s="1" t="s">
        <v>146</v>
      </c>
      <c r="B148" t="s">
        <v>35</v>
      </c>
      <c r="C148" t="str">
        <f t="shared" si="8"/>
        <v>OS</v>
      </c>
      <c r="D148">
        <v>1</v>
      </c>
      <c r="E148" t="str">
        <f t="shared" si="9"/>
        <v>Consistent</v>
      </c>
      <c r="F148" t="str">
        <f t="shared" si="10"/>
        <v>Low</v>
      </c>
      <c r="G148" t="str">
        <f t="shared" si="11"/>
        <v>MODERATE</v>
      </c>
      <c r="H148">
        <v>0</v>
      </c>
      <c r="I148">
        <v>0</v>
      </c>
      <c r="J148">
        <v>1</v>
      </c>
      <c r="K148" t="s">
        <v>16</v>
      </c>
      <c r="L148" t="s">
        <v>16</v>
      </c>
      <c r="M148" t="s">
        <v>90</v>
      </c>
      <c r="N148">
        <v>3</v>
      </c>
    </row>
    <row r="149" ht="17" spans="1:14">
      <c r="A149" s="1" t="s">
        <v>147</v>
      </c>
      <c r="B149" t="s">
        <v>15</v>
      </c>
      <c r="C149" t="str">
        <f t="shared" si="8"/>
        <v>OS</v>
      </c>
      <c r="D149">
        <v>1</v>
      </c>
      <c r="E149" t="str">
        <f t="shared" si="9"/>
        <v>Inconsistent</v>
      </c>
      <c r="F149" t="str">
        <f t="shared" si="10"/>
        <v>Low</v>
      </c>
      <c r="G149" t="str">
        <f t="shared" si="11"/>
        <v>LOW</v>
      </c>
      <c r="H149">
        <v>0</v>
      </c>
      <c r="I149">
        <v>0</v>
      </c>
      <c r="J149">
        <v>1</v>
      </c>
      <c r="K149" t="s">
        <v>16</v>
      </c>
      <c r="L149" t="s">
        <v>16</v>
      </c>
      <c r="M149" t="s">
        <v>90</v>
      </c>
      <c r="N149">
        <v>3</v>
      </c>
    </row>
    <row r="150" ht="17" spans="1:14">
      <c r="A150" s="1" t="s">
        <v>148</v>
      </c>
      <c r="B150" t="s">
        <v>35</v>
      </c>
      <c r="C150" t="str">
        <f t="shared" si="8"/>
        <v>OS</v>
      </c>
      <c r="D150">
        <v>1</v>
      </c>
      <c r="E150" t="str">
        <f t="shared" si="9"/>
        <v>Consistent</v>
      </c>
      <c r="F150" t="str">
        <f t="shared" si="10"/>
        <v>Low</v>
      </c>
      <c r="G150" t="str">
        <f t="shared" si="11"/>
        <v>MODERATE</v>
      </c>
      <c r="H150">
        <v>0</v>
      </c>
      <c r="I150">
        <v>0</v>
      </c>
      <c r="J150">
        <v>1</v>
      </c>
      <c r="K150" t="s">
        <v>16</v>
      </c>
      <c r="L150" t="s">
        <v>16</v>
      </c>
      <c r="M150" t="s">
        <v>90</v>
      </c>
      <c r="N150">
        <v>3</v>
      </c>
    </row>
    <row r="151" ht="51" spans="1:14">
      <c r="A151" s="1" t="s">
        <v>149</v>
      </c>
      <c r="B151" t="s">
        <v>35</v>
      </c>
      <c r="C151" t="str">
        <f t="shared" si="8"/>
        <v>OS</v>
      </c>
      <c r="D151">
        <v>1</v>
      </c>
      <c r="E151" t="str">
        <f t="shared" si="9"/>
        <v>Consistent</v>
      </c>
      <c r="F151" t="str">
        <f t="shared" si="10"/>
        <v>Low</v>
      </c>
      <c r="G151" t="str">
        <f t="shared" si="11"/>
        <v>MODERATE</v>
      </c>
      <c r="H151">
        <v>0</v>
      </c>
      <c r="I151">
        <v>0</v>
      </c>
      <c r="J151">
        <v>1</v>
      </c>
      <c r="K151" t="s">
        <v>16</v>
      </c>
      <c r="L151" t="s">
        <v>16</v>
      </c>
      <c r="M151" t="s">
        <v>90</v>
      </c>
      <c r="N151">
        <v>3</v>
      </c>
    </row>
    <row r="152" ht="84" spans="1:14">
      <c r="A152" s="1" t="s">
        <v>150</v>
      </c>
      <c r="B152" t="s">
        <v>35</v>
      </c>
      <c r="C152" t="str">
        <f t="shared" si="8"/>
        <v>OS</v>
      </c>
      <c r="D152">
        <v>1</v>
      </c>
      <c r="E152" t="str">
        <f t="shared" si="9"/>
        <v>Consistent</v>
      </c>
      <c r="F152" t="str">
        <f t="shared" si="10"/>
        <v>Low</v>
      </c>
      <c r="G152" t="str">
        <f t="shared" si="11"/>
        <v>MODERATE</v>
      </c>
      <c r="H152">
        <v>0</v>
      </c>
      <c r="I152">
        <v>0</v>
      </c>
      <c r="J152">
        <v>1</v>
      </c>
      <c r="K152" t="s">
        <v>16</v>
      </c>
      <c r="L152" t="s">
        <v>16</v>
      </c>
      <c r="M152" t="s">
        <v>90</v>
      </c>
      <c r="N152">
        <v>3</v>
      </c>
    </row>
    <row r="153" ht="34" spans="1:14">
      <c r="A153" s="1" t="s">
        <v>151</v>
      </c>
      <c r="B153" t="s">
        <v>27</v>
      </c>
      <c r="C153" t="str">
        <f t="shared" si="8"/>
        <v>TS</v>
      </c>
      <c r="D153">
        <v>1</v>
      </c>
      <c r="E153" t="str">
        <f t="shared" si="9"/>
        <v>Inconsistent</v>
      </c>
      <c r="F153" t="str">
        <f t="shared" si="10"/>
        <v>High</v>
      </c>
      <c r="G153" t="str">
        <f t="shared" si="11"/>
        <v>LOW</v>
      </c>
      <c r="H153">
        <v>0</v>
      </c>
      <c r="I153">
        <v>0</v>
      </c>
      <c r="J153">
        <v>1</v>
      </c>
      <c r="K153" t="s">
        <v>16</v>
      </c>
      <c r="L153" t="s">
        <v>16</v>
      </c>
      <c r="M153" t="s">
        <v>90</v>
      </c>
      <c r="N153">
        <v>3</v>
      </c>
    </row>
    <row r="154" ht="34" spans="1:14">
      <c r="A154" s="1" t="s">
        <v>152</v>
      </c>
      <c r="B154" t="s">
        <v>35</v>
      </c>
      <c r="C154" t="str">
        <f t="shared" si="8"/>
        <v>OS</v>
      </c>
      <c r="D154">
        <v>1</v>
      </c>
      <c r="E154" t="str">
        <f t="shared" si="9"/>
        <v>Consistent</v>
      </c>
      <c r="F154" t="str">
        <f t="shared" si="10"/>
        <v>Low</v>
      </c>
      <c r="G154" t="str">
        <f t="shared" si="11"/>
        <v>MODERATE</v>
      </c>
      <c r="H154">
        <v>0</v>
      </c>
      <c r="I154">
        <v>0</v>
      </c>
      <c r="J154">
        <v>1</v>
      </c>
      <c r="K154" t="s">
        <v>16</v>
      </c>
      <c r="L154" t="s">
        <v>16</v>
      </c>
      <c r="M154" t="s">
        <v>90</v>
      </c>
      <c r="N154">
        <v>3</v>
      </c>
    </row>
    <row r="155" ht="17" spans="1:14">
      <c r="A155" s="1" t="s">
        <v>153</v>
      </c>
      <c r="B155" t="s">
        <v>15</v>
      </c>
      <c r="C155" t="str">
        <f t="shared" si="8"/>
        <v>OS</v>
      </c>
      <c r="D155">
        <v>1</v>
      </c>
      <c r="E155" t="str">
        <f t="shared" si="9"/>
        <v>Inconsistent</v>
      </c>
      <c r="F155" t="str">
        <f t="shared" si="10"/>
        <v>Low</v>
      </c>
      <c r="G155" t="str">
        <f t="shared" si="11"/>
        <v>LOW</v>
      </c>
      <c r="H155">
        <v>0</v>
      </c>
      <c r="I155">
        <v>0</v>
      </c>
      <c r="J155">
        <v>1</v>
      </c>
      <c r="K155" t="s">
        <v>16</v>
      </c>
      <c r="L155" t="s">
        <v>16</v>
      </c>
      <c r="M155" t="s">
        <v>90</v>
      </c>
      <c r="N155">
        <v>3</v>
      </c>
    </row>
    <row r="156" ht="17" spans="1:14">
      <c r="A156" s="1" t="s">
        <v>154</v>
      </c>
      <c r="B156" t="s">
        <v>15</v>
      </c>
      <c r="C156" t="str">
        <f t="shared" si="8"/>
        <v>OS</v>
      </c>
      <c r="D156">
        <v>1</v>
      </c>
      <c r="E156" t="str">
        <f t="shared" si="9"/>
        <v>Inconsistent</v>
      </c>
      <c r="F156" t="str">
        <f t="shared" si="10"/>
        <v>Low</v>
      </c>
      <c r="G156" t="str">
        <f t="shared" si="11"/>
        <v>LOW</v>
      </c>
      <c r="H156">
        <v>0</v>
      </c>
      <c r="I156">
        <v>0</v>
      </c>
      <c r="J156">
        <v>1</v>
      </c>
      <c r="K156" t="s">
        <v>16</v>
      </c>
      <c r="L156" t="s">
        <v>16</v>
      </c>
      <c r="M156" t="s">
        <v>90</v>
      </c>
      <c r="N156">
        <v>3</v>
      </c>
    </row>
    <row r="157" ht="17" spans="1:14">
      <c r="A157" s="1" t="s">
        <v>155</v>
      </c>
      <c r="B157" t="s">
        <v>35</v>
      </c>
      <c r="C157" t="str">
        <f t="shared" si="8"/>
        <v>OS</v>
      </c>
      <c r="D157">
        <v>1</v>
      </c>
      <c r="E157" t="str">
        <f t="shared" si="9"/>
        <v>Consistent</v>
      </c>
      <c r="F157" t="str">
        <f t="shared" si="10"/>
        <v>Low</v>
      </c>
      <c r="G157" t="str">
        <f t="shared" si="11"/>
        <v>MODERATE</v>
      </c>
      <c r="H157">
        <v>0</v>
      </c>
      <c r="I157">
        <v>0</v>
      </c>
      <c r="J157">
        <v>1</v>
      </c>
      <c r="K157" t="s">
        <v>16</v>
      </c>
      <c r="L157" t="s">
        <v>16</v>
      </c>
      <c r="M157" t="s">
        <v>90</v>
      </c>
      <c r="N157">
        <v>3</v>
      </c>
    </row>
    <row r="158" ht="51" spans="1:14">
      <c r="A158" s="1" t="s">
        <v>156</v>
      </c>
      <c r="B158" t="s">
        <v>35</v>
      </c>
      <c r="C158" t="str">
        <f t="shared" si="8"/>
        <v>OS</v>
      </c>
      <c r="D158">
        <v>1</v>
      </c>
      <c r="E158" t="str">
        <f t="shared" si="9"/>
        <v>Consistent</v>
      </c>
      <c r="F158" t="str">
        <f t="shared" si="10"/>
        <v>Low</v>
      </c>
      <c r="G158" t="str">
        <f t="shared" si="11"/>
        <v>MODERATE</v>
      </c>
      <c r="H158">
        <v>0</v>
      </c>
      <c r="I158">
        <v>0</v>
      </c>
      <c r="J158">
        <v>1</v>
      </c>
      <c r="K158" t="s">
        <v>16</v>
      </c>
      <c r="L158" t="s">
        <v>16</v>
      </c>
      <c r="M158" t="s">
        <v>90</v>
      </c>
      <c r="N158">
        <v>3</v>
      </c>
    </row>
    <row r="159" ht="51" spans="1:14">
      <c r="A159" s="1" t="s">
        <v>157</v>
      </c>
      <c r="B159" t="s">
        <v>35</v>
      </c>
      <c r="C159" t="str">
        <f t="shared" si="8"/>
        <v>OS</v>
      </c>
      <c r="D159">
        <v>1</v>
      </c>
      <c r="E159" t="str">
        <f t="shared" si="9"/>
        <v>Consistent</v>
      </c>
      <c r="F159" t="str">
        <f t="shared" si="10"/>
        <v>Low</v>
      </c>
      <c r="G159" t="str">
        <f t="shared" si="11"/>
        <v>MODERATE</v>
      </c>
      <c r="H159">
        <v>0</v>
      </c>
      <c r="I159">
        <v>0</v>
      </c>
      <c r="J159">
        <v>1</v>
      </c>
      <c r="K159" t="s">
        <v>16</v>
      </c>
      <c r="L159" t="s">
        <v>16</v>
      </c>
      <c r="M159" t="s">
        <v>90</v>
      </c>
      <c r="N159">
        <v>3</v>
      </c>
    </row>
    <row r="160" ht="17" spans="1:14">
      <c r="A160" s="1" t="s">
        <v>158</v>
      </c>
      <c r="B160" t="s">
        <v>35</v>
      </c>
      <c r="C160" t="str">
        <f t="shared" si="8"/>
        <v>OS</v>
      </c>
      <c r="D160">
        <v>1</v>
      </c>
      <c r="E160" t="str">
        <f t="shared" si="9"/>
        <v>Consistent</v>
      </c>
      <c r="F160" t="str">
        <f t="shared" si="10"/>
        <v>Low</v>
      </c>
      <c r="G160" t="str">
        <f t="shared" si="11"/>
        <v>MODERATE</v>
      </c>
      <c r="H160">
        <v>0</v>
      </c>
      <c r="I160">
        <v>0</v>
      </c>
      <c r="J160">
        <v>1</v>
      </c>
      <c r="K160" t="s">
        <v>16</v>
      </c>
      <c r="L160" t="s">
        <v>16</v>
      </c>
      <c r="M160" t="s">
        <v>90</v>
      </c>
      <c r="N160">
        <v>3</v>
      </c>
    </row>
    <row r="161" ht="34" spans="1:14">
      <c r="A161" s="1" t="s">
        <v>159</v>
      </c>
      <c r="B161" t="s">
        <v>35</v>
      </c>
      <c r="C161" t="str">
        <f t="shared" si="8"/>
        <v>OS</v>
      </c>
      <c r="D161">
        <v>3</v>
      </c>
      <c r="E161" t="str">
        <f t="shared" si="9"/>
        <v>Inconsistent</v>
      </c>
      <c r="F161" t="str">
        <f t="shared" si="10"/>
        <v>Low</v>
      </c>
      <c r="G161" t="str">
        <f t="shared" si="11"/>
        <v>LOW</v>
      </c>
      <c r="H161">
        <v>0</v>
      </c>
      <c r="I161">
        <v>0</v>
      </c>
      <c r="J161">
        <v>1</v>
      </c>
      <c r="K161" t="s">
        <v>16</v>
      </c>
      <c r="L161" t="s">
        <v>16</v>
      </c>
      <c r="M161" t="s">
        <v>90</v>
      </c>
      <c r="N161">
        <v>3</v>
      </c>
    </row>
    <row r="162" ht="68" spans="1:14">
      <c r="A162" s="1" t="s">
        <v>160</v>
      </c>
      <c r="B162" t="s">
        <v>27</v>
      </c>
      <c r="C162" t="str">
        <f t="shared" si="8"/>
        <v>TS</v>
      </c>
      <c r="D162">
        <v>3</v>
      </c>
      <c r="E162" t="str">
        <f t="shared" si="9"/>
        <v>Consistent</v>
      </c>
      <c r="F162" t="str">
        <f t="shared" si="10"/>
        <v>High</v>
      </c>
      <c r="G162" t="str">
        <f t="shared" si="11"/>
        <v>HIGH</v>
      </c>
      <c r="H162">
        <v>0</v>
      </c>
      <c r="I162">
        <v>0</v>
      </c>
      <c r="J162">
        <v>1</v>
      </c>
      <c r="K162" t="s">
        <v>16</v>
      </c>
      <c r="L162" t="s">
        <v>16</v>
      </c>
      <c r="M162" t="s">
        <v>90</v>
      </c>
      <c r="N162">
        <v>3</v>
      </c>
    </row>
    <row r="163" ht="34" spans="1:14">
      <c r="A163" s="1" t="s">
        <v>161</v>
      </c>
      <c r="B163" t="s">
        <v>15</v>
      </c>
      <c r="C163" t="str">
        <f t="shared" si="8"/>
        <v>OS</v>
      </c>
      <c r="D163">
        <v>3</v>
      </c>
      <c r="E163" t="str">
        <f t="shared" si="9"/>
        <v>Inconsistent</v>
      </c>
      <c r="F163" t="str">
        <f t="shared" si="10"/>
        <v>Low</v>
      </c>
      <c r="G163" t="str">
        <f t="shared" si="11"/>
        <v>LOW</v>
      </c>
      <c r="H163">
        <v>0</v>
      </c>
      <c r="I163">
        <v>1</v>
      </c>
      <c r="J163">
        <v>0</v>
      </c>
      <c r="K163" t="s">
        <v>16</v>
      </c>
      <c r="L163" t="s">
        <v>16</v>
      </c>
      <c r="M163" t="s">
        <v>90</v>
      </c>
      <c r="N163">
        <v>3</v>
      </c>
    </row>
    <row r="164" ht="17" spans="1:14">
      <c r="A164" s="1" t="s">
        <v>162</v>
      </c>
      <c r="B164" t="s">
        <v>27</v>
      </c>
      <c r="C164" t="str">
        <f t="shared" si="8"/>
        <v>TS</v>
      </c>
      <c r="D164">
        <v>3</v>
      </c>
      <c r="E164" t="str">
        <f t="shared" si="9"/>
        <v>Consistent</v>
      </c>
      <c r="F164" t="str">
        <f t="shared" si="10"/>
        <v>High</v>
      </c>
      <c r="G164" t="str">
        <f t="shared" si="11"/>
        <v>HIGH</v>
      </c>
      <c r="H164">
        <v>0</v>
      </c>
      <c r="I164">
        <v>0</v>
      </c>
      <c r="J164">
        <v>1</v>
      </c>
      <c r="K164" t="s">
        <v>16</v>
      </c>
      <c r="L164" t="s">
        <v>16</v>
      </c>
      <c r="M164" t="s">
        <v>90</v>
      </c>
      <c r="N164">
        <v>3</v>
      </c>
    </row>
    <row r="165" ht="51" spans="1:14">
      <c r="A165" s="1" t="s">
        <v>163</v>
      </c>
      <c r="B165" t="s">
        <v>35</v>
      </c>
      <c r="C165" t="str">
        <f t="shared" si="8"/>
        <v>OS</v>
      </c>
      <c r="D165">
        <v>3</v>
      </c>
      <c r="E165" t="str">
        <f t="shared" si="9"/>
        <v>Inconsistent</v>
      </c>
      <c r="F165" t="str">
        <f t="shared" si="10"/>
        <v>Low</v>
      </c>
      <c r="G165" t="str">
        <f t="shared" si="11"/>
        <v>LOW</v>
      </c>
      <c r="H165">
        <v>0</v>
      </c>
      <c r="I165">
        <v>0</v>
      </c>
      <c r="J165">
        <v>1</v>
      </c>
      <c r="K165" t="s">
        <v>16</v>
      </c>
      <c r="L165" t="s">
        <v>16</v>
      </c>
      <c r="M165" t="s">
        <v>90</v>
      </c>
      <c r="N165">
        <v>3</v>
      </c>
    </row>
    <row r="166" ht="17" spans="1:14">
      <c r="A166" s="1" t="s">
        <v>164</v>
      </c>
      <c r="B166" t="s">
        <v>15</v>
      </c>
      <c r="C166" t="str">
        <f t="shared" si="8"/>
        <v>OS</v>
      </c>
      <c r="D166">
        <v>3</v>
      </c>
      <c r="E166" t="str">
        <f t="shared" si="9"/>
        <v>Inconsistent</v>
      </c>
      <c r="F166" t="str">
        <f t="shared" si="10"/>
        <v>Low</v>
      </c>
      <c r="G166" t="str">
        <f t="shared" si="11"/>
        <v>LOW</v>
      </c>
      <c r="H166">
        <v>1</v>
      </c>
      <c r="I166">
        <v>1</v>
      </c>
      <c r="J166">
        <v>0</v>
      </c>
      <c r="K166" t="s">
        <v>16</v>
      </c>
      <c r="L166" t="s">
        <v>16</v>
      </c>
      <c r="M166" t="s">
        <v>90</v>
      </c>
      <c r="N166">
        <v>3</v>
      </c>
    </row>
    <row r="167" ht="84" spans="1:14">
      <c r="A167" s="1" t="s">
        <v>165</v>
      </c>
      <c r="B167" t="s">
        <v>35</v>
      </c>
      <c r="C167" t="str">
        <f t="shared" si="8"/>
        <v>OS</v>
      </c>
      <c r="D167">
        <v>3</v>
      </c>
      <c r="E167" t="str">
        <f t="shared" si="9"/>
        <v>Inconsistent</v>
      </c>
      <c r="F167" t="str">
        <f t="shared" si="10"/>
        <v>Low</v>
      </c>
      <c r="G167" t="str">
        <f t="shared" si="11"/>
        <v>LOW</v>
      </c>
      <c r="H167">
        <v>0</v>
      </c>
      <c r="I167">
        <v>0</v>
      </c>
      <c r="J167">
        <v>1</v>
      </c>
      <c r="K167" t="s">
        <v>16</v>
      </c>
      <c r="L167" t="s">
        <v>16</v>
      </c>
      <c r="M167" t="s">
        <v>90</v>
      </c>
      <c r="N167">
        <v>3</v>
      </c>
    </row>
    <row r="168" ht="34" spans="1:14">
      <c r="A168" s="1" t="s">
        <v>166</v>
      </c>
      <c r="B168" t="s">
        <v>27</v>
      </c>
      <c r="C168" t="str">
        <f t="shared" si="8"/>
        <v>TS</v>
      </c>
      <c r="D168">
        <v>3</v>
      </c>
      <c r="E168" t="str">
        <f t="shared" si="9"/>
        <v>Consistent</v>
      </c>
      <c r="F168" t="str">
        <f t="shared" si="10"/>
        <v>High</v>
      </c>
      <c r="G168" t="str">
        <f t="shared" si="11"/>
        <v>HIGH</v>
      </c>
      <c r="H168">
        <v>0</v>
      </c>
      <c r="I168">
        <v>0</v>
      </c>
      <c r="J168">
        <v>1</v>
      </c>
      <c r="K168" t="s">
        <v>16</v>
      </c>
      <c r="L168" t="s">
        <v>16</v>
      </c>
      <c r="M168" t="s">
        <v>90</v>
      </c>
      <c r="N168">
        <v>3</v>
      </c>
    </row>
    <row r="169" ht="17" spans="1:14">
      <c r="A169" s="1" t="s">
        <v>167</v>
      </c>
      <c r="B169" t="s">
        <v>27</v>
      </c>
      <c r="C169" t="str">
        <f t="shared" si="8"/>
        <v>TS</v>
      </c>
      <c r="D169">
        <v>3</v>
      </c>
      <c r="E169" t="str">
        <f t="shared" si="9"/>
        <v>Consistent</v>
      </c>
      <c r="F169" t="str">
        <f t="shared" si="10"/>
        <v>High</v>
      </c>
      <c r="G169" t="str">
        <f t="shared" si="11"/>
        <v>HIGH</v>
      </c>
      <c r="H169">
        <v>0</v>
      </c>
      <c r="I169">
        <v>0</v>
      </c>
      <c r="J169">
        <v>1</v>
      </c>
      <c r="K169" t="s">
        <v>16</v>
      </c>
      <c r="L169" t="s">
        <v>16</v>
      </c>
      <c r="M169" t="s">
        <v>90</v>
      </c>
      <c r="N169">
        <v>3</v>
      </c>
    </row>
    <row r="170" ht="17" spans="1:14">
      <c r="A170" s="1" t="s">
        <v>168</v>
      </c>
      <c r="B170" t="s">
        <v>27</v>
      </c>
      <c r="C170" t="str">
        <f t="shared" si="8"/>
        <v>TS</v>
      </c>
      <c r="D170">
        <v>3</v>
      </c>
      <c r="E170" t="str">
        <f t="shared" si="9"/>
        <v>Consistent</v>
      </c>
      <c r="F170" t="str">
        <f t="shared" si="10"/>
        <v>High</v>
      </c>
      <c r="G170" t="str">
        <f t="shared" si="11"/>
        <v>HIGH</v>
      </c>
      <c r="H170">
        <v>0</v>
      </c>
      <c r="I170">
        <v>0</v>
      </c>
      <c r="J170">
        <v>1</v>
      </c>
      <c r="K170" t="s">
        <v>16</v>
      </c>
      <c r="L170" t="s">
        <v>16</v>
      </c>
      <c r="M170" t="s">
        <v>90</v>
      </c>
      <c r="N170">
        <v>3</v>
      </c>
    </row>
    <row r="171" ht="34" spans="1:14">
      <c r="A171" s="1" t="s">
        <v>169</v>
      </c>
      <c r="B171" t="s">
        <v>35</v>
      </c>
      <c r="C171" t="str">
        <f t="shared" si="8"/>
        <v>OS</v>
      </c>
      <c r="D171">
        <v>3</v>
      </c>
      <c r="E171" t="str">
        <f t="shared" si="9"/>
        <v>Inconsistent</v>
      </c>
      <c r="F171" t="str">
        <f t="shared" si="10"/>
        <v>Low</v>
      </c>
      <c r="G171" t="str">
        <f t="shared" si="11"/>
        <v>LOW</v>
      </c>
      <c r="H171">
        <v>0</v>
      </c>
      <c r="I171">
        <v>0</v>
      </c>
      <c r="J171">
        <v>1</v>
      </c>
      <c r="K171" t="s">
        <v>16</v>
      </c>
      <c r="L171" t="s">
        <v>16</v>
      </c>
      <c r="M171" t="s">
        <v>90</v>
      </c>
      <c r="N171">
        <v>3</v>
      </c>
    </row>
    <row r="172" ht="51" spans="1:14">
      <c r="A172" s="1" t="s">
        <v>170</v>
      </c>
      <c r="B172" t="s">
        <v>27</v>
      </c>
      <c r="C172" t="str">
        <f t="shared" si="8"/>
        <v>TS</v>
      </c>
      <c r="D172">
        <v>3</v>
      </c>
      <c r="E172" t="str">
        <f t="shared" si="9"/>
        <v>Consistent</v>
      </c>
      <c r="F172" t="str">
        <f t="shared" si="10"/>
        <v>High</v>
      </c>
      <c r="G172" t="str">
        <f t="shared" si="11"/>
        <v>HIGH</v>
      </c>
      <c r="H172">
        <v>0</v>
      </c>
      <c r="I172">
        <v>0</v>
      </c>
      <c r="J172">
        <v>1</v>
      </c>
      <c r="K172" t="s">
        <v>16</v>
      </c>
      <c r="L172" t="s">
        <v>16</v>
      </c>
      <c r="M172" t="s">
        <v>90</v>
      </c>
      <c r="N172">
        <v>3</v>
      </c>
    </row>
    <row r="173" ht="17" spans="1:14">
      <c r="A173" s="1" t="s">
        <v>171</v>
      </c>
      <c r="B173" t="s">
        <v>35</v>
      </c>
      <c r="C173" t="str">
        <f t="shared" si="8"/>
        <v>OS</v>
      </c>
      <c r="D173">
        <v>3</v>
      </c>
      <c r="E173" t="str">
        <f t="shared" si="9"/>
        <v>Inconsistent</v>
      </c>
      <c r="F173" t="str">
        <f t="shared" si="10"/>
        <v>Low</v>
      </c>
      <c r="G173" t="str">
        <f t="shared" si="11"/>
        <v>LOW</v>
      </c>
      <c r="H173">
        <v>0</v>
      </c>
      <c r="I173">
        <v>0</v>
      </c>
      <c r="J173">
        <v>1</v>
      </c>
      <c r="K173" t="s">
        <v>16</v>
      </c>
      <c r="L173" t="s">
        <v>16</v>
      </c>
      <c r="M173" t="s">
        <v>90</v>
      </c>
      <c r="N173">
        <v>3</v>
      </c>
    </row>
    <row r="174" ht="68" spans="1:14">
      <c r="A174" s="1" t="s">
        <v>172</v>
      </c>
      <c r="B174" t="s">
        <v>35</v>
      </c>
      <c r="C174" t="str">
        <f t="shared" si="8"/>
        <v>OS</v>
      </c>
      <c r="D174">
        <v>3</v>
      </c>
      <c r="E174" t="str">
        <f t="shared" si="9"/>
        <v>Inconsistent</v>
      </c>
      <c r="F174" t="str">
        <f t="shared" si="10"/>
        <v>Low</v>
      </c>
      <c r="G174" t="str">
        <f t="shared" si="11"/>
        <v>LOW</v>
      </c>
      <c r="H174">
        <v>1</v>
      </c>
      <c r="I174">
        <v>0</v>
      </c>
      <c r="J174">
        <v>1</v>
      </c>
      <c r="K174" t="s">
        <v>16</v>
      </c>
      <c r="L174" t="s">
        <v>16</v>
      </c>
      <c r="M174" t="s">
        <v>90</v>
      </c>
      <c r="N174">
        <v>3</v>
      </c>
    </row>
    <row r="175" ht="17" spans="1:14">
      <c r="A175" s="1" t="s">
        <v>173</v>
      </c>
      <c r="B175" t="s">
        <v>35</v>
      </c>
      <c r="C175" t="str">
        <f t="shared" si="8"/>
        <v>OS</v>
      </c>
      <c r="D175">
        <v>3</v>
      </c>
      <c r="E175" t="str">
        <f t="shared" si="9"/>
        <v>Inconsistent</v>
      </c>
      <c r="F175" t="str">
        <f t="shared" si="10"/>
        <v>Low</v>
      </c>
      <c r="G175" t="str">
        <f t="shared" si="11"/>
        <v>LOW</v>
      </c>
      <c r="H175">
        <v>0</v>
      </c>
      <c r="I175" t="s">
        <v>16</v>
      </c>
      <c r="J175">
        <v>1</v>
      </c>
      <c r="K175" t="s">
        <v>16</v>
      </c>
      <c r="L175" t="s">
        <v>16</v>
      </c>
      <c r="M175" t="s">
        <v>90</v>
      </c>
      <c r="N175">
        <v>3</v>
      </c>
    </row>
    <row r="176" ht="17" spans="1:14">
      <c r="A176" s="1" t="s">
        <v>174</v>
      </c>
      <c r="B176" t="s">
        <v>27</v>
      </c>
      <c r="C176" t="str">
        <f t="shared" si="8"/>
        <v>TS</v>
      </c>
      <c r="D176">
        <v>3</v>
      </c>
      <c r="E176" t="str">
        <f t="shared" si="9"/>
        <v>Consistent</v>
      </c>
      <c r="F176" t="str">
        <f t="shared" si="10"/>
        <v>High</v>
      </c>
      <c r="G176" t="str">
        <f t="shared" si="11"/>
        <v>HIGH</v>
      </c>
      <c r="H176">
        <v>1</v>
      </c>
      <c r="I176">
        <v>0</v>
      </c>
      <c r="J176">
        <v>1</v>
      </c>
      <c r="K176" t="s">
        <v>16</v>
      </c>
      <c r="L176" t="s">
        <v>16</v>
      </c>
      <c r="M176" t="s">
        <v>90</v>
      </c>
      <c r="N176">
        <v>3</v>
      </c>
    </row>
    <row r="177" ht="17" spans="1:14">
      <c r="A177" s="1" t="s">
        <v>175</v>
      </c>
      <c r="B177" t="s">
        <v>35</v>
      </c>
      <c r="C177" t="str">
        <f t="shared" si="8"/>
        <v>OS</v>
      </c>
      <c r="D177">
        <v>3</v>
      </c>
      <c r="E177" t="str">
        <f t="shared" si="9"/>
        <v>Inconsistent</v>
      </c>
      <c r="F177" t="str">
        <f t="shared" si="10"/>
        <v>Low</v>
      </c>
      <c r="G177" t="str">
        <f t="shared" si="11"/>
        <v>LOW</v>
      </c>
      <c r="H177">
        <v>0</v>
      </c>
      <c r="I177">
        <v>0</v>
      </c>
      <c r="J177">
        <v>1</v>
      </c>
      <c r="K177" t="s">
        <v>16</v>
      </c>
      <c r="L177" t="s">
        <v>16</v>
      </c>
      <c r="M177" t="s">
        <v>90</v>
      </c>
      <c r="N177">
        <v>3</v>
      </c>
    </row>
    <row r="178" ht="51" spans="1:14">
      <c r="A178" s="1" t="s">
        <v>176</v>
      </c>
      <c r="B178" t="s">
        <v>35</v>
      </c>
      <c r="C178" t="str">
        <f t="shared" si="8"/>
        <v>OS</v>
      </c>
      <c r="D178">
        <v>3</v>
      </c>
      <c r="E178" t="str">
        <f t="shared" si="9"/>
        <v>Inconsistent</v>
      </c>
      <c r="F178" t="str">
        <f t="shared" si="10"/>
        <v>Low</v>
      </c>
      <c r="G178" t="str">
        <f t="shared" si="11"/>
        <v>LOW</v>
      </c>
      <c r="H178">
        <v>0</v>
      </c>
      <c r="I178">
        <v>0</v>
      </c>
      <c r="J178">
        <v>1</v>
      </c>
      <c r="K178" t="s">
        <v>16</v>
      </c>
      <c r="L178" t="s">
        <v>16</v>
      </c>
      <c r="M178" t="s">
        <v>90</v>
      </c>
      <c r="N178">
        <v>3</v>
      </c>
    </row>
    <row r="179" ht="168" spans="1:14">
      <c r="A179" s="1" t="s">
        <v>177</v>
      </c>
      <c r="B179" t="s">
        <v>35</v>
      </c>
      <c r="C179" t="str">
        <f t="shared" si="8"/>
        <v>OS</v>
      </c>
      <c r="D179">
        <v>3</v>
      </c>
      <c r="E179" t="str">
        <f t="shared" si="9"/>
        <v>Inconsistent</v>
      </c>
      <c r="F179" t="str">
        <f t="shared" si="10"/>
        <v>Low</v>
      </c>
      <c r="G179" t="str">
        <f t="shared" si="11"/>
        <v>LOW</v>
      </c>
      <c r="H179">
        <v>0</v>
      </c>
      <c r="I179">
        <v>0</v>
      </c>
      <c r="J179">
        <v>1</v>
      </c>
      <c r="K179" t="s">
        <v>16</v>
      </c>
      <c r="L179" t="s">
        <v>16</v>
      </c>
      <c r="M179" t="s">
        <v>90</v>
      </c>
      <c r="N179">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2025-05-24T19:31:00Z</dcterms:created>
  <dcterms:modified xsi:type="dcterms:W3CDTF">2025-05-24T19:01:53Z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70E2DEC2D03C4A52822730C5ECB4085A_12</vt:lpwstr>
  </property>
  <property fmtid="{D5CDD505-2E9C-101B-9397-08002B2CF9AE}" pid="3" name="KSOProductBuildVer">
    <vt:lpwstr>1033-6.13.1.8710</vt:lpwstr>
  </property>
  <property fmtid="{D5CDD505-2E9C-101B-9397-08002B2CF9AE}" pid="4" name="KSOReadingLayout">
    <vt:bool>true</vt:bool>
  </property>
</Properties>
</file>