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All_Reviews"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<sst xmlns="http://schemas.openxmlformats.org/spreadsheetml/2006/main" count="678" uniqueCount="153">
  <si>
    <t>Review</t>
  </si>
  <si>
    <t>Sentiment</t>
  </si>
  <si>
    <t>Sidedness</t>
  </si>
  <si>
    <t>Star Rating</t>
  </si>
  <si>
    <t>Consistency</t>
  </si>
  <si>
    <t>Info Diversity</t>
  </si>
  <si>
    <t>PERCEIVED HELPFULNESS</t>
  </si>
  <si>
    <t>PD_F</t>
  </si>
  <si>
    <t>PD_F_TMP</t>
  </si>
  <si>
    <t>MAN_UI</t>
  </si>
  <si>
    <t>SPM</t>
  </si>
  <si>
    <t>CREDIBILITY</t>
  </si>
  <si>
    <t>Product_URL</t>
  </si>
  <si>
    <t>Product_Number</t>
  </si>
  <si>
    <t>sticky tape, keeps items securely in place, convenient and practical tape for everyday use,</t>
  </si>
  <si>
    <t>POSITIVE</t>
  </si>
  <si>
    <t/>
  </si>
  <si>
    <t>https://www.lazada.com.ph/products/pdp-i4237347622-s23607326975.html</t>
  </si>
  <si>
    <t>well packed at may kasama pang freebies thank you po at dumating agad kasi kailangan ko na gamitin</t>
  </si>
  <si>
    <t>ease of use: yes durability: unsure. it' s thinner than previous orders adhesive strength: will know soon enough transparent tape, blends well with any surface, multipurpose tape, great for various applications, 3/4 inch sana matibay ang hold. at totoong aabot ng 5m as ordered.</t>
  </si>
  <si>
    <t>NEUTRAL</t>
  </si>
  <si>
    <t>durable and long-lasting tape, strong adhesive, holds well,</t>
  </si>
  <si>
    <t>okay namn ung items kumplito mdyo mabilis lang din dumating thank you seller at kuya delivery</t>
  </si>
  <si>
    <t>delivered wrong item. hindi po yan ang glue n order ko. at d po maganda packaging, nag leaked ang glue.</t>
  </si>
  <si>
    <t>NEGATIVE</t>
  </si>
  <si>
    <t>versatile tape, perfect for diy projects, sticky tape, keeps items securely in place, strong adhesive, holds well,</t>
  </si>
  <si>
    <t>adhesive strength: greatversatile tape, perfect for diy projects, high-quality tape, reliable and trustworthy, transparent tape, blends well with any surface,</t>
  </si>
  <si>
    <t>transparent tape, blends well with any surface, versatile tape, perfect for diy projects, multipurpose tape, great for various applications,</t>
  </si>
  <si>
    <t>multipurpose tape, great for various applications, high-quality tape, reliable and trustworthy,</t>
  </si>
  <si>
    <t>multipurpose tape, great for various applications, durable and long-lasting tape,</t>
  </si>
  <si>
    <t>received the nano double sided tape 3m double sided heavy duty double sided tape heavy duty 5m/10m multipurpose wall tape adhesive strips removable mounting tape - reusable strong sticky transparent tape gel poster carpet tape for paste items in good condition. thank you for the gift!</t>
  </si>
  <si>
    <t>durable and long-lasting tape, easy to use and remove, reusable tape, saves money and resources, reusable tape, saves money and resources, sticky tape, keeps items securely in place, strong adhesive, holds well, convenient and practical tape for everyday use,</t>
  </si>
  <si>
    <t>reusable tape, saves money and resources, versatile tape, perfect for diy projects, strong adhesive, holds well,</t>
  </si>
  <si>
    <t>reusable tape, saves money and resources, sticky tape, keeps items securely in place, transparent tape, blends well with any surface,</t>
  </si>
  <si>
    <t>strong adhesive, holds well, durable and long-lasting tape, reusable tape, saves money and resources, high-quality tape, reliable and trustworthy, convenient and practical tape for everyday use,</t>
  </si>
  <si>
    <t>versatile tape, perfect for diy projects, strong adhesive, holds well, easy to use and remove, sticky tape, keeps items securely in place, reusable tape, saves money and resources, convenient and practical tape for everyday use,</t>
  </si>
  <si>
    <t>multipurpose tape, great for various applications, convenient and practical tape for everyday use, convenient and practical tape for everyday use, reusable tape, saves money and resources, durable and long-lasting tape,</t>
  </si>
  <si>
    <t>ease of use: 10 durability: 10 adhesive strength: 10sticky tape, keeps items securely in place, convenient and practical tape for everyday use, reusable tape, saves money and resources, durable and long-lasting tape, versatile tape, perfect for diy projects,</t>
  </si>
  <si>
    <t>sticky tape, keeps items securely in place, durable and long-lasting tape, transparent tape, blends well with any surface, reusable tape, saves money and resources, versatile tape, perfect for diy projects,</t>
  </si>
  <si>
    <t>adhesive strength: 4 star out of 5 as of the fragility due to when cutting the tape it was sticking to the scissor then broke the side of it. but for the stickiness, it has a good strength. for better use, stick first the other side on the surface you want to stick before removing the other side that is covered with plastic. cause i tried not to do this, in the pic you can see what happened. and the tape was thin but if you want it to be thick, you can double it. thank you lazada, rider and seller. i bought it with reasonable price. durability: 4 star</t>
  </si>
  <si>
    <t>ease of use: so hard to remove the protective cover of the gel maybe coz of its thinness durability: durable. have used nano tape before adhesive strength: coz of its thinness i hope it will carry medium heavy items</t>
  </si>
  <si>
    <t>arrived in good conditioned. well packed and complete. manipis lang ang thickness ng nano tape na ito. around 0. 5mm or less lang ang kapal unlike doon sa advertisement nila na makapal ang thickness. hope long lasting ang madikit nito.</t>
  </si>
  <si>
    <t>sticky tape, keeps items securely in place, reusable tape, saves money and resources, easy to use and remove, high-quality tape, reliable and trustworthy,</t>
  </si>
  <si>
    <t>will still have to check how effective. size matches the price.</t>
  </si>
  <si>
    <t>multipurpose tape, great for various applications, convenient and practical tape for everydthank you selleray use,</t>
  </si>
  <si>
    <t>strong adhesive, holds well, sticky tape, keeps items securely in place, ease of use: very easy to use durability: not sure adhesive strength: very strong</t>
  </si>
  <si>
    <t>medyo manipis co. pared sa first kong na-try ng ganitong tape. i just used it and still waiting if makapit nga ba.</t>
  </si>
  <si>
    <t>careful now potential buyer! the photos imply that the tape is wider than it actually is- why do sellers deliberately deceive? the function of the tape is good though.</t>
  </si>
  <si>
    <t>nano tape is very useful for temporary things you need to stick or hang around, use this for all kinds of stuff</t>
  </si>
  <si>
    <t>i guess the size is wrong. i ordered 5m. i received a small, 3m. it' s not thick and sticky, it can easily be removed.</t>
  </si>
  <si>
    <t>medyo maliit lang pala! ! ! ! ! thanks until next time! ! ! ! ! ! ! ! ! ! yhanks very much! ! ! ! ! ! ! ! ! ! ! ! ! ! ! !</t>
  </si>
  <si>
    <t>versatile tape, perfect for diy projects,</t>
  </si>
  <si>
    <t>no free gift received. smaller than expected. sticky as advertised but hopefully it will keep my items in place</t>
  </si>
  <si>
    <t>versatile tape, perfect for diy projects, easy to use and remove,</t>
  </si>
  <si>
    <t>the tape quality is poor and it' s super thin, but still useful for it' s price</t>
  </si>
  <si>
    <t>manipis lang xa</t>
  </si>
  <si>
    <t>still have to test the strength</t>
  </si>
  <si>
    <t>reusable tape, saves money and resources, reusable tape, saves money and resources, reusable tape, saves money and resources, reusable tape, saves money and resources,</t>
  </si>
  <si>
    <t>quality: durable and long-lasting tape, appearance: sticky tape, keeps items securely in place, transparent tape, blends well with any surface, performance: easy to use and remove, multipurpose tape, great for various applications,</t>
  </si>
  <si>
    <t>very disappointed ako sa product nyo quality not good very poor</t>
  </si>
  <si>
    <t>to be honest, hindi sya madikit nakaka disappoint talaga. sayang pera.</t>
  </si>
  <si>
    <t>not for actopus wiring it' s made of plastic material negative use for heavy duty loads</t>
  </si>
  <si>
    <t>hahahha, sticky tape not strong any heavy i put. its really fake i thought gonna work.</t>
  </si>
  <si>
    <t>manipis lng pala yun adhesive unlike the one i bought last time. i need yun. 2cm thickness</t>
  </si>
  <si>
    <t>njgvggbjnjjk</t>
  </si>
  <si>
    <t>cannot hold for heavy object. does not hold for long time. sayang pera</t>
  </si>
  <si>
    <t>ang pangit nmn nito gamitin ang hirap tanggalin, pag nataggal suma-sama nmn at nasasayang lang. tsk tsk waste of time and money.</t>
  </si>
  <si>
    <t>adhesive strength: 4/10 durability: 3/10 ease of use: 8/10 madikit sya pero di tulad sa pinapakita nila habang tumatagal bqbagsak yung dinikit</t>
  </si>
  <si>
    <t>hindi malaki, hindi rin makapal gaya ng nasa pictures. sa you can see on my photos ganyan lang kaliit ang matatanggap mo sa 5m maninipis lang din yun pinaka tape, mejo makapal lang ng konti sa scoth tape. hindi ko pa na try kung madikit nga, pero nun paghawak ko malagkit naman. so overall iba yun pagkaka advertise sa kanya.</t>
  </si>
  <si>
    <t>hindi pala madikit to. sayang ang pera d tulad sa hardware na nabili ko ngayong subrang dikit.</t>
  </si>
  <si>
    <t>this nano tape is the thinnest among all nano tapes i have tried. it was thin in all aspect.</t>
  </si>
  <si>
    <t>strong adhesive, holds well,</t>
  </si>
  <si>
    <t>adhesive strength</t>
  </si>
  <si>
    <t>sobra nipis at ang hirap alisin un plastic. .</t>
  </si>
  <si>
    <t>binili ko 3 malalaki dumating dalawa malaki tapos dalawa naliit? ? e kahit pag samahon tong dalawa maliit na to di to kasing dami ng isa e,</t>
  </si>
  <si>
    <t>totally different on video</t>
  </si>
  <si>
    <t>dumidikit sa gunting kaya mahirap gamitin</t>
  </si>
  <si>
    <t>fake sided tape andali natanggal</t>
  </si>
  <si>
    <t>it doesn' t look like 10m as seen in the picture. with the price, i could find the same product with real" 10m" tape length.</t>
  </si>
  <si>
    <t>don' t buy things at this store! missing items rejected refound! bad experience!</t>
  </si>
  <si>
    <t>performance: manipis</t>
  </si>
  <si>
    <t>di ko alam sang lupalop dinampot yang picture na yan! pinaka malaki binili ko sobrang liit ng dumating</t>
  </si>
  <si>
    <t>panget tong klase na nabili ko. . ayaw humiwalay ng plastick nya. . kaka dismaya may pa freebies pa kayo useless din nman. . .</t>
  </si>
  <si>
    <t>hwrjafjwrjwtj5wjwtjcbdhegqrhrqhrqjwrjrwiwtkadbeharjwrjqrjrqjqrjqrhdbdhqrjw5jwrwr</t>
  </si>
  <si>
    <t>Low</t>
  </si>
  <si>
    <t>sobrang nipis. panget gamitin. hindi din madikit ksi nga manipis. useless ang bayad.</t>
  </si>
  <si>
    <t>doesn' t work on skin or clothes.</t>
  </si>
  <si>
    <t>nag try lang ako ng maliit. so far hindi po sya madikit</t>
  </si>
  <si>
    <t>poor quality hnd madikit</t>
  </si>
  <si>
    <t>seller not reply</t>
  </si>
  <si>
    <t>not working. it is not adhesive. waste of money</t>
  </si>
  <si>
    <t>budol manipis lang sya hindi na ako uulit sa seller nato dapat ung 1 meter iba ung picture para makita kung ganu ka kapal</t>
  </si>
  <si>
    <t>its not what i exppected</t>
  </si>
  <si>
    <t>ang nipis lang pala, yet to try kung kaya ng heavy duty. . .</t>
  </si>
  <si>
    <t>versatile tape, perfect for diy projects, multipurpose tape, great for various applications, reusable tape, saves money and resources,</t>
  </si>
  <si>
    <t>their 10m is just 5m</t>
  </si>
  <si>
    <t>incomplete item</t>
  </si>
  <si>
    <t>mag 3m n lang kayo</t>
  </si>
  <si>
    <t>very thin. not like the usual dou ke sided nano tapes. sticky and easily deforms. hard to tape</t>
  </si>
  <si>
    <t>nakakadis appoint naman! yung order ko is 5m pero dumating sakin 3m 5 pa naman inorder ko</t>
  </si>
  <si>
    <t>5m ang order ko, maliit ang dumating, di ko pa na try kung talagang madikit, sana hindi sya kaagad mangawit.</t>
  </si>
  <si>
    <t>nag expect ako na medyo malaki small lang pala. kc naka bili ako sa ibang online malalaki size 5m mas mura pa. pero any thank you seller.</t>
  </si>
  <si>
    <t>reusable tape, saves money and resources, easy to use and remove,</t>
  </si>
  <si>
    <t>maliit. kya bagay sa price</t>
  </si>
  <si>
    <t>1. seller -ok 2. product - ok 3. delivery - so fast</t>
  </si>
  <si>
    <t>hindi cya masyadong madikit. . nalaglag kc ung dinikit ko sa tiles ng cr. not long lasting tape. okey nmn ang price at fast delivery.</t>
  </si>
  <si>
    <t>according to description 3mm thick pero ang dmting sakin ay manipis nsa 1mm thick lng. . mali ang packaging ng product or manipis tlaga ito marahil</t>
  </si>
  <si>
    <t>hindi sya madikit di kagaya ng sa advertisement.</t>
  </si>
  <si>
    <t>the thickness of the tape is not the same as that posted. sticky but does not hold well because it is thin.</t>
  </si>
  <si>
    <t>maganda magagsmit q pp</t>
  </si>
  <si>
    <t>adhesive strength: not that good</t>
  </si>
  <si>
    <t>sobrang nipis di gaya ng nabili ko sa iba. di maganda.</t>
  </si>
  <si>
    <t>sa una qng dinikit, madikit nmn. kya lng nung sa iba na, hnd na ganun kdikit. so dipende ata tlg sa surface or sa pgdidikitan.</t>
  </si>
  <si>
    <t>hindi malapad, unlike before kaya di madikit nalalalag</t>
  </si>
  <si>
    <t>very thin.</t>
  </si>
  <si>
    <t>hnd nmn madikit</t>
  </si>
  <si>
    <t>sticky tape, keeps items securely in place, versatile tape, perfect for diy projects, convenient and practical tape for everyday use,</t>
  </si>
  <si>
    <t>hndi madikit</t>
  </si>
  <si>
    <t>not strong enough, i used it for hanging canvas paintings and it didn' t hold it long, maybe better for thin material like paper or posters</t>
  </si>
  <si>
    <t>expectation vs reality. . hrheheh akala q kasi makapal. .</t>
  </si>
  <si>
    <t>strong adhesive, holds well, adhesive strength: manipis lang siya unlike sa mga nabili ko before.</t>
  </si>
  <si>
    <t>hindi po sya 10meters, 3 meters lang sya</t>
  </si>
  <si>
    <t>hirap tuklapin ung ibabaw madikit</t>
  </si>
  <si>
    <t>manipis</t>
  </si>
  <si>
    <t>tape is thin. not as i expected.</t>
  </si>
  <si>
    <t>maliit manipis. . 1mm lang ata kapal o manipis pa</t>
  </si>
  <si>
    <t>m sorry but it it does not holds well, difficult to remove plastic from the tape thats why it ripped off. its too soft and cant be reused.</t>
  </si>
  <si>
    <t>ang liit lang pala nya, need ko kasi kasing lapad ng packaging tape.</t>
  </si>
  <si>
    <t>durability: manipis. . adhesive strength: poor</t>
  </si>
  <si>
    <t>it' s too hard to peel off. you need a lot of patience.</t>
  </si>
  <si>
    <t>not as advertised</t>
  </si>
  <si>
    <t>why naman ganon kulang ng isa per pack 19 lang laman pero yung adhesive na double sided is 20</t>
  </si>
  <si>
    <t>mahina dumikit, at madaling matanggal.</t>
  </si>
  <si>
    <t>natanggal agad</t>
  </si>
  <si>
    <t>hindi makapit</t>
  </si>
  <si>
    <t>ok lang po</t>
  </si>
  <si>
    <t>hinde sya 3 mtr</t>
  </si>
  <si>
    <t>5m nakalagay pro wla pa ayang 1m nung nagamit ko na. tila 40 inches lng inabot. . . tingnan ntin kung hanngang kelan xa tatagal sa pagkadikit. .</t>
  </si>
  <si>
    <t>seller should revise the item descriptions. it says 3mm thickness, 30mm width but the actual item is about 0. 5mm thickness and 19mm width only. deceiving customer like me. but quality is good.</t>
  </si>
  <si>
    <t>kabit n kabit</t>
  </si>
  <si>
    <t>hindi masyado madikit</t>
  </si>
  <si>
    <t>expectation vs reality</t>
  </si>
  <si>
    <t>hindi maganda. hindi madikit. poor quality. sayang pera ang dami ko pa naman binili. mas maganda yung magic tape nung party store.</t>
  </si>
  <si>
    <t>not yet tested and will rate again later.</t>
  </si>
  <si>
    <t>small &amp; thin size, not the same with the pictures posted.</t>
  </si>
  <si>
    <t>hndi kumpleto ang dumating na order. wala ung doorlock.</t>
  </si>
  <si>
    <t>quality: multipurpose tape, great for various applications, appearance: versatile tape, perfect for diy projects, performance: convenient and practical tape for everyday use,</t>
  </si>
  <si>
    <t>multipurpose tape, great for various application status, strong adhesive, holds well, versatile tape, perfect for diy projects,</t>
  </si>
  <si>
    <t>adhesive strength: madikit naman. medyo sensitive sya. dapat tapa unang pagkalagay. hindi mo na maulit pagdikit pagnagkamali ka.</t>
  </si>
  <si>
    <t>appearance: small</t>
  </si>
  <si>
    <t>so small</t>
  </si>
  <si>
    <t>okay naman siya saba lang at maging madikit hopely. i will give update next time pag natry na.</t>
  </si>
  <si>
    <t>adhesive strength: high-quality tape, reliable and trustworthy, easy to use and remove, versatile tape, perfect for diy projects,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</si>
</sst>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quot;* #,##0.00_-;\-&quot;₱&quot;* #,##0.00_-;_-&quot;₱&quot;* &quot;-&quot;??_-;_-@_-"/>
    <numFmt numFmtId="177" formatCode="_-&quot;₱&quot;* #,##0_-;\-&quot;₱&quot;* #,##0_-;_-&quot;₱&quot;* &quot;-&quot;_-;_-@_-"/>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4"/>
  <sheetViews>
    <sheetView tabSelected="1" topLeftCell="A124" workbookViewId="0">
      <pane xSplit="1" topLeftCell="B1" activePane="topRight" state="frozen"/>
      <selection/>
      <selection pane="topRight" activeCell="B135" sqref="B135"/>
    </sheetView>
  </sheetViews>
  <sheetFormatPr defaultColWidth="9" defaultRowHeight="16.8"/>
  <cols>
    <col min="1" max="1" width="74.484375" style="1" customWidth="1"/>
    <col min="2" max="2" width="11" customWidth="1"/>
    <col min="3" max="3" width="10.5703125" customWidth="1"/>
    <col min="4" max="4" width="2.9921875" customWidth="1"/>
    <col min="5" max="5" width="8.984375" customWidth="1"/>
    <col min="6" max="6" width="13.859375" customWidth="1"/>
    <col min="7" max="7" width="10.671875" customWidth="1"/>
    <col min="8" max="8" width="6" customWidth="1"/>
    <col min="9" max="9" width="11.140625" customWidth="1"/>
    <col min="10" max="10" width="9.140625" customWidth="1"/>
    <col min="11" max="11" width="5.5703125" customWidth="1"/>
    <col min="12" max="12" width="12.2890625" customWidth="1"/>
    <col min="13" max="13" width="75.140625" customWidth="1"/>
    <col min="14" max="14" width="17.5703125" customWidth="1"/>
  </cols>
  <sheetData>
    <row r="1" ht="17" spans="1:14">
      <c r="A1" s="2" t="s">
        <v>0</v>
      </c>
      <c r="B1" s="3" t="s">
        <v>1</v>
      </c>
      <c r="C1" s="3" t="s">
        <v>2</v>
      </c>
      <c r="D1" s="3" t="s">
        <v>3</v>
      </c>
      <c r="E1" s="3" t="s">
        <v>4</v>
      </c>
      <c r="F1" s="3" t="s">
        <v>5</v>
      </c>
      <c r="G1" s="3" t="s">
        <v>6</v>
      </c>
      <c r="H1" s="3" t="s">
        <v>7</v>
      </c>
      <c r="I1" s="3" t="s">
        <v>8</v>
      </c>
      <c r="J1" s="3" t="s">
        <v>9</v>
      </c>
      <c r="K1" s="3" t="s">
        <v>10</v>
      </c>
      <c r="L1" s="3" t="s">
        <v>11</v>
      </c>
      <c r="M1" s="3" t="s">
        <v>12</v>
      </c>
      <c r="N1" s="3" t="s">
        <v>13</v>
      </c>
    </row>
    <row r="2" ht="17" spans="1:14">
      <c r="A2" s="1" t="s">
        <v>14</v>
      </c>
      <c r="B2" t="s">
        <v>15</v>
      </c>
      <c r="C2" t="str">
        <f t="shared" ref="C2:C65" si="0">IF(B2="NEUTRAL","TS","OS")</f>
        <v>OS</v>
      </c>
      <c r="D2">
        <v>5</v>
      </c>
      <c r="E2" t="str">
        <f t="shared" ref="E2:E65" si="1">IF(C2="TS",IF(D2=3,"Consistent",IF(OR(D2=2,D2=4),"Partially Consistent","Inconsistent")),IF(D2=3,"Inconsistent",IF(AND(D2=5,B2="POSITIVE"),"Consistent",IF(AND(D2=1,B2="NEGATIVE"),"Consistent",IF(AND(D2=4,B2="POSITIVE"),"Partially Consistent",IF(AND(D2=2,B2="NEGATIVE"),"Partially Consistent","Inconsistent"))))))</f>
        <v>Consistent</v>
      </c>
      <c r="F2" t="str">
        <f t="shared" ref="F2:F65" si="2">IF(C2="TS","High","Low")</f>
        <v>Low</v>
      </c>
      <c r="G2" t="str">
        <f t="shared" ref="G2:G65" si="3">IF(AND(B2="NEUTRAL",F2="Low"),"LOW",IF(AND(C2="TS",F2="High",D2=3),"HIGH",IF(AND(C2="TS",F2="High",OR(D2=2,D2=4)),"MODERATE",IF(AND(C2="TS",F2="High",OR(D2=1,D2=5)),"LOW",IF(AND(C2="OS",E2="Consistent",OR(D2=1,D2=5)),"MODERATE",IF(AND(C2="OS",E2="Partially Consistent",OR(D2=2,D2=4)),"MODERATE","LOW"))))))</f>
        <v>MODERATE</v>
      </c>
      <c r="H2">
        <v>0</v>
      </c>
      <c r="I2">
        <v>1</v>
      </c>
      <c r="J2">
        <v>0</v>
      </c>
      <c r="K2" t="s">
        <v>16</v>
      </c>
      <c r="L2" t="s">
        <v>16</v>
      </c>
      <c r="M2" t="s">
        <v>17</v>
      </c>
      <c r="N2">
        <v>1</v>
      </c>
    </row>
    <row r="3" ht="34" spans="1:14">
      <c r="A3" s="1" t="s">
        <v>18</v>
      </c>
      <c r="B3" t="s">
        <v>15</v>
      </c>
      <c r="C3" t="str">
        <f t="shared" si="0"/>
        <v>OS</v>
      </c>
      <c r="D3">
        <v>5</v>
      </c>
      <c r="E3" t="str">
        <f t="shared" si="1"/>
        <v>Consistent</v>
      </c>
      <c r="F3" t="str">
        <f t="shared" si="2"/>
        <v>Low</v>
      </c>
      <c r="G3" t="str">
        <f t="shared" si="3"/>
        <v>MODERATE</v>
      </c>
      <c r="H3">
        <v>0</v>
      </c>
      <c r="I3">
        <v>0</v>
      </c>
      <c r="J3">
        <v>1</v>
      </c>
      <c r="K3" t="s">
        <v>16</v>
      </c>
      <c r="L3" t="s">
        <v>16</v>
      </c>
      <c r="M3" t="s">
        <v>17</v>
      </c>
      <c r="N3">
        <v>1</v>
      </c>
    </row>
    <row r="4" ht="51" spans="1:14">
      <c r="A4" s="1" t="s">
        <v>19</v>
      </c>
      <c r="B4" t="s">
        <v>20</v>
      </c>
      <c r="C4" t="str">
        <f t="shared" si="0"/>
        <v>TS</v>
      </c>
      <c r="D4">
        <v>5</v>
      </c>
      <c r="E4" t="str">
        <f t="shared" si="1"/>
        <v>Inconsistent</v>
      </c>
      <c r="F4" t="str">
        <f t="shared" si="2"/>
        <v>High</v>
      </c>
      <c r="G4" t="str">
        <f t="shared" si="3"/>
        <v>LOW</v>
      </c>
      <c r="H4">
        <v>1</v>
      </c>
      <c r="I4">
        <v>1</v>
      </c>
      <c r="J4">
        <v>1</v>
      </c>
      <c r="K4" t="s">
        <v>16</v>
      </c>
      <c r="L4" t="s">
        <v>16</v>
      </c>
      <c r="M4" t="s">
        <v>17</v>
      </c>
      <c r="N4">
        <v>1</v>
      </c>
    </row>
    <row r="5" ht="17" spans="1:14">
      <c r="A5" s="1" t="s">
        <v>21</v>
      </c>
      <c r="B5" t="s">
        <v>15</v>
      </c>
      <c r="C5" t="str">
        <f t="shared" si="0"/>
        <v>OS</v>
      </c>
      <c r="D5">
        <v>5</v>
      </c>
      <c r="E5" t="str">
        <f t="shared" si="1"/>
        <v>Consistent</v>
      </c>
      <c r="F5" t="str">
        <f t="shared" si="2"/>
        <v>Low</v>
      </c>
      <c r="G5" t="str">
        <f t="shared" si="3"/>
        <v>MODERATE</v>
      </c>
      <c r="H5">
        <v>0</v>
      </c>
      <c r="I5">
        <v>1</v>
      </c>
      <c r="J5">
        <v>0</v>
      </c>
      <c r="K5" t="s">
        <v>16</v>
      </c>
      <c r="L5" t="s">
        <v>16</v>
      </c>
      <c r="M5" t="s">
        <v>17</v>
      </c>
      <c r="N5">
        <v>1</v>
      </c>
    </row>
    <row r="6" ht="34" spans="1:14">
      <c r="A6" s="1" t="s">
        <v>22</v>
      </c>
      <c r="B6" t="s">
        <v>15</v>
      </c>
      <c r="C6" t="str">
        <f t="shared" si="0"/>
        <v>OS</v>
      </c>
      <c r="D6">
        <v>5</v>
      </c>
      <c r="E6" t="str">
        <f t="shared" si="1"/>
        <v>Consistent</v>
      </c>
      <c r="F6" t="str">
        <f t="shared" si="2"/>
        <v>Low</v>
      </c>
      <c r="G6" t="str">
        <f t="shared" si="3"/>
        <v>MODERATE</v>
      </c>
      <c r="H6">
        <v>0</v>
      </c>
      <c r="I6">
        <v>0</v>
      </c>
      <c r="J6">
        <v>1</v>
      </c>
      <c r="K6" t="s">
        <v>16</v>
      </c>
      <c r="L6" t="s">
        <v>16</v>
      </c>
      <c r="M6" t="s">
        <v>17</v>
      </c>
      <c r="N6">
        <v>1</v>
      </c>
    </row>
    <row r="7" ht="34" spans="1:14">
      <c r="A7" s="1" t="s">
        <v>23</v>
      </c>
      <c r="B7" t="s">
        <v>24</v>
      </c>
      <c r="C7" t="str">
        <f t="shared" si="0"/>
        <v>OS</v>
      </c>
      <c r="D7">
        <v>5</v>
      </c>
      <c r="E7" t="str">
        <f t="shared" si="1"/>
        <v>Inconsistent</v>
      </c>
      <c r="F7" t="str">
        <f t="shared" si="2"/>
        <v>Low</v>
      </c>
      <c r="G7" t="str">
        <f t="shared" si="3"/>
        <v>LOW</v>
      </c>
      <c r="H7">
        <v>0</v>
      </c>
      <c r="I7">
        <v>0</v>
      </c>
      <c r="J7">
        <v>1</v>
      </c>
      <c r="K7" t="s">
        <v>16</v>
      </c>
      <c r="L7" t="s">
        <v>16</v>
      </c>
      <c r="M7" t="s">
        <v>17</v>
      </c>
      <c r="N7">
        <v>1</v>
      </c>
    </row>
    <row r="8" ht="34" spans="1:14">
      <c r="A8" s="1" t="s">
        <v>25</v>
      </c>
      <c r="B8" t="s">
        <v>15</v>
      </c>
      <c r="C8" t="str">
        <f t="shared" si="0"/>
        <v>OS</v>
      </c>
      <c r="D8">
        <v>5</v>
      </c>
      <c r="E8" t="str">
        <f t="shared" si="1"/>
        <v>Consistent</v>
      </c>
      <c r="F8" t="str">
        <f t="shared" si="2"/>
        <v>Low</v>
      </c>
      <c r="G8" t="str">
        <f t="shared" si="3"/>
        <v>MODERATE</v>
      </c>
      <c r="H8">
        <v>0</v>
      </c>
      <c r="I8">
        <v>1</v>
      </c>
      <c r="J8">
        <v>0</v>
      </c>
      <c r="K8" t="s">
        <v>16</v>
      </c>
      <c r="L8" t="s">
        <v>16</v>
      </c>
      <c r="M8" t="s">
        <v>17</v>
      </c>
      <c r="N8">
        <v>1</v>
      </c>
    </row>
    <row r="9" ht="34" spans="1:14">
      <c r="A9" s="1" t="s">
        <v>26</v>
      </c>
      <c r="B9" t="s">
        <v>15</v>
      </c>
      <c r="C9" t="str">
        <f t="shared" si="0"/>
        <v>OS</v>
      </c>
      <c r="D9">
        <v>5</v>
      </c>
      <c r="E9" t="str">
        <f t="shared" si="1"/>
        <v>Consistent</v>
      </c>
      <c r="F9" t="str">
        <f t="shared" si="2"/>
        <v>Low</v>
      </c>
      <c r="G9" t="str">
        <f t="shared" si="3"/>
        <v>MODERATE</v>
      </c>
      <c r="H9">
        <v>1</v>
      </c>
      <c r="I9">
        <v>1</v>
      </c>
      <c r="J9">
        <v>0</v>
      </c>
      <c r="K9" t="s">
        <v>16</v>
      </c>
      <c r="L9" t="s">
        <v>16</v>
      </c>
      <c r="M9" t="s">
        <v>17</v>
      </c>
      <c r="N9">
        <v>1</v>
      </c>
    </row>
    <row r="10" ht="34" spans="1:14">
      <c r="A10" s="1" t="s">
        <v>27</v>
      </c>
      <c r="B10" t="s">
        <v>15</v>
      </c>
      <c r="C10" t="str">
        <f t="shared" si="0"/>
        <v>OS</v>
      </c>
      <c r="D10">
        <v>5</v>
      </c>
      <c r="E10" t="str">
        <f t="shared" si="1"/>
        <v>Consistent</v>
      </c>
      <c r="F10" t="str">
        <f t="shared" si="2"/>
        <v>Low</v>
      </c>
      <c r="G10" t="str">
        <f t="shared" si="3"/>
        <v>MODERATE</v>
      </c>
      <c r="H10">
        <v>0</v>
      </c>
      <c r="I10">
        <v>1</v>
      </c>
      <c r="J10">
        <v>0</v>
      </c>
      <c r="K10" t="s">
        <v>16</v>
      </c>
      <c r="L10" t="s">
        <v>16</v>
      </c>
      <c r="M10" t="s">
        <v>17</v>
      </c>
      <c r="N10">
        <v>1</v>
      </c>
    </row>
    <row r="11" ht="17" spans="1:14">
      <c r="A11" s="1" t="s">
        <v>28</v>
      </c>
      <c r="B11" t="s">
        <v>15</v>
      </c>
      <c r="C11" t="str">
        <f t="shared" si="0"/>
        <v>OS</v>
      </c>
      <c r="D11">
        <v>5</v>
      </c>
      <c r="E11" t="str">
        <f t="shared" si="1"/>
        <v>Consistent</v>
      </c>
      <c r="F11" t="str">
        <f t="shared" si="2"/>
        <v>Low</v>
      </c>
      <c r="G11" t="str">
        <f t="shared" si="3"/>
        <v>MODERATE</v>
      </c>
      <c r="H11">
        <v>0</v>
      </c>
      <c r="I11">
        <v>1</v>
      </c>
      <c r="J11">
        <v>0</v>
      </c>
      <c r="K11" t="s">
        <v>16</v>
      </c>
      <c r="L11" t="s">
        <v>16</v>
      </c>
      <c r="M11" t="s">
        <v>17</v>
      </c>
      <c r="N11">
        <v>1</v>
      </c>
    </row>
    <row r="12" ht="17" spans="1:14">
      <c r="A12" s="1" t="s">
        <v>29</v>
      </c>
      <c r="B12" t="s">
        <v>15</v>
      </c>
      <c r="C12" t="str">
        <f t="shared" si="0"/>
        <v>OS</v>
      </c>
      <c r="D12">
        <v>5</v>
      </c>
      <c r="E12" t="str">
        <f t="shared" si="1"/>
        <v>Consistent</v>
      </c>
      <c r="F12" t="str">
        <f t="shared" si="2"/>
        <v>Low</v>
      </c>
      <c r="G12" t="str">
        <f t="shared" si="3"/>
        <v>MODERATE</v>
      </c>
      <c r="H12">
        <v>0</v>
      </c>
      <c r="I12">
        <v>1</v>
      </c>
      <c r="J12">
        <v>0</v>
      </c>
      <c r="K12" t="s">
        <v>16</v>
      </c>
      <c r="L12" t="s">
        <v>16</v>
      </c>
      <c r="M12" t="s">
        <v>17</v>
      </c>
      <c r="N12">
        <v>1</v>
      </c>
    </row>
    <row r="13" ht="68" spans="1:14">
      <c r="A13" s="1" t="s">
        <v>30</v>
      </c>
      <c r="B13" t="s">
        <v>20</v>
      </c>
      <c r="C13" t="str">
        <f t="shared" si="0"/>
        <v>TS</v>
      </c>
      <c r="D13">
        <v>5</v>
      </c>
      <c r="E13" t="str">
        <f t="shared" si="1"/>
        <v>Inconsistent</v>
      </c>
      <c r="F13" t="str">
        <f t="shared" si="2"/>
        <v>High</v>
      </c>
      <c r="G13" t="str">
        <f t="shared" si="3"/>
        <v>LOW</v>
      </c>
      <c r="H13">
        <v>0</v>
      </c>
      <c r="I13">
        <v>0</v>
      </c>
      <c r="J13">
        <v>1</v>
      </c>
      <c r="K13" t="s">
        <v>16</v>
      </c>
      <c r="L13" t="s">
        <v>16</v>
      </c>
      <c r="M13" t="s">
        <v>17</v>
      </c>
      <c r="N13">
        <v>1</v>
      </c>
    </row>
    <row r="14" ht="51" spans="1:14">
      <c r="A14" s="1" t="s">
        <v>31</v>
      </c>
      <c r="B14" t="s">
        <v>15</v>
      </c>
      <c r="C14" t="str">
        <f t="shared" si="0"/>
        <v>OS</v>
      </c>
      <c r="D14">
        <v>5</v>
      </c>
      <c r="E14" t="str">
        <f t="shared" si="1"/>
        <v>Consistent</v>
      </c>
      <c r="F14" t="str">
        <f t="shared" si="2"/>
        <v>Low</v>
      </c>
      <c r="G14" t="str">
        <f t="shared" si="3"/>
        <v>MODERATE</v>
      </c>
      <c r="H14">
        <v>0</v>
      </c>
      <c r="I14">
        <v>1</v>
      </c>
      <c r="J14">
        <v>0</v>
      </c>
      <c r="K14" t="s">
        <v>16</v>
      </c>
      <c r="L14" t="s">
        <v>16</v>
      </c>
      <c r="M14" t="s">
        <v>17</v>
      </c>
      <c r="N14">
        <v>1</v>
      </c>
    </row>
    <row r="15" ht="34" spans="1:14">
      <c r="A15" s="1" t="s">
        <v>32</v>
      </c>
      <c r="B15" t="s">
        <v>15</v>
      </c>
      <c r="C15" t="str">
        <f t="shared" si="0"/>
        <v>OS</v>
      </c>
      <c r="D15">
        <v>5</v>
      </c>
      <c r="E15" t="str">
        <f t="shared" si="1"/>
        <v>Consistent</v>
      </c>
      <c r="F15" t="str">
        <f t="shared" si="2"/>
        <v>Low</v>
      </c>
      <c r="G15" t="str">
        <f t="shared" si="3"/>
        <v>MODERATE</v>
      </c>
      <c r="H15">
        <v>0</v>
      </c>
      <c r="I15">
        <v>1</v>
      </c>
      <c r="J15">
        <v>0</v>
      </c>
      <c r="K15" t="s">
        <v>16</v>
      </c>
      <c r="L15" t="s">
        <v>16</v>
      </c>
      <c r="M15" t="s">
        <v>17</v>
      </c>
      <c r="N15">
        <v>1</v>
      </c>
    </row>
    <row r="16" ht="34" spans="1:14">
      <c r="A16" s="1" t="s">
        <v>33</v>
      </c>
      <c r="B16" t="s">
        <v>15</v>
      </c>
      <c r="C16" t="str">
        <f t="shared" si="0"/>
        <v>OS</v>
      </c>
      <c r="D16">
        <v>5</v>
      </c>
      <c r="E16" t="str">
        <f t="shared" si="1"/>
        <v>Consistent</v>
      </c>
      <c r="F16" t="str">
        <f t="shared" si="2"/>
        <v>Low</v>
      </c>
      <c r="G16" t="str">
        <f t="shared" si="3"/>
        <v>MODERATE</v>
      </c>
      <c r="H16">
        <v>0</v>
      </c>
      <c r="I16">
        <v>1</v>
      </c>
      <c r="J16">
        <v>0</v>
      </c>
      <c r="K16" t="s">
        <v>16</v>
      </c>
      <c r="L16" t="s">
        <v>16</v>
      </c>
      <c r="M16" t="s">
        <v>17</v>
      </c>
      <c r="N16">
        <v>1</v>
      </c>
    </row>
    <row r="17" ht="51" spans="1:14">
      <c r="A17" s="1" t="s">
        <v>34</v>
      </c>
      <c r="B17" t="s">
        <v>15</v>
      </c>
      <c r="C17" t="str">
        <f t="shared" si="0"/>
        <v>OS</v>
      </c>
      <c r="D17">
        <v>5</v>
      </c>
      <c r="E17" t="str">
        <f t="shared" si="1"/>
        <v>Consistent</v>
      </c>
      <c r="F17" t="str">
        <f t="shared" si="2"/>
        <v>Low</v>
      </c>
      <c r="G17" t="str">
        <f t="shared" si="3"/>
        <v>MODERATE</v>
      </c>
      <c r="H17">
        <v>0</v>
      </c>
      <c r="I17">
        <v>1</v>
      </c>
      <c r="J17">
        <v>0</v>
      </c>
      <c r="K17" t="s">
        <v>16</v>
      </c>
      <c r="L17" t="s">
        <v>16</v>
      </c>
      <c r="M17" t="s">
        <v>17</v>
      </c>
      <c r="N17">
        <v>1</v>
      </c>
    </row>
    <row r="18" ht="51" spans="1:14">
      <c r="A18" s="1" t="s">
        <v>35</v>
      </c>
      <c r="B18" t="s">
        <v>15</v>
      </c>
      <c r="C18" t="str">
        <f t="shared" si="0"/>
        <v>OS</v>
      </c>
      <c r="D18">
        <v>5</v>
      </c>
      <c r="E18" t="str">
        <f t="shared" si="1"/>
        <v>Consistent</v>
      </c>
      <c r="F18" t="str">
        <f t="shared" si="2"/>
        <v>Low</v>
      </c>
      <c r="G18" t="str">
        <f t="shared" si="3"/>
        <v>MODERATE</v>
      </c>
      <c r="H18">
        <v>0</v>
      </c>
      <c r="I18">
        <v>1</v>
      </c>
      <c r="J18">
        <v>0</v>
      </c>
      <c r="K18" t="s">
        <v>16</v>
      </c>
      <c r="L18" t="s">
        <v>16</v>
      </c>
      <c r="M18" t="s">
        <v>17</v>
      </c>
      <c r="N18">
        <v>1</v>
      </c>
    </row>
    <row r="19" ht="51" spans="1:14">
      <c r="A19" s="1" t="s">
        <v>36</v>
      </c>
      <c r="B19" t="s">
        <v>15</v>
      </c>
      <c r="C19" t="str">
        <f t="shared" si="0"/>
        <v>OS</v>
      </c>
      <c r="D19">
        <v>5</v>
      </c>
      <c r="E19" t="str">
        <f t="shared" si="1"/>
        <v>Consistent</v>
      </c>
      <c r="F19" t="str">
        <f t="shared" si="2"/>
        <v>Low</v>
      </c>
      <c r="G19" t="str">
        <f t="shared" si="3"/>
        <v>MODERATE</v>
      </c>
      <c r="H19">
        <v>0</v>
      </c>
      <c r="I19">
        <v>1</v>
      </c>
      <c r="J19">
        <v>0</v>
      </c>
      <c r="K19" t="s">
        <v>16</v>
      </c>
      <c r="L19" t="s">
        <v>16</v>
      </c>
      <c r="M19" t="s">
        <v>17</v>
      </c>
      <c r="N19">
        <v>1</v>
      </c>
    </row>
    <row r="20" ht="51" spans="1:14">
      <c r="A20" s="1" t="s">
        <v>37</v>
      </c>
      <c r="B20" t="s">
        <v>15</v>
      </c>
      <c r="C20" t="str">
        <f t="shared" si="0"/>
        <v>OS</v>
      </c>
      <c r="D20">
        <v>5</v>
      </c>
      <c r="E20" t="str">
        <f t="shared" si="1"/>
        <v>Consistent</v>
      </c>
      <c r="F20" t="str">
        <f t="shared" si="2"/>
        <v>Low</v>
      </c>
      <c r="G20" t="str">
        <f t="shared" si="3"/>
        <v>MODERATE</v>
      </c>
      <c r="H20">
        <v>1</v>
      </c>
      <c r="I20">
        <v>1</v>
      </c>
      <c r="J20">
        <v>1</v>
      </c>
      <c r="K20" t="s">
        <v>16</v>
      </c>
      <c r="L20" t="s">
        <v>16</v>
      </c>
      <c r="M20" t="s">
        <v>17</v>
      </c>
      <c r="N20">
        <v>1</v>
      </c>
    </row>
    <row r="21" ht="51" spans="1:14">
      <c r="A21" s="1" t="s">
        <v>38</v>
      </c>
      <c r="B21" t="s">
        <v>15</v>
      </c>
      <c r="C21" t="str">
        <f t="shared" si="0"/>
        <v>OS</v>
      </c>
      <c r="D21">
        <v>5</v>
      </c>
      <c r="E21" t="str">
        <f t="shared" si="1"/>
        <v>Consistent</v>
      </c>
      <c r="F21" t="str">
        <f t="shared" si="2"/>
        <v>Low</v>
      </c>
      <c r="G21" t="str">
        <f t="shared" si="3"/>
        <v>MODERATE</v>
      </c>
      <c r="H21">
        <v>0</v>
      </c>
      <c r="I21">
        <v>1</v>
      </c>
      <c r="J21">
        <v>0</v>
      </c>
      <c r="K21" t="s">
        <v>16</v>
      </c>
      <c r="L21" t="s">
        <v>16</v>
      </c>
      <c r="M21" t="s">
        <v>17</v>
      </c>
      <c r="N21">
        <v>1</v>
      </c>
    </row>
    <row r="22" ht="101" spans="1:14">
      <c r="A22" s="1" t="s">
        <v>39</v>
      </c>
      <c r="B22" t="s">
        <v>20</v>
      </c>
      <c r="C22" t="str">
        <f t="shared" si="0"/>
        <v>TS</v>
      </c>
      <c r="D22">
        <v>4</v>
      </c>
      <c r="E22" t="str">
        <f t="shared" si="1"/>
        <v>Partially Consistent</v>
      </c>
      <c r="F22" t="str">
        <f t="shared" si="2"/>
        <v>High</v>
      </c>
      <c r="G22" t="str">
        <f t="shared" si="3"/>
        <v>MODERATE</v>
      </c>
      <c r="H22">
        <v>1</v>
      </c>
      <c r="I22">
        <v>1</v>
      </c>
      <c r="J22">
        <v>1</v>
      </c>
      <c r="K22" t="s">
        <v>16</v>
      </c>
      <c r="L22" t="s">
        <v>16</v>
      </c>
      <c r="M22" t="s">
        <v>17</v>
      </c>
      <c r="N22">
        <v>1</v>
      </c>
    </row>
    <row r="23" ht="51" spans="1:14">
      <c r="A23" s="1" t="s">
        <v>40</v>
      </c>
      <c r="B23" t="s">
        <v>20</v>
      </c>
      <c r="C23" t="str">
        <f t="shared" si="0"/>
        <v>TS</v>
      </c>
      <c r="D23">
        <v>4</v>
      </c>
      <c r="E23" t="str">
        <f t="shared" si="1"/>
        <v>Partially Consistent</v>
      </c>
      <c r="F23" t="str">
        <f t="shared" si="2"/>
        <v>High</v>
      </c>
      <c r="G23" t="str">
        <f t="shared" si="3"/>
        <v>MODERATE</v>
      </c>
      <c r="H23">
        <v>1</v>
      </c>
      <c r="I23">
        <v>0</v>
      </c>
      <c r="J23">
        <v>1</v>
      </c>
      <c r="K23" t="s">
        <v>16</v>
      </c>
      <c r="L23" t="s">
        <v>16</v>
      </c>
      <c r="M23" t="s">
        <v>17</v>
      </c>
      <c r="N23">
        <v>1</v>
      </c>
    </row>
    <row r="24" ht="51" spans="1:14">
      <c r="A24" s="1" t="s">
        <v>41</v>
      </c>
      <c r="B24" t="s">
        <v>20</v>
      </c>
      <c r="C24" t="str">
        <f t="shared" si="0"/>
        <v>TS</v>
      </c>
      <c r="D24">
        <v>4</v>
      </c>
      <c r="E24" t="str">
        <f t="shared" si="1"/>
        <v>Partially Consistent</v>
      </c>
      <c r="F24" t="str">
        <f t="shared" si="2"/>
        <v>High</v>
      </c>
      <c r="G24" t="str">
        <f t="shared" si="3"/>
        <v>MODERATE</v>
      </c>
      <c r="H24">
        <v>0</v>
      </c>
      <c r="I24">
        <v>0</v>
      </c>
      <c r="J24">
        <v>1</v>
      </c>
      <c r="K24" t="s">
        <v>16</v>
      </c>
      <c r="L24" t="s">
        <v>16</v>
      </c>
      <c r="M24" t="s">
        <v>17</v>
      </c>
      <c r="N24">
        <v>1</v>
      </c>
    </row>
    <row r="25" ht="34" spans="1:14">
      <c r="A25" s="1" t="s">
        <v>42</v>
      </c>
      <c r="B25" t="s">
        <v>15</v>
      </c>
      <c r="C25" t="str">
        <f t="shared" si="0"/>
        <v>OS</v>
      </c>
      <c r="D25">
        <v>4</v>
      </c>
      <c r="E25" t="str">
        <f t="shared" si="1"/>
        <v>Partially Consistent</v>
      </c>
      <c r="F25" t="str">
        <f t="shared" si="2"/>
        <v>Low</v>
      </c>
      <c r="G25" t="str">
        <f t="shared" si="3"/>
        <v>MODERATE</v>
      </c>
      <c r="H25">
        <v>0</v>
      </c>
      <c r="I25">
        <v>1</v>
      </c>
      <c r="J25">
        <v>0</v>
      </c>
      <c r="K25" t="s">
        <v>16</v>
      </c>
      <c r="L25" t="s">
        <v>16</v>
      </c>
      <c r="M25" t="s">
        <v>17</v>
      </c>
      <c r="N25">
        <v>1</v>
      </c>
    </row>
    <row r="26" ht="17" spans="1:14">
      <c r="A26" s="1" t="s">
        <v>43</v>
      </c>
      <c r="B26" t="s">
        <v>20</v>
      </c>
      <c r="C26" t="str">
        <f t="shared" si="0"/>
        <v>TS</v>
      </c>
      <c r="D26">
        <v>4</v>
      </c>
      <c r="E26" t="str">
        <f t="shared" si="1"/>
        <v>Partially Consistent</v>
      </c>
      <c r="F26" t="str">
        <f t="shared" si="2"/>
        <v>High</v>
      </c>
      <c r="G26" t="str">
        <f t="shared" si="3"/>
        <v>MODERATE</v>
      </c>
      <c r="H26">
        <v>0</v>
      </c>
      <c r="I26">
        <v>0</v>
      </c>
      <c r="J26">
        <v>1</v>
      </c>
      <c r="K26" t="s">
        <v>16</v>
      </c>
      <c r="L26" t="s">
        <v>16</v>
      </c>
      <c r="M26" t="s">
        <v>17</v>
      </c>
      <c r="N26">
        <v>1</v>
      </c>
    </row>
    <row r="27" ht="34" spans="1:14">
      <c r="A27" s="1" t="s">
        <v>44</v>
      </c>
      <c r="B27" t="s">
        <v>15</v>
      </c>
      <c r="C27" t="str">
        <f t="shared" si="0"/>
        <v>OS</v>
      </c>
      <c r="D27">
        <v>4</v>
      </c>
      <c r="E27" t="str">
        <f t="shared" si="1"/>
        <v>Partially Consistent</v>
      </c>
      <c r="F27" t="str">
        <f t="shared" si="2"/>
        <v>Low</v>
      </c>
      <c r="G27" t="str">
        <f t="shared" si="3"/>
        <v>MODERATE</v>
      </c>
      <c r="H27">
        <v>0</v>
      </c>
      <c r="I27">
        <v>1</v>
      </c>
      <c r="J27">
        <v>0</v>
      </c>
      <c r="K27" t="s">
        <v>16</v>
      </c>
      <c r="L27" t="s">
        <v>16</v>
      </c>
      <c r="M27" t="s">
        <v>17</v>
      </c>
      <c r="N27">
        <v>1</v>
      </c>
    </row>
    <row r="28" ht="34" spans="1:14">
      <c r="A28" s="1" t="s">
        <v>45</v>
      </c>
      <c r="B28" t="s">
        <v>15</v>
      </c>
      <c r="C28" t="str">
        <f t="shared" si="0"/>
        <v>OS</v>
      </c>
      <c r="D28">
        <v>4</v>
      </c>
      <c r="E28" t="str">
        <f t="shared" si="1"/>
        <v>Partially Consistent</v>
      </c>
      <c r="F28" t="str">
        <f t="shared" si="2"/>
        <v>Low</v>
      </c>
      <c r="G28" t="str">
        <f t="shared" si="3"/>
        <v>MODERATE</v>
      </c>
      <c r="H28">
        <v>1</v>
      </c>
      <c r="I28">
        <v>1</v>
      </c>
      <c r="J28">
        <v>1</v>
      </c>
      <c r="K28" t="s">
        <v>16</v>
      </c>
      <c r="L28" t="s">
        <v>16</v>
      </c>
      <c r="M28" t="s">
        <v>17</v>
      </c>
      <c r="N28">
        <v>1</v>
      </c>
    </row>
    <row r="29" ht="34" spans="1:14">
      <c r="A29" s="1" t="s">
        <v>46</v>
      </c>
      <c r="B29" t="s">
        <v>20</v>
      </c>
      <c r="C29" t="str">
        <f t="shared" si="0"/>
        <v>TS</v>
      </c>
      <c r="D29">
        <v>4</v>
      </c>
      <c r="E29" t="str">
        <f t="shared" si="1"/>
        <v>Partially Consistent</v>
      </c>
      <c r="F29" t="str">
        <f t="shared" si="2"/>
        <v>High</v>
      </c>
      <c r="G29" t="str">
        <f t="shared" si="3"/>
        <v>MODERATE</v>
      </c>
      <c r="H29">
        <v>0</v>
      </c>
      <c r="I29">
        <v>0</v>
      </c>
      <c r="J29">
        <v>1</v>
      </c>
      <c r="K29" t="s">
        <v>16</v>
      </c>
      <c r="L29" t="s">
        <v>16</v>
      </c>
      <c r="M29" t="s">
        <v>17</v>
      </c>
      <c r="N29">
        <v>1</v>
      </c>
    </row>
    <row r="30" ht="34" spans="1:14">
      <c r="A30" s="1" t="s">
        <v>47</v>
      </c>
      <c r="B30" t="s">
        <v>20</v>
      </c>
      <c r="C30" t="str">
        <f t="shared" si="0"/>
        <v>TS</v>
      </c>
      <c r="D30">
        <v>4</v>
      </c>
      <c r="E30" t="str">
        <f t="shared" si="1"/>
        <v>Partially Consistent</v>
      </c>
      <c r="F30" t="str">
        <f t="shared" si="2"/>
        <v>High</v>
      </c>
      <c r="G30" t="str">
        <f t="shared" si="3"/>
        <v>MODERATE</v>
      </c>
      <c r="H30">
        <v>0</v>
      </c>
      <c r="I30">
        <v>0</v>
      </c>
      <c r="J30">
        <v>1</v>
      </c>
      <c r="K30" t="s">
        <v>16</v>
      </c>
      <c r="L30" t="s">
        <v>16</v>
      </c>
      <c r="M30" t="s">
        <v>17</v>
      </c>
      <c r="N30">
        <v>1</v>
      </c>
    </row>
    <row r="31" ht="34" spans="1:14">
      <c r="A31" s="1" t="s">
        <v>48</v>
      </c>
      <c r="B31" t="s">
        <v>20</v>
      </c>
      <c r="C31" t="str">
        <f t="shared" si="0"/>
        <v>TS</v>
      </c>
      <c r="D31">
        <v>4</v>
      </c>
      <c r="E31" t="str">
        <f t="shared" si="1"/>
        <v>Partially Consistent</v>
      </c>
      <c r="F31" t="str">
        <f t="shared" si="2"/>
        <v>High</v>
      </c>
      <c r="G31" t="str">
        <f t="shared" si="3"/>
        <v>MODERATE</v>
      </c>
      <c r="H31">
        <v>0</v>
      </c>
      <c r="I31">
        <v>0</v>
      </c>
      <c r="J31">
        <v>1</v>
      </c>
      <c r="K31" t="s">
        <v>16</v>
      </c>
      <c r="L31" t="s">
        <v>16</v>
      </c>
      <c r="M31" t="s">
        <v>17</v>
      </c>
      <c r="N31">
        <v>1</v>
      </c>
    </row>
    <row r="32" ht="34" spans="1:14">
      <c r="A32" s="1" t="s">
        <v>49</v>
      </c>
      <c r="B32" t="s">
        <v>24</v>
      </c>
      <c r="C32" t="str">
        <f t="shared" si="0"/>
        <v>OS</v>
      </c>
      <c r="D32">
        <v>4</v>
      </c>
      <c r="E32" t="str">
        <f t="shared" si="1"/>
        <v>Inconsistent</v>
      </c>
      <c r="F32" t="str">
        <f t="shared" si="2"/>
        <v>Low</v>
      </c>
      <c r="G32" t="str">
        <f t="shared" si="3"/>
        <v>LOW</v>
      </c>
      <c r="H32">
        <v>0</v>
      </c>
      <c r="I32">
        <v>0</v>
      </c>
      <c r="J32">
        <v>1</v>
      </c>
      <c r="K32" t="s">
        <v>16</v>
      </c>
      <c r="L32" t="s">
        <v>16</v>
      </c>
      <c r="M32" t="s">
        <v>17</v>
      </c>
      <c r="N32">
        <v>1</v>
      </c>
    </row>
    <row r="33" ht="34" spans="1:14">
      <c r="A33" s="1" t="s">
        <v>50</v>
      </c>
      <c r="B33" t="s">
        <v>20</v>
      </c>
      <c r="C33" t="str">
        <f t="shared" si="0"/>
        <v>TS</v>
      </c>
      <c r="D33">
        <v>4</v>
      </c>
      <c r="E33" t="str">
        <f t="shared" si="1"/>
        <v>Partially Consistent</v>
      </c>
      <c r="F33" t="str">
        <f t="shared" si="2"/>
        <v>High</v>
      </c>
      <c r="G33" t="str">
        <f t="shared" si="3"/>
        <v>MODERATE</v>
      </c>
      <c r="H33">
        <v>0</v>
      </c>
      <c r="I33">
        <v>0</v>
      </c>
      <c r="J33">
        <v>1</v>
      </c>
      <c r="K33" t="s">
        <v>16</v>
      </c>
      <c r="L33" t="s">
        <v>16</v>
      </c>
      <c r="M33" t="s">
        <v>17</v>
      </c>
      <c r="N33">
        <v>1</v>
      </c>
    </row>
    <row r="34" ht="17" spans="1:14">
      <c r="A34" s="1" t="s">
        <v>51</v>
      </c>
      <c r="B34" t="s">
        <v>15</v>
      </c>
      <c r="C34" t="str">
        <f t="shared" si="0"/>
        <v>OS</v>
      </c>
      <c r="D34">
        <v>4</v>
      </c>
      <c r="E34" t="str">
        <f t="shared" si="1"/>
        <v>Partially Consistent</v>
      </c>
      <c r="F34" t="str">
        <f t="shared" si="2"/>
        <v>Low</v>
      </c>
      <c r="G34" t="str">
        <f t="shared" si="3"/>
        <v>MODERATE</v>
      </c>
      <c r="H34">
        <v>0</v>
      </c>
      <c r="I34">
        <v>1</v>
      </c>
      <c r="J34">
        <v>0</v>
      </c>
      <c r="K34" t="s">
        <v>16</v>
      </c>
      <c r="L34" t="s">
        <v>16</v>
      </c>
      <c r="M34" t="s">
        <v>17</v>
      </c>
      <c r="N34">
        <v>1</v>
      </c>
    </row>
    <row r="35" ht="34" spans="1:14">
      <c r="A35" s="1" t="s">
        <v>52</v>
      </c>
      <c r="B35" t="s">
        <v>20</v>
      </c>
      <c r="C35" t="str">
        <f t="shared" si="0"/>
        <v>TS</v>
      </c>
      <c r="D35">
        <v>4</v>
      </c>
      <c r="E35" t="str">
        <f t="shared" si="1"/>
        <v>Partially Consistent</v>
      </c>
      <c r="F35" t="str">
        <f t="shared" si="2"/>
        <v>High</v>
      </c>
      <c r="G35" t="str">
        <f t="shared" si="3"/>
        <v>MODERATE</v>
      </c>
      <c r="H35">
        <v>0</v>
      </c>
      <c r="I35">
        <v>0</v>
      </c>
      <c r="J35">
        <v>1</v>
      </c>
      <c r="K35" t="s">
        <v>16</v>
      </c>
      <c r="L35" t="s">
        <v>16</v>
      </c>
      <c r="M35" t="s">
        <v>17</v>
      </c>
      <c r="N35">
        <v>1</v>
      </c>
    </row>
    <row r="36" ht="17" spans="1:14">
      <c r="A36" s="1" t="s">
        <v>53</v>
      </c>
      <c r="B36" t="s">
        <v>15</v>
      </c>
      <c r="C36" t="str">
        <f t="shared" si="0"/>
        <v>OS</v>
      </c>
      <c r="D36">
        <v>4</v>
      </c>
      <c r="E36" t="str">
        <f t="shared" si="1"/>
        <v>Partially Consistent</v>
      </c>
      <c r="F36" t="str">
        <f t="shared" si="2"/>
        <v>Low</v>
      </c>
      <c r="G36" t="str">
        <f t="shared" si="3"/>
        <v>MODERATE</v>
      </c>
      <c r="H36">
        <v>0</v>
      </c>
      <c r="I36">
        <v>1</v>
      </c>
      <c r="J36">
        <v>0</v>
      </c>
      <c r="K36" t="s">
        <v>16</v>
      </c>
      <c r="L36" t="s">
        <v>16</v>
      </c>
      <c r="M36" t="s">
        <v>17</v>
      </c>
      <c r="N36">
        <v>1</v>
      </c>
    </row>
    <row r="37" ht="17" spans="1:14">
      <c r="A37" s="1" t="s">
        <v>54</v>
      </c>
      <c r="B37" t="s">
        <v>20</v>
      </c>
      <c r="C37" t="str">
        <f t="shared" si="0"/>
        <v>TS</v>
      </c>
      <c r="D37">
        <v>4</v>
      </c>
      <c r="E37" t="str">
        <f t="shared" si="1"/>
        <v>Partially Consistent</v>
      </c>
      <c r="F37" t="str">
        <f t="shared" si="2"/>
        <v>High</v>
      </c>
      <c r="G37" t="str">
        <f t="shared" si="3"/>
        <v>MODERATE</v>
      </c>
      <c r="H37">
        <v>0</v>
      </c>
      <c r="I37">
        <v>0</v>
      </c>
      <c r="J37">
        <v>1</v>
      </c>
      <c r="K37" t="s">
        <v>16</v>
      </c>
      <c r="L37" t="s">
        <v>16</v>
      </c>
      <c r="M37" t="s">
        <v>17</v>
      </c>
      <c r="N37">
        <v>1</v>
      </c>
    </row>
    <row r="38" ht="17" spans="1:14">
      <c r="A38" s="1" t="s">
        <v>55</v>
      </c>
      <c r="B38" t="s">
        <v>20</v>
      </c>
      <c r="C38" t="str">
        <f t="shared" si="0"/>
        <v>TS</v>
      </c>
      <c r="D38">
        <v>4</v>
      </c>
      <c r="E38" t="str">
        <f t="shared" si="1"/>
        <v>Partially Consistent</v>
      </c>
      <c r="F38" t="str">
        <f t="shared" si="2"/>
        <v>High</v>
      </c>
      <c r="G38" t="str">
        <f t="shared" si="3"/>
        <v>MODERATE</v>
      </c>
      <c r="H38">
        <v>0</v>
      </c>
      <c r="I38">
        <v>0</v>
      </c>
      <c r="J38">
        <v>1</v>
      </c>
      <c r="K38" t="s">
        <v>16</v>
      </c>
      <c r="L38" t="s">
        <v>16</v>
      </c>
      <c r="M38" t="s">
        <v>17</v>
      </c>
      <c r="N38">
        <v>1</v>
      </c>
    </row>
    <row r="39" ht="17" spans="1:14">
      <c r="A39" s="1" t="s">
        <v>56</v>
      </c>
      <c r="B39" t="s">
        <v>24</v>
      </c>
      <c r="C39" t="str">
        <f t="shared" si="0"/>
        <v>OS</v>
      </c>
      <c r="D39">
        <v>4</v>
      </c>
      <c r="E39" t="str">
        <f t="shared" si="1"/>
        <v>Inconsistent</v>
      </c>
      <c r="F39" t="str">
        <f t="shared" si="2"/>
        <v>Low</v>
      </c>
      <c r="G39" t="str">
        <f t="shared" si="3"/>
        <v>LOW</v>
      </c>
      <c r="H39">
        <v>0</v>
      </c>
      <c r="I39">
        <v>0</v>
      </c>
      <c r="J39">
        <v>1</v>
      </c>
      <c r="K39" t="s">
        <v>16</v>
      </c>
      <c r="L39" t="s">
        <v>16</v>
      </c>
      <c r="M39" t="s">
        <v>17</v>
      </c>
      <c r="N39">
        <v>1</v>
      </c>
    </row>
    <row r="40" ht="34" spans="1:14">
      <c r="A40" s="1" t="s">
        <v>57</v>
      </c>
      <c r="B40" t="s">
        <v>15</v>
      </c>
      <c r="C40" t="str">
        <f t="shared" si="0"/>
        <v>OS</v>
      </c>
      <c r="D40">
        <v>4</v>
      </c>
      <c r="E40" t="str">
        <f t="shared" si="1"/>
        <v>Partially Consistent</v>
      </c>
      <c r="F40" t="str">
        <f t="shared" si="2"/>
        <v>Low</v>
      </c>
      <c r="G40" t="str">
        <f t="shared" si="3"/>
        <v>MODERATE</v>
      </c>
      <c r="H40">
        <v>0</v>
      </c>
      <c r="I40">
        <v>1</v>
      </c>
      <c r="J40">
        <v>0</v>
      </c>
      <c r="K40">
        <v>1</v>
      </c>
      <c r="L40" t="s">
        <v>16</v>
      </c>
      <c r="M40" t="s">
        <v>17</v>
      </c>
      <c r="N40">
        <v>1</v>
      </c>
    </row>
    <row r="41" ht="51" spans="1:14">
      <c r="A41" s="1" t="s">
        <v>58</v>
      </c>
      <c r="B41" t="s">
        <v>15</v>
      </c>
      <c r="C41" t="str">
        <f t="shared" si="0"/>
        <v>OS</v>
      </c>
      <c r="D41">
        <v>4</v>
      </c>
      <c r="E41" t="str">
        <f t="shared" si="1"/>
        <v>Partially Consistent</v>
      </c>
      <c r="F41" t="str">
        <f t="shared" si="2"/>
        <v>Low</v>
      </c>
      <c r="G41" t="str">
        <f t="shared" si="3"/>
        <v>MODERATE</v>
      </c>
      <c r="H41">
        <v>1</v>
      </c>
      <c r="I41">
        <v>1</v>
      </c>
      <c r="J41">
        <v>0</v>
      </c>
      <c r="K41" t="s">
        <v>16</v>
      </c>
      <c r="L41" t="s">
        <v>16</v>
      </c>
      <c r="M41" t="s">
        <v>17</v>
      </c>
      <c r="N41">
        <v>1</v>
      </c>
    </row>
    <row r="42" ht="17" spans="1:14">
      <c r="A42" s="1" t="s">
        <v>59</v>
      </c>
      <c r="B42" t="s">
        <v>24</v>
      </c>
      <c r="C42" t="str">
        <f t="shared" si="0"/>
        <v>OS</v>
      </c>
      <c r="D42">
        <v>2</v>
      </c>
      <c r="E42" t="str">
        <f t="shared" si="1"/>
        <v>Partially Consistent</v>
      </c>
      <c r="F42" t="str">
        <f t="shared" si="2"/>
        <v>Low</v>
      </c>
      <c r="G42" t="str">
        <f t="shared" si="3"/>
        <v>MODERATE</v>
      </c>
      <c r="H42">
        <v>0</v>
      </c>
      <c r="I42">
        <v>0</v>
      </c>
      <c r="J42">
        <v>1</v>
      </c>
      <c r="K42" t="s">
        <v>16</v>
      </c>
      <c r="L42" t="s">
        <v>16</v>
      </c>
      <c r="M42" t="s">
        <v>17</v>
      </c>
      <c r="N42">
        <v>1</v>
      </c>
    </row>
    <row r="43" ht="17" spans="1:14">
      <c r="A43" s="1" t="s">
        <v>60</v>
      </c>
      <c r="B43" t="s">
        <v>24</v>
      </c>
      <c r="C43" t="str">
        <f t="shared" si="0"/>
        <v>OS</v>
      </c>
      <c r="D43">
        <v>2</v>
      </c>
      <c r="E43" t="str">
        <f t="shared" si="1"/>
        <v>Partially Consistent</v>
      </c>
      <c r="F43" t="str">
        <f t="shared" si="2"/>
        <v>Low</v>
      </c>
      <c r="G43" t="str">
        <f t="shared" si="3"/>
        <v>MODERATE</v>
      </c>
      <c r="H43">
        <v>0</v>
      </c>
      <c r="I43">
        <v>0</v>
      </c>
      <c r="J43">
        <v>1</v>
      </c>
      <c r="K43" t="s">
        <v>16</v>
      </c>
      <c r="L43" t="s">
        <v>16</v>
      </c>
      <c r="M43" t="s">
        <v>17</v>
      </c>
      <c r="N43">
        <v>1</v>
      </c>
    </row>
    <row r="44" ht="17" spans="1:14">
      <c r="A44" s="1" t="s">
        <v>61</v>
      </c>
      <c r="B44" t="s">
        <v>24</v>
      </c>
      <c r="C44" t="str">
        <f t="shared" si="0"/>
        <v>OS</v>
      </c>
      <c r="D44">
        <v>2</v>
      </c>
      <c r="E44" t="str">
        <f t="shared" si="1"/>
        <v>Partially Consistent</v>
      </c>
      <c r="F44" t="str">
        <f t="shared" si="2"/>
        <v>Low</v>
      </c>
      <c r="G44" t="str">
        <f t="shared" si="3"/>
        <v>MODERATE</v>
      </c>
      <c r="H44">
        <v>0</v>
      </c>
      <c r="I44">
        <v>0</v>
      </c>
      <c r="J44">
        <v>1</v>
      </c>
      <c r="K44" t="s">
        <v>16</v>
      </c>
      <c r="L44" t="s">
        <v>16</v>
      </c>
      <c r="M44" t="s">
        <v>17</v>
      </c>
      <c r="N44">
        <v>1</v>
      </c>
    </row>
    <row r="45" ht="17" spans="1:14">
      <c r="A45" s="1" t="s">
        <v>62</v>
      </c>
      <c r="B45" t="s">
        <v>24</v>
      </c>
      <c r="C45" t="str">
        <f t="shared" si="0"/>
        <v>OS</v>
      </c>
      <c r="D45">
        <v>2</v>
      </c>
      <c r="E45" t="str">
        <f t="shared" si="1"/>
        <v>Partially Consistent</v>
      </c>
      <c r="F45" t="str">
        <f t="shared" si="2"/>
        <v>Low</v>
      </c>
      <c r="G45" t="str">
        <f t="shared" si="3"/>
        <v>MODERATE</v>
      </c>
      <c r="H45">
        <v>0</v>
      </c>
      <c r="I45">
        <v>0</v>
      </c>
      <c r="J45">
        <v>1</v>
      </c>
      <c r="K45" t="s">
        <v>16</v>
      </c>
      <c r="L45" t="s">
        <v>16</v>
      </c>
      <c r="M45" t="s">
        <v>17</v>
      </c>
      <c r="N45">
        <v>1</v>
      </c>
    </row>
    <row r="46" ht="17" spans="1:14">
      <c r="A46" s="1" t="s">
        <v>63</v>
      </c>
      <c r="B46" t="s">
        <v>20</v>
      </c>
      <c r="C46" t="str">
        <f t="shared" si="0"/>
        <v>TS</v>
      </c>
      <c r="D46">
        <v>2</v>
      </c>
      <c r="E46" t="str">
        <f t="shared" si="1"/>
        <v>Partially Consistent</v>
      </c>
      <c r="F46" t="str">
        <f t="shared" si="2"/>
        <v>High</v>
      </c>
      <c r="G46" t="str">
        <f t="shared" si="3"/>
        <v>MODERATE</v>
      </c>
      <c r="H46">
        <v>0</v>
      </c>
      <c r="I46">
        <v>0</v>
      </c>
      <c r="J46">
        <v>1</v>
      </c>
      <c r="K46" t="s">
        <v>16</v>
      </c>
      <c r="L46" t="s">
        <v>16</v>
      </c>
      <c r="M46" t="s">
        <v>17</v>
      </c>
      <c r="N46">
        <v>1</v>
      </c>
    </row>
    <row r="47" ht="17" spans="1:14">
      <c r="A47" s="1" t="s">
        <v>64</v>
      </c>
      <c r="B47" t="s">
        <v>24</v>
      </c>
      <c r="C47" t="str">
        <f t="shared" si="0"/>
        <v>OS</v>
      </c>
      <c r="D47">
        <v>2</v>
      </c>
      <c r="E47" t="str">
        <f t="shared" si="1"/>
        <v>Partially Consistent</v>
      </c>
      <c r="F47" t="str">
        <f t="shared" si="2"/>
        <v>Low</v>
      </c>
      <c r="G47" t="str">
        <f t="shared" si="3"/>
        <v>MODERATE</v>
      </c>
      <c r="H47">
        <v>0</v>
      </c>
      <c r="I47">
        <v>0</v>
      </c>
      <c r="J47">
        <v>1</v>
      </c>
      <c r="K47" t="s">
        <v>16</v>
      </c>
      <c r="L47" t="s">
        <v>16</v>
      </c>
      <c r="M47" t="s">
        <v>17</v>
      </c>
      <c r="N47">
        <v>1</v>
      </c>
    </row>
    <row r="48" ht="17" spans="1:14">
      <c r="A48" s="1" t="s">
        <v>65</v>
      </c>
      <c r="B48" t="s">
        <v>24</v>
      </c>
      <c r="C48" t="str">
        <f t="shared" si="0"/>
        <v>OS</v>
      </c>
      <c r="D48">
        <v>2</v>
      </c>
      <c r="E48" t="str">
        <f t="shared" si="1"/>
        <v>Partially Consistent</v>
      </c>
      <c r="F48" t="str">
        <f t="shared" si="2"/>
        <v>Low</v>
      </c>
      <c r="G48" t="str">
        <f t="shared" si="3"/>
        <v>MODERATE</v>
      </c>
      <c r="H48">
        <v>0</v>
      </c>
      <c r="I48">
        <v>0</v>
      </c>
      <c r="J48">
        <v>1</v>
      </c>
      <c r="K48" t="s">
        <v>16</v>
      </c>
      <c r="L48" t="s">
        <v>16</v>
      </c>
      <c r="M48" t="s">
        <v>17</v>
      </c>
      <c r="N48">
        <v>1</v>
      </c>
    </row>
    <row r="49" ht="34" spans="1:14">
      <c r="A49" s="1" t="s">
        <v>66</v>
      </c>
      <c r="B49" t="s">
        <v>24</v>
      </c>
      <c r="C49" t="str">
        <f t="shared" si="0"/>
        <v>OS</v>
      </c>
      <c r="D49">
        <v>2</v>
      </c>
      <c r="E49" t="str">
        <f t="shared" si="1"/>
        <v>Partially Consistent</v>
      </c>
      <c r="F49" t="str">
        <f t="shared" si="2"/>
        <v>Low</v>
      </c>
      <c r="G49" t="str">
        <f t="shared" si="3"/>
        <v>MODERATE</v>
      </c>
      <c r="H49">
        <v>0</v>
      </c>
      <c r="I49">
        <v>0</v>
      </c>
      <c r="J49">
        <v>1</v>
      </c>
      <c r="K49" t="s">
        <v>16</v>
      </c>
      <c r="L49" t="s">
        <v>16</v>
      </c>
      <c r="M49" t="s">
        <v>17</v>
      </c>
      <c r="N49">
        <v>1</v>
      </c>
    </row>
    <row r="50" ht="34" spans="1:14">
      <c r="A50" s="1" t="s">
        <v>67</v>
      </c>
      <c r="B50" t="s">
        <v>20</v>
      </c>
      <c r="C50" t="str">
        <f t="shared" si="0"/>
        <v>TS</v>
      </c>
      <c r="D50">
        <v>2</v>
      </c>
      <c r="E50" t="str">
        <f t="shared" si="1"/>
        <v>Partially Consistent</v>
      </c>
      <c r="F50" t="str">
        <f t="shared" si="2"/>
        <v>High</v>
      </c>
      <c r="G50" t="str">
        <f t="shared" si="3"/>
        <v>MODERATE</v>
      </c>
      <c r="H50">
        <v>1</v>
      </c>
      <c r="I50">
        <v>0</v>
      </c>
      <c r="J50">
        <v>1</v>
      </c>
      <c r="K50" t="s">
        <v>16</v>
      </c>
      <c r="L50" t="s">
        <v>16</v>
      </c>
      <c r="M50" t="s">
        <v>17</v>
      </c>
      <c r="N50">
        <v>1</v>
      </c>
    </row>
    <row r="51" ht="68" spans="1:14">
      <c r="A51" s="1" t="s">
        <v>68</v>
      </c>
      <c r="B51" t="s">
        <v>20</v>
      </c>
      <c r="C51" t="str">
        <f t="shared" si="0"/>
        <v>TS</v>
      </c>
      <c r="D51">
        <v>2</v>
      </c>
      <c r="E51" t="str">
        <f t="shared" si="1"/>
        <v>Partially Consistent</v>
      </c>
      <c r="F51" t="str">
        <f t="shared" si="2"/>
        <v>High</v>
      </c>
      <c r="G51" t="str">
        <f t="shared" si="3"/>
        <v>MODERATE</v>
      </c>
      <c r="H51">
        <v>0</v>
      </c>
      <c r="I51">
        <v>1</v>
      </c>
      <c r="J51">
        <v>1</v>
      </c>
      <c r="K51" t="s">
        <v>16</v>
      </c>
      <c r="L51" t="s">
        <v>16</v>
      </c>
      <c r="M51" t="s">
        <v>17</v>
      </c>
      <c r="N51">
        <v>1</v>
      </c>
    </row>
    <row r="52" ht="34" spans="1:14">
      <c r="A52" s="1" t="s">
        <v>69</v>
      </c>
      <c r="B52" t="s">
        <v>24</v>
      </c>
      <c r="C52" t="str">
        <f t="shared" si="0"/>
        <v>OS</v>
      </c>
      <c r="D52">
        <v>2</v>
      </c>
      <c r="E52" t="str">
        <f t="shared" si="1"/>
        <v>Partially Consistent</v>
      </c>
      <c r="F52" t="str">
        <f t="shared" si="2"/>
        <v>Low</v>
      </c>
      <c r="G52" t="str">
        <f t="shared" si="3"/>
        <v>MODERATE</v>
      </c>
      <c r="H52">
        <v>0</v>
      </c>
      <c r="I52">
        <v>0</v>
      </c>
      <c r="J52">
        <v>1</v>
      </c>
      <c r="K52" t="s">
        <v>16</v>
      </c>
      <c r="L52" t="s">
        <v>16</v>
      </c>
      <c r="M52" t="s">
        <v>17</v>
      </c>
      <c r="N52">
        <v>1</v>
      </c>
    </row>
    <row r="53" ht="17" spans="1:14">
      <c r="A53" s="1" t="s">
        <v>70</v>
      </c>
      <c r="B53" t="s">
        <v>20</v>
      </c>
      <c r="C53" t="str">
        <f t="shared" si="0"/>
        <v>TS</v>
      </c>
      <c r="D53">
        <v>2</v>
      </c>
      <c r="E53" t="str">
        <f t="shared" si="1"/>
        <v>Partially Consistent</v>
      </c>
      <c r="F53" t="str">
        <f t="shared" si="2"/>
        <v>High</v>
      </c>
      <c r="G53" t="str">
        <f t="shared" si="3"/>
        <v>MODERATE</v>
      </c>
      <c r="H53">
        <v>0</v>
      </c>
      <c r="I53">
        <v>0</v>
      </c>
      <c r="J53">
        <v>1</v>
      </c>
      <c r="K53" t="s">
        <v>16</v>
      </c>
      <c r="L53" t="s">
        <v>16</v>
      </c>
      <c r="M53" t="s">
        <v>17</v>
      </c>
      <c r="N53">
        <v>1</v>
      </c>
    </row>
    <row r="54" ht="17" spans="1:14">
      <c r="A54" s="1" t="s">
        <v>71</v>
      </c>
      <c r="B54" t="s">
        <v>15</v>
      </c>
      <c r="C54" t="str">
        <f t="shared" si="0"/>
        <v>OS</v>
      </c>
      <c r="D54">
        <v>2</v>
      </c>
      <c r="E54" t="str">
        <f t="shared" si="1"/>
        <v>Inconsistent</v>
      </c>
      <c r="F54" t="str">
        <f t="shared" si="2"/>
        <v>Low</v>
      </c>
      <c r="G54" t="str">
        <f t="shared" si="3"/>
        <v>LOW</v>
      </c>
      <c r="H54">
        <v>0</v>
      </c>
      <c r="I54">
        <v>1</v>
      </c>
      <c r="J54">
        <v>0</v>
      </c>
      <c r="K54" t="s">
        <v>16</v>
      </c>
      <c r="L54" t="s">
        <v>16</v>
      </c>
      <c r="M54" t="s">
        <v>17</v>
      </c>
      <c r="N54">
        <v>1</v>
      </c>
    </row>
    <row r="55" ht="17" spans="1:14">
      <c r="A55" s="1" t="s">
        <v>72</v>
      </c>
      <c r="B55" t="s">
        <v>24</v>
      </c>
      <c r="C55" t="str">
        <f t="shared" si="0"/>
        <v>OS</v>
      </c>
      <c r="D55">
        <v>2</v>
      </c>
      <c r="E55" t="str">
        <f t="shared" si="1"/>
        <v>Partially Consistent</v>
      </c>
      <c r="F55" t="str">
        <f t="shared" si="2"/>
        <v>Low</v>
      </c>
      <c r="G55" t="str">
        <f t="shared" si="3"/>
        <v>MODERATE</v>
      </c>
      <c r="H55">
        <v>0</v>
      </c>
      <c r="I55">
        <v>0</v>
      </c>
      <c r="J55">
        <v>1</v>
      </c>
      <c r="K55" t="s">
        <v>16</v>
      </c>
      <c r="L55" t="s">
        <v>16</v>
      </c>
      <c r="M55" t="s">
        <v>17</v>
      </c>
      <c r="N55">
        <v>1</v>
      </c>
    </row>
    <row r="56" ht="17" spans="1:14">
      <c r="A56" s="1" t="s">
        <v>73</v>
      </c>
      <c r="B56" t="s">
        <v>24</v>
      </c>
      <c r="C56" t="str">
        <f t="shared" si="0"/>
        <v>OS</v>
      </c>
      <c r="D56">
        <v>2</v>
      </c>
      <c r="E56" t="str">
        <f t="shared" si="1"/>
        <v>Partially Consistent</v>
      </c>
      <c r="F56" t="str">
        <f t="shared" si="2"/>
        <v>Low</v>
      </c>
      <c r="G56" t="str">
        <f t="shared" si="3"/>
        <v>MODERATE</v>
      </c>
      <c r="H56">
        <v>0</v>
      </c>
      <c r="I56">
        <v>0</v>
      </c>
      <c r="J56">
        <v>1</v>
      </c>
      <c r="K56" t="s">
        <v>16</v>
      </c>
      <c r="L56" t="s">
        <v>16</v>
      </c>
      <c r="M56" t="s">
        <v>17</v>
      </c>
      <c r="N56">
        <v>1</v>
      </c>
    </row>
    <row r="57" ht="34" spans="1:14">
      <c r="A57" s="1" t="s">
        <v>74</v>
      </c>
      <c r="B57" t="s">
        <v>24</v>
      </c>
      <c r="C57" t="str">
        <f t="shared" si="0"/>
        <v>OS</v>
      </c>
      <c r="D57">
        <v>2</v>
      </c>
      <c r="E57" t="str">
        <f t="shared" si="1"/>
        <v>Partially Consistent</v>
      </c>
      <c r="F57" t="str">
        <f t="shared" si="2"/>
        <v>Low</v>
      </c>
      <c r="G57" t="str">
        <f t="shared" si="3"/>
        <v>MODERATE</v>
      </c>
      <c r="H57">
        <v>0</v>
      </c>
      <c r="I57">
        <v>0</v>
      </c>
      <c r="J57">
        <v>1</v>
      </c>
      <c r="K57" t="s">
        <v>16</v>
      </c>
      <c r="L57" t="s">
        <v>16</v>
      </c>
      <c r="M57" t="s">
        <v>17</v>
      </c>
      <c r="N57">
        <v>1</v>
      </c>
    </row>
    <row r="58" ht="17" spans="1:14">
      <c r="A58" s="1" t="s">
        <v>75</v>
      </c>
      <c r="B58" t="s">
        <v>24</v>
      </c>
      <c r="C58" t="str">
        <f t="shared" si="0"/>
        <v>OS</v>
      </c>
      <c r="D58">
        <v>2</v>
      </c>
      <c r="E58" t="str">
        <f t="shared" si="1"/>
        <v>Partially Consistent</v>
      </c>
      <c r="F58" t="str">
        <f t="shared" si="2"/>
        <v>Low</v>
      </c>
      <c r="G58" t="str">
        <f t="shared" si="3"/>
        <v>MODERATE</v>
      </c>
      <c r="H58">
        <v>0</v>
      </c>
      <c r="I58">
        <v>0</v>
      </c>
      <c r="J58">
        <v>1</v>
      </c>
      <c r="K58" t="s">
        <v>16</v>
      </c>
      <c r="L58" t="s">
        <v>16</v>
      </c>
      <c r="M58" t="s">
        <v>17</v>
      </c>
      <c r="N58">
        <v>1</v>
      </c>
    </row>
    <row r="59" ht="17" spans="1:14">
      <c r="A59" s="1" t="s">
        <v>76</v>
      </c>
      <c r="B59" t="s">
        <v>20</v>
      </c>
      <c r="C59" t="str">
        <f t="shared" si="0"/>
        <v>TS</v>
      </c>
      <c r="D59">
        <v>2</v>
      </c>
      <c r="E59" t="str">
        <f t="shared" si="1"/>
        <v>Partially Consistent</v>
      </c>
      <c r="F59" t="str">
        <f t="shared" si="2"/>
        <v>High</v>
      </c>
      <c r="G59" t="str">
        <f t="shared" si="3"/>
        <v>MODERATE</v>
      </c>
      <c r="H59">
        <v>0</v>
      </c>
      <c r="I59">
        <v>0</v>
      </c>
      <c r="J59">
        <v>1</v>
      </c>
      <c r="K59" t="s">
        <v>16</v>
      </c>
      <c r="L59" t="s">
        <v>16</v>
      </c>
      <c r="M59" t="s">
        <v>17</v>
      </c>
      <c r="N59">
        <v>1</v>
      </c>
    </row>
    <row r="60" ht="17" spans="1:14">
      <c r="A60" s="1" t="s">
        <v>77</v>
      </c>
      <c r="B60" t="s">
        <v>24</v>
      </c>
      <c r="C60" t="str">
        <f t="shared" si="0"/>
        <v>OS</v>
      </c>
      <c r="D60">
        <v>2</v>
      </c>
      <c r="E60" t="str">
        <f t="shared" si="1"/>
        <v>Partially Consistent</v>
      </c>
      <c r="F60" t="str">
        <f t="shared" si="2"/>
        <v>Low</v>
      </c>
      <c r="G60" t="str">
        <f t="shared" si="3"/>
        <v>MODERATE</v>
      </c>
      <c r="H60">
        <v>0</v>
      </c>
      <c r="I60">
        <v>0</v>
      </c>
      <c r="J60">
        <v>1</v>
      </c>
      <c r="K60" t="s">
        <v>16</v>
      </c>
      <c r="L60" t="s">
        <v>16</v>
      </c>
      <c r="M60" t="s">
        <v>17</v>
      </c>
      <c r="N60">
        <v>1</v>
      </c>
    </row>
    <row r="61" ht="34" spans="1:14">
      <c r="A61" s="1" t="s">
        <v>78</v>
      </c>
      <c r="B61" t="s">
        <v>24</v>
      </c>
      <c r="C61" t="str">
        <f t="shared" si="0"/>
        <v>OS</v>
      </c>
      <c r="D61">
        <v>2</v>
      </c>
      <c r="E61" t="str">
        <f t="shared" si="1"/>
        <v>Partially Consistent</v>
      </c>
      <c r="F61" t="str">
        <f t="shared" si="2"/>
        <v>Low</v>
      </c>
      <c r="G61" t="str">
        <f t="shared" si="3"/>
        <v>MODERATE</v>
      </c>
      <c r="H61">
        <v>0</v>
      </c>
      <c r="I61">
        <v>0</v>
      </c>
      <c r="J61">
        <v>1</v>
      </c>
      <c r="K61" t="s">
        <v>16</v>
      </c>
      <c r="L61" t="s">
        <v>16</v>
      </c>
      <c r="M61" t="s">
        <v>17</v>
      </c>
      <c r="N61">
        <v>1</v>
      </c>
    </row>
    <row r="62" ht="17" spans="1:14">
      <c r="A62" s="1" t="s">
        <v>79</v>
      </c>
      <c r="B62" t="s">
        <v>24</v>
      </c>
      <c r="C62" t="str">
        <f t="shared" si="0"/>
        <v>OS</v>
      </c>
      <c r="D62">
        <v>1</v>
      </c>
      <c r="E62" t="str">
        <f t="shared" si="1"/>
        <v>Consistent</v>
      </c>
      <c r="F62" t="str">
        <f t="shared" si="2"/>
        <v>Low</v>
      </c>
      <c r="G62" t="str">
        <f t="shared" si="3"/>
        <v>MODERATE</v>
      </c>
      <c r="H62">
        <v>0</v>
      </c>
      <c r="I62">
        <v>0</v>
      </c>
      <c r="J62">
        <v>1</v>
      </c>
      <c r="K62" t="s">
        <v>16</v>
      </c>
      <c r="L62" t="s">
        <v>16</v>
      </c>
      <c r="M62" t="s">
        <v>17</v>
      </c>
      <c r="N62">
        <v>1</v>
      </c>
    </row>
    <row r="63" ht="17" spans="1:14">
      <c r="A63" s="1" t="s">
        <v>80</v>
      </c>
      <c r="B63" t="s">
        <v>24</v>
      </c>
      <c r="C63" t="str">
        <f t="shared" si="0"/>
        <v>OS</v>
      </c>
      <c r="D63">
        <v>1</v>
      </c>
      <c r="E63" t="str">
        <f t="shared" si="1"/>
        <v>Consistent</v>
      </c>
      <c r="F63" t="str">
        <f t="shared" si="2"/>
        <v>Low</v>
      </c>
      <c r="G63" t="str">
        <f t="shared" si="3"/>
        <v>MODERATE</v>
      </c>
      <c r="H63">
        <v>1</v>
      </c>
      <c r="I63">
        <v>0</v>
      </c>
      <c r="J63">
        <v>1</v>
      </c>
      <c r="K63" t="s">
        <v>16</v>
      </c>
      <c r="L63" t="s">
        <v>16</v>
      </c>
      <c r="M63" t="s">
        <v>17</v>
      </c>
      <c r="N63">
        <v>1</v>
      </c>
    </row>
    <row r="64" ht="34" spans="1:14">
      <c r="A64" s="1" t="s">
        <v>81</v>
      </c>
      <c r="B64" t="s">
        <v>24</v>
      </c>
      <c r="C64" t="str">
        <f t="shared" si="0"/>
        <v>OS</v>
      </c>
      <c r="D64">
        <v>1</v>
      </c>
      <c r="E64" t="str">
        <f t="shared" si="1"/>
        <v>Consistent</v>
      </c>
      <c r="F64" t="str">
        <f t="shared" si="2"/>
        <v>Low</v>
      </c>
      <c r="G64" t="str">
        <f t="shared" si="3"/>
        <v>MODERATE</v>
      </c>
      <c r="H64">
        <v>0</v>
      </c>
      <c r="I64">
        <v>0</v>
      </c>
      <c r="J64">
        <v>1</v>
      </c>
      <c r="K64" t="s">
        <v>16</v>
      </c>
      <c r="L64" t="s">
        <v>16</v>
      </c>
      <c r="M64" t="s">
        <v>17</v>
      </c>
      <c r="N64">
        <v>1</v>
      </c>
    </row>
    <row r="65" ht="34" spans="1:14">
      <c r="A65" s="1" t="s">
        <v>82</v>
      </c>
      <c r="B65" t="s">
        <v>24</v>
      </c>
      <c r="C65" t="str">
        <f t="shared" si="0"/>
        <v>OS</v>
      </c>
      <c r="D65">
        <v>1</v>
      </c>
      <c r="E65" t="str">
        <f t="shared" si="1"/>
        <v>Consistent</v>
      </c>
      <c r="F65" t="str">
        <f t="shared" si="2"/>
        <v>Low</v>
      </c>
      <c r="G65" t="str">
        <f t="shared" si="3"/>
        <v>MODERATE</v>
      </c>
      <c r="H65">
        <v>0</v>
      </c>
      <c r="I65">
        <v>0</v>
      </c>
      <c r="J65">
        <v>1</v>
      </c>
      <c r="K65" t="s">
        <v>16</v>
      </c>
      <c r="L65" t="s">
        <v>16</v>
      </c>
      <c r="M65" t="s">
        <v>17</v>
      </c>
      <c r="N65">
        <v>1</v>
      </c>
    </row>
    <row r="66" ht="17" spans="1:14">
      <c r="A66" s="1" t="s">
        <v>83</v>
      </c>
      <c r="B66" t="s">
        <v>20</v>
      </c>
      <c r="C66" t="str">
        <f t="shared" ref="C66:C129" si="4">IF(B66="NEUTRAL","TS","OS")</f>
        <v>TS</v>
      </c>
      <c r="D66">
        <v>1</v>
      </c>
      <c r="E66" t="str">
        <f t="shared" ref="E66:E129" si="5">IF(C66="TS",IF(D66=3,"Consistent",IF(OR(D66=2,D66=4),"Partially Consistent","Inconsistent")),IF(D66=3,"Inconsistent",IF(AND(D66=5,B66="POSITIVE"),"Consistent",IF(AND(D66=1,B66="NEGATIVE"),"Consistent",IF(AND(D66=4,B66="POSITIVE"),"Partially Consistent",IF(AND(D66=2,B66="NEGATIVE"),"Partially Consistent","Inconsistent"))))))</f>
        <v>Inconsistent</v>
      </c>
      <c r="F66" t="s">
        <v>84</v>
      </c>
      <c r="G66" t="str">
        <f t="shared" ref="G66:G129" si="6">IF(AND(B66="NEUTRAL",F66="Low"),"LOW",IF(AND(C66="TS",F66="High",D66=3),"HIGH",IF(AND(C66="TS",F66="High",OR(D66=2,D66=4)),"MODERATE",IF(AND(C66="TS",F66="High",OR(D66=1,D66=5)),"LOW",IF(AND(C66="OS",E66="Consistent",OR(D66=1,D66=5)),"MODERATE",IF(AND(C66="OS",E66="Partially Consistent",OR(D66=2,D66=4)),"MODERATE","LOW"))))))</f>
        <v>LOW</v>
      </c>
      <c r="H66">
        <v>0</v>
      </c>
      <c r="I66">
        <v>0</v>
      </c>
      <c r="J66">
        <v>1</v>
      </c>
      <c r="K66">
        <v>1</v>
      </c>
      <c r="L66" t="s">
        <v>16</v>
      </c>
      <c r="M66" t="s">
        <v>17</v>
      </c>
      <c r="N66">
        <v>1</v>
      </c>
    </row>
    <row r="67" ht="17" spans="1:14">
      <c r="A67" s="1" t="s">
        <v>85</v>
      </c>
      <c r="B67" t="s">
        <v>24</v>
      </c>
      <c r="C67" t="str">
        <f t="shared" si="4"/>
        <v>OS</v>
      </c>
      <c r="D67">
        <v>1</v>
      </c>
      <c r="E67" t="str">
        <f t="shared" si="5"/>
        <v>Consistent</v>
      </c>
      <c r="F67" t="str">
        <f t="shared" ref="F66:F129" si="7">IF(C67="TS","High","Low")</f>
        <v>Low</v>
      </c>
      <c r="G67" t="str">
        <f t="shared" si="6"/>
        <v>MODERATE</v>
      </c>
      <c r="H67">
        <v>0</v>
      </c>
      <c r="I67">
        <v>0</v>
      </c>
      <c r="J67">
        <v>1</v>
      </c>
      <c r="K67" t="s">
        <v>16</v>
      </c>
      <c r="L67" t="s">
        <v>16</v>
      </c>
      <c r="M67" t="s">
        <v>17</v>
      </c>
      <c r="N67">
        <v>1</v>
      </c>
    </row>
    <row r="68" ht="17" spans="1:14">
      <c r="A68" s="1" t="s">
        <v>86</v>
      </c>
      <c r="B68" t="s">
        <v>24</v>
      </c>
      <c r="C68" t="str">
        <f t="shared" si="4"/>
        <v>OS</v>
      </c>
      <c r="D68">
        <v>1</v>
      </c>
      <c r="E68" t="str">
        <f t="shared" si="5"/>
        <v>Consistent</v>
      </c>
      <c r="F68" t="str">
        <f t="shared" si="7"/>
        <v>Low</v>
      </c>
      <c r="G68" t="str">
        <f t="shared" si="6"/>
        <v>MODERATE</v>
      </c>
      <c r="H68">
        <v>0</v>
      </c>
      <c r="I68">
        <v>0</v>
      </c>
      <c r="J68">
        <v>1</v>
      </c>
      <c r="K68" t="s">
        <v>16</v>
      </c>
      <c r="L68" t="s">
        <v>16</v>
      </c>
      <c r="M68" t="s">
        <v>17</v>
      </c>
      <c r="N68">
        <v>1</v>
      </c>
    </row>
    <row r="69" ht="17" spans="1:14">
      <c r="A69" s="1" t="s">
        <v>87</v>
      </c>
      <c r="B69" t="s">
        <v>20</v>
      </c>
      <c r="C69" t="str">
        <f t="shared" si="4"/>
        <v>TS</v>
      </c>
      <c r="D69">
        <v>1</v>
      </c>
      <c r="E69" t="str">
        <f t="shared" si="5"/>
        <v>Inconsistent</v>
      </c>
      <c r="F69" t="str">
        <f t="shared" si="7"/>
        <v>High</v>
      </c>
      <c r="G69" t="str">
        <f t="shared" si="6"/>
        <v>LOW</v>
      </c>
      <c r="H69">
        <v>0</v>
      </c>
      <c r="I69">
        <v>0</v>
      </c>
      <c r="J69">
        <v>1</v>
      </c>
      <c r="K69" t="s">
        <v>16</v>
      </c>
      <c r="L69" t="s">
        <v>16</v>
      </c>
      <c r="M69" t="s">
        <v>17</v>
      </c>
      <c r="N69">
        <v>1</v>
      </c>
    </row>
    <row r="70" ht="17" spans="1:14">
      <c r="A70" s="1" t="s">
        <v>88</v>
      </c>
      <c r="B70" t="s">
        <v>24</v>
      </c>
      <c r="C70" t="str">
        <f t="shared" si="4"/>
        <v>OS</v>
      </c>
      <c r="D70">
        <v>1</v>
      </c>
      <c r="E70" t="str">
        <f t="shared" si="5"/>
        <v>Consistent</v>
      </c>
      <c r="F70" t="str">
        <f t="shared" si="7"/>
        <v>Low</v>
      </c>
      <c r="G70" t="str">
        <f t="shared" si="6"/>
        <v>MODERATE</v>
      </c>
      <c r="H70">
        <v>0</v>
      </c>
      <c r="I70">
        <v>0</v>
      </c>
      <c r="J70">
        <v>1</v>
      </c>
      <c r="K70" t="s">
        <v>16</v>
      </c>
      <c r="L70" t="s">
        <v>16</v>
      </c>
      <c r="M70" t="s">
        <v>17</v>
      </c>
      <c r="N70">
        <v>1</v>
      </c>
    </row>
    <row r="71" ht="17" spans="1:14">
      <c r="A71" s="1" t="s">
        <v>89</v>
      </c>
      <c r="B71" t="s">
        <v>24</v>
      </c>
      <c r="C71" t="str">
        <f t="shared" si="4"/>
        <v>OS</v>
      </c>
      <c r="D71">
        <v>1</v>
      </c>
      <c r="E71" t="str">
        <f t="shared" si="5"/>
        <v>Consistent</v>
      </c>
      <c r="F71" t="str">
        <f t="shared" si="7"/>
        <v>Low</v>
      </c>
      <c r="G71" t="str">
        <f t="shared" si="6"/>
        <v>MODERATE</v>
      </c>
      <c r="H71">
        <v>0</v>
      </c>
      <c r="I71">
        <v>0</v>
      </c>
      <c r="J71">
        <v>1</v>
      </c>
      <c r="K71" t="s">
        <v>16</v>
      </c>
      <c r="L71" t="s">
        <v>16</v>
      </c>
      <c r="M71" t="s">
        <v>17</v>
      </c>
      <c r="N71">
        <v>1</v>
      </c>
    </row>
    <row r="72" ht="17" spans="1:14">
      <c r="A72" s="1" t="s">
        <v>90</v>
      </c>
      <c r="B72" t="s">
        <v>24</v>
      </c>
      <c r="C72" t="str">
        <f t="shared" si="4"/>
        <v>OS</v>
      </c>
      <c r="D72">
        <v>1</v>
      </c>
      <c r="E72" t="str">
        <f t="shared" si="5"/>
        <v>Consistent</v>
      </c>
      <c r="F72" t="str">
        <f t="shared" si="7"/>
        <v>Low</v>
      </c>
      <c r="G72" t="str">
        <f t="shared" si="6"/>
        <v>MODERATE</v>
      </c>
      <c r="H72">
        <v>0</v>
      </c>
      <c r="I72">
        <v>0</v>
      </c>
      <c r="J72">
        <v>1</v>
      </c>
      <c r="K72" t="s">
        <v>16</v>
      </c>
      <c r="L72" t="s">
        <v>16</v>
      </c>
      <c r="M72" t="s">
        <v>17</v>
      </c>
      <c r="N72">
        <v>1</v>
      </c>
    </row>
    <row r="73" ht="34" spans="1:14">
      <c r="A73" s="1" t="s">
        <v>91</v>
      </c>
      <c r="B73" t="s">
        <v>24</v>
      </c>
      <c r="C73" t="str">
        <f t="shared" si="4"/>
        <v>OS</v>
      </c>
      <c r="D73">
        <v>1</v>
      </c>
      <c r="E73" t="str">
        <f t="shared" si="5"/>
        <v>Consistent</v>
      </c>
      <c r="F73" t="str">
        <f t="shared" si="7"/>
        <v>Low</v>
      </c>
      <c r="G73" t="str">
        <f t="shared" si="6"/>
        <v>MODERATE</v>
      </c>
      <c r="H73">
        <v>0</v>
      </c>
      <c r="I73">
        <v>0</v>
      </c>
      <c r="J73">
        <v>1</v>
      </c>
      <c r="K73" t="s">
        <v>16</v>
      </c>
      <c r="L73" t="s">
        <v>16</v>
      </c>
      <c r="M73" t="s">
        <v>17</v>
      </c>
      <c r="N73">
        <v>1</v>
      </c>
    </row>
    <row r="74" ht="17" spans="1:14">
      <c r="A74" s="1" t="s">
        <v>92</v>
      </c>
      <c r="B74" t="s">
        <v>24</v>
      </c>
      <c r="C74" t="str">
        <f t="shared" si="4"/>
        <v>OS</v>
      </c>
      <c r="D74">
        <v>1</v>
      </c>
      <c r="E74" t="str">
        <f t="shared" si="5"/>
        <v>Consistent</v>
      </c>
      <c r="F74" t="str">
        <f t="shared" si="7"/>
        <v>Low</v>
      </c>
      <c r="G74" t="str">
        <f t="shared" si="6"/>
        <v>MODERATE</v>
      </c>
      <c r="H74">
        <v>0</v>
      </c>
      <c r="I74">
        <v>0</v>
      </c>
      <c r="J74">
        <v>1</v>
      </c>
      <c r="K74" t="s">
        <v>16</v>
      </c>
      <c r="L74" t="s">
        <v>16</v>
      </c>
      <c r="M74" t="s">
        <v>17</v>
      </c>
      <c r="N74">
        <v>1</v>
      </c>
    </row>
    <row r="75" ht="17" spans="1:14">
      <c r="A75" s="1" t="s">
        <v>93</v>
      </c>
      <c r="B75" t="s">
        <v>24</v>
      </c>
      <c r="C75" t="str">
        <f t="shared" si="4"/>
        <v>OS</v>
      </c>
      <c r="D75">
        <v>1</v>
      </c>
      <c r="E75" t="str">
        <f t="shared" si="5"/>
        <v>Consistent</v>
      </c>
      <c r="F75" t="str">
        <f t="shared" si="7"/>
        <v>Low</v>
      </c>
      <c r="G75" t="str">
        <f t="shared" si="6"/>
        <v>MODERATE</v>
      </c>
      <c r="H75">
        <v>0</v>
      </c>
      <c r="I75">
        <v>0</v>
      </c>
      <c r="J75">
        <v>1</v>
      </c>
      <c r="K75" t="s">
        <v>16</v>
      </c>
      <c r="L75" t="s">
        <v>16</v>
      </c>
      <c r="M75" t="s">
        <v>17</v>
      </c>
      <c r="N75">
        <v>1</v>
      </c>
    </row>
    <row r="76" ht="34" spans="1:14">
      <c r="A76" s="1" t="s">
        <v>94</v>
      </c>
      <c r="B76" t="s">
        <v>15</v>
      </c>
      <c r="C76" t="str">
        <f t="shared" si="4"/>
        <v>OS</v>
      </c>
      <c r="D76">
        <v>1</v>
      </c>
      <c r="E76" t="str">
        <f t="shared" si="5"/>
        <v>Inconsistent</v>
      </c>
      <c r="F76" t="str">
        <f t="shared" si="7"/>
        <v>Low</v>
      </c>
      <c r="G76" t="str">
        <f t="shared" si="6"/>
        <v>LOW</v>
      </c>
      <c r="H76">
        <v>0</v>
      </c>
      <c r="I76">
        <v>1</v>
      </c>
      <c r="J76">
        <v>0</v>
      </c>
      <c r="K76" t="s">
        <v>16</v>
      </c>
      <c r="L76" t="s">
        <v>16</v>
      </c>
      <c r="M76" t="s">
        <v>17</v>
      </c>
      <c r="N76">
        <v>1</v>
      </c>
    </row>
    <row r="77" ht="17" spans="1:14">
      <c r="A77" s="1" t="s">
        <v>95</v>
      </c>
      <c r="B77" t="s">
        <v>24</v>
      </c>
      <c r="C77" t="str">
        <f t="shared" si="4"/>
        <v>OS</v>
      </c>
      <c r="D77">
        <v>1</v>
      </c>
      <c r="E77" t="str">
        <f t="shared" si="5"/>
        <v>Consistent</v>
      </c>
      <c r="F77" t="str">
        <f t="shared" si="7"/>
        <v>Low</v>
      </c>
      <c r="G77" t="str">
        <f t="shared" si="6"/>
        <v>MODERATE</v>
      </c>
      <c r="H77">
        <v>0</v>
      </c>
      <c r="I77">
        <v>0</v>
      </c>
      <c r="J77">
        <v>1</v>
      </c>
      <c r="K77" t="s">
        <v>16</v>
      </c>
      <c r="L77" t="s">
        <v>16</v>
      </c>
      <c r="M77" t="s">
        <v>17</v>
      </c>
      <c r="N77">
        <v>1</v>
      </c>
    </row>
    <row r="78" ht="17" spans="1:14">
      <c r="A78" s="1" t="s">
        <v>96</v>
      </c>
      <c r="B78" t="s">
        <v>24</v>
      </c>
      <c r="C78" t="str">
        <f t="shared" si="4"/>
        <v>OS</v>
      </c>
      <c r="D78">
        <v>1</v>
      </c>
      <c r="E78" t="str">
        <f t="shared" si="5"/>
        <v>Consistent</v>
      </c>
      <c r="F78" t="str">
        <f t="shared" si="7"/>
        <v>Low</v>
      </c>
      <c r="G78" t="str">
        <f t="shared" si="6"/>
        <v>MODERATE</v>
      </c>
      <c r="H78">
        <v>0</v>
      </c>
      <c r="I78">
        <v>0</v>
      </c>
      <c r="J78">
        <v>1</v>
      </c>
      <c r="K78" t="s">
        <v>16</v>
      </c>
      <c r="L78" t="s">
        <v>16</v>
      </c>
      <c r="M78" t="s">
        <v>17</v>
      </c>
      <c r="N78">
        <v>1</v>
      </c>
    </row>
    <row r="79" ht="17" spans="1:14">
      <c r="A79" s="1" t="s">
        <v>97</v>
      </c>
      <c r="B79" t="s">
        <v>24</v>
      </c>
      <c r="C79" t="str">
        <f t="shared" si="4"/>
        <v>OS</v>
      </c>
      <c r="D79">
        <v>1</v>
      </c>
      <c r="E79" t="str">
        <f t="shared" si="5"/>
        <v>Consistent</v>
      </c>
      <c r="F79" t="str">
        <f t="shared" si="7"/>
        <v>Low</v>
      </c>
      <c r="G79" t="str">
        <f t="shared" si="6"/>
        <v>MODERATE</v>
      </c>
      <c r="H79">
        <v>0</v>
      </c>
      <c r="I79">
        <v>0</v>
      </c>
      <c r="J79">
        <v>1</v>
      </c>
      <c r="K79" t="s">
        <v>16</v>
      </c>
      <c r="L79" t="s">
        <v>16</v>
      </c>
      <c r="M79" t="s">
        <v>17</v>
      </c>
      <c r="N79">
        <v>1</v>
      </c>
    </row>
    <row r="80" ht="17" spans="1:14">
      <c r="A80" s="1" t="s">
        <v>98</v>
      </c>
      <c r="B80" t="s">
        <v>24</v>
      </c>
      <c r="C80" t="str">
        <f t="shared" si="4"/>
        <v>OS</v>
      </c>
      <c r="D80">
        <v>1</v>
      </c>
      <c r="E80" t="str">
        <f t="shared" si="5"/>
        <v>Consistent</v>
      </c>
      <c r="F80" t="str">
        <f t="shared" si="7"/>
        <v>Low</v>
      </c>
      <c r="G80" t="str">
        <f t="shared" si="6"/>
        <v>MODERATE</v>
      </c>
      <c r="H80">
        <v>0</v>
      </c>
      <c r="I80">
        <v>0</v>
      </c>
      <c r="J80">
        <v>1</v>
      </c>
      <c r="K80" t="s">
        <v>16</v>
      </c>
      <c r="L80" t="s">
        <v>16</v>
      </c>
      <c r="M80" t="s">
        <v>17</v>
      </c>
      <c r="N80">
        <v>1</v>
      </c>
    </row>
    <row r="81" ht="34" spans="1:14">
      <c r="A81" s="1" t="s">
        <v>99</v>
      </c>
      <c r="B81" t="s">
        <v>24</v>
      </c>
      <c r="C81" t="str">
        <f t="shared" si="4"/>
        <v>OS</v>
      </c>
      <c r="D81">
        <v>1</v>
      </c>
      <c r="E81" t="str">
        <f t="shared" si="5"/>
        <v>Consistent</v>
      </c>
      <c r="F81" t="str">
        <f t="shared" si="7"/>
        <v>Low</v>
      </c>
      <c r="G81" t="str">
        <f t="shared" si="6"/>
        <v>MODERATE</v>
      </c>
      <c r="H81">
        <v>0</v>
      </c>
      <c r="I81">
        <v>0</v>
      </c>
      <c r="J81">
        <v>1</v>
      </c>
      <c r="K81" t="s">
        <v>16</v>
      </c>
      <c r="L81" t="s">
        <v>16</v>
      </c>
      <c r="M81" t="s">
        <v>17</v>
      </c>
      <c r="N81">
        <v>1</v>
      </c>
    </row>
    <row r="82" ht="34" spans="1:14">
      <c r="A82" s="1" t="s">
        <v>100</v>
      </c>
      <c r="B82" t="s">
        <v>24</v>
      </c>
      <c r="C82" t="str">
        <f t="shared" si="4"/>
        <v>OS</v>
      </c>
      <c r="D82">
        <v>3</v>
      </c>
      <c r="E82" t="str">
        <f t="shared" si="5"/>
        <v>Inconsistent</v>
      </c>
      <c r="F82" t="str">
        <f t="shared" si="7"/>
        <v>Low</v>
      </c>
      <c r="G82" t="str">
        <f t="shared" si="6"/>
        <v>LOW</v>
      </c>
      <c r="H82">
        <v>0</v>
      </c>
      <c r="I82">
        <v>0</v>
      </c>
      <c r="J82">
        <v>1</v>
      </c>
      <c r="K82" t="s">
        <v>16</v>
      </c>
      <c r="L82" t="s">
        <v>16</v>
      </c>
      <c r="M82" t="s">
        <v>17</v>
      </c>
      <c r="N82">
        <v>1</v>
      </c>
    </row>
    <row r="83" ht="34" spans="1:14">
      <c r="A83" s="1" t="s">
        <v>101</v>
      </c>
      <c r="B83" t="s">
        <v>20</v>
      </c>
      <c r="C83" t="str">
        <f t="shared" si="4"/>
        <v>TS</v>
      </c>
      <c r="D83">
        <v>3</v>
      </c>
      <c r="E83" t="str">
        <f t="shared" si="5"/>
        <v>Consistent</v>
      </c>
      <c r="F83" t="str">
        <f t="shared" si="7"/>
        <v>High</v>
      </c>
      <c r="G83" t="str">
        <f t="shared" si="6"/>
        <v>HIGH</v>
      </c>
      <c r="H83">
        <v>0</v>
      </c>
      <c r="I83">
        <v>0</v>
      </c>
      <c r="J83">
        <v>1</v>
      </c>
      <c r="K83" t="s">
        <v>16</v>
      </c>
      <c r="L83" t="s">
        <v>16</v>
      </c>
      <c r="M83" t="s">
        <v>17</v>
      </c>
      <c r="N83">
        <v>1</v>
      </c>
    </row>
    <row r="84" ht="17" spans="1:14">
      <c r="A84" s="1" t="s">
        <v>102</v>
      </c>
      <c r="B84" t="s">
        <v>15</v>
      </c>
      <c r="C84" t="str">
        <f t="shared" si="4"/>
        <v>OS</v>
      </c>
      <c r="D84">
        <v>3</v>
      </c>
      <c r="E84" t="str">
        <f t="shared" si="5"/>
        <v>Inconsistent</v>
      </c>
      <c r="F84" t="str">
        <f t="shared" si="7"/>
        <v>Low</v>
      </c>
      <c r="G84" t="str">
        <f t="shared" si="6"/>
        <v>LOW</v>
      </c>
      <c r="H84">
        <v>0</v>
      </c>
      <c r="I84">
        <v>1</v>
      </c>
      <c r="J84">
        <v>0</v>
      </c>
      <c r="K84" t="s">
        <v>16</v>
      </c>
      <c r="L84" t="s">
        <v>16</v>
      </c>
      <c r="M84" t="s">
        <v>17</v>
      </c>
      <c r="N84">
        <v>1</v>
      </c>
    </row>
    <row r="85" ht="17" spans="1:14">
      <c r="A85" s="1" t="s">
        <v>103</v>
      </c>
      <c r="B85" t="s">
        <v>20</v>
      </c>
      <c r="C85" t="str">
        <f t="shared" si="4"/>
        <v>TS</v>
      </c>
      <c r="D85">
        <v>3</v>
      </c>
      <c r="E85" t="str">
        <f t="shared" si="5"/>
        <v>Consistent</v>
      </c>
      <c r="F85" t="str">
        <f t="shared" si="7"/>
        <v>High</v>
      </c>
      <c r="G85" t="str">
        <f t="shared" si="6"/>
        <v>HIGH</v>
      </c>
      <c r="H85">
        <v>0</v>
      </c>
      <c r="I85">
        <v>0</v>
      </c>
      <c r="J85">
        <v>1</v>
      </c>
      <c r="K85" t="s">
        <v>16</v>
      </c>
      <c r="L85" t="s">
        <v>16</v>
      </c>
      <c r="M85" t="s">
        <v>17</v>
      </c>
      <c r="N85">
        <v>1</v>
      </c>
    </row>
    <row r="86" ht="17" spans="1:14">
      <c r="A86" s="1" t="s">
        <v>104</v>
      </c>
      <c r="B86" t="s">
        <v>15</v>
      </c>
      <c r="C86" t="str">
        <f t="shared" si="4"/>
        <v>OS</v>
      </c>
      <c r="D86">
        <v>3</v>
      </c>
      <c r="E86" t="str">
        <f t="shared" si="5"/>
        <v>Inconsistent</v>
      </c>
      <c r="F86" t="str">
        <f t="shared" si="7"/>
        <v>Low</v>
      </c>
      <c r="G86" t="str">
        <f t="shared" si="6"/>
        <v>LOW</v>
      </c>
      <c r="H86">
        <v>0</v>
      </c>
      <c r="I86">
        <v>0</v>
      </c>
      <c r="J86">
        <v>1</v>
      </c>
      <c r="K86" t="s">
        <v>16</v>
      </c>
      <c r="L86" t="s">
        <v>16</v>
      </c>
      <c r="M86" t="s">
        <v>17</v>
      </c>
      <c r="N86">
        <v>1</v>
      </c>
    </row>
    <row r="87" ht="34" spans="1:14">
      <c r="A87" s="1" t="s">
        <v>105</v>
      </c>
      <c r="B87" t="s">
        <v>20</v>
      </c>
      <c r="C87" t="str">
        <f t="shared" si="4"/>
        <v>TS</v>
      </c>
      <c r="D87">
        <v>3</v>
      </c>
      <c r="E87" t="str">
        <f t="shared" si="5"/>
        <v>Consistent</v>
      </c>
      <c r="F87" t="str">
        <f t="shared" si="7"/>
        <v>High</v>
      </c>
      <c r="G87" t="str">
        <f t="shared" si="6"/>
        <v>HIGH</v>
      </c>
      <c r="H87">
        <v>0</v>
      </c>
      <c r="I87">
        <v>0</v>
      </c>
      <c r="J87">
        <v>1</v>
      </c>
      <c r="K87" t="s">
        <v>16</v>
      </c>
      <c r="L87" t="s">
        <v>16</v>
      </c>
      <c r="M87" t="s">
        <v>17</v>
      </c>
      <c r="N87">
        <v>1</v>
      </c>
    </row>
    <row r="88" ht="34" spans="1:14">
      <c r="A88" s="1" t="s">
        <v>106</v>
      </c>
      <c r="B88" t="s">
        <v>24</v>
      </c>
      <c r="C88" t="str">
        <f t="shared" si="4"/>
        <v>OS</v>
      </c>
      <c r="D88">
        <v>3</v>
      </c>
      <c r="E88" t="str">
        <f t="shared" si="5"/>
        <v>Inconsistent</v>
      </c>
      <c r="F88" t="str">
        <f t="shared" si="7"/>
        <v>Low</v>
      </c>
      <c r="G88" t="str">
        <f t="shared" si="6"/>
        <v>LOW</v>
      </c>
      <c r="H88">
        <v>0</v>
      </c>
      <c r="I88">
        <v>0</v>
      </c>
      <c r="J88">
        <v>1</v>
      </c>
      <c r="K88" t="s">
        <v>16</v>
      </c>
      <c r="L88" t="s">
        <v>16</v>
      </c>
      <c r="M88" t="s">
        <v>17</v>
      </c>
      <c r="N88">
        <v>1</v>
      </c>
    </row>
    <row r="89" ht="17" spans="1:14">
      <c r="A89" s="1" t="s">
        <v>107</v>
      </c>
      <c r="B89" t="s">
        <v>24</v>
      </c>
      <c r="C89" t="str">
        <f t="shared" si="4"/>
        <v>OS</v>
      </c>
      <c r="D89">
        <v>3</v>
      </c>
      <c r="E89" t="str">
        <f t="shared" si="5"/>
        <v>Inconsistent</v>
      </c>
      <c r="F89" t="str">
        <f t="shared" si="7"/>
        <v>Low</v>
      </c>
      <c r="G89" t="str">
        <f t="shared" si="6"/>
        <v>LOW</v>
      </c>
      <c r="H89">
        <v>0</v>
      </c>
      <c r="I89">
        <v>0</v>
      </c>
      <c r="J89">
        <v>1</v>
      </c>
      <c r="K89" t="s">
        <v>16</v>
      </c>
      <c r="L89" t="s">
        <v>16</v>
      </c>
      <c r="M89" t="s">
        <v>17</v>
      </c>
      <c r="N89">
        <v>1</v>
      </c>
    </row>
    <row r="90" ht="34" spans="1:14">
      <c r="A90" s="1" t="s">
        <v>108</v>
      </c>
      <c r="B90" t="s">
        <v>20</v>
      </c>
      <c r="C90" t="str">
        <f t="shared" si="4"/>
        <v>TS</v>
      </c>
      <c r="D90">
        <v>3</v>
      </c>
      <c r="E90" t="str">
        <f t="shared" si="5"/>
        <v>Consistent</v>
      </c>
      <c r="F90" t="str">
        <f t="shared" si="7"/>
        <v>High</v>
      </c>
      <c r="G90" t="str">
        <f t="shared" si="6"/>
        <v>HIGH</v>
      </c>
      <c r="H90">
        <v>0</v>
      </c>
      <c r="I90">
        <v>0</v>
      </c>
      <c r="J90">
        <v>1</v>
      </c>
      <c r="K90" t="s">
        <v>16</v>
      </c>
      <c r="L90" t="s">
        <v>16</v>
      </c>
      <c r="M90" t="s">
        <v>17</v>
      </c>
      <c r="N90">
        <v>1</v>
      </c>
    </row>
    <row r="91" ht="17" spans="1:14">
      <c r="A91" s="1" t="s">
        <v>109</v>
      </c>
      <c r="B91" t="s">
        <v>15</v>
      </c>
      <c r="C91" t="str">
        <f t="shared" si="4"/>
        <v>OS</v>
      </c>
      <c r="D91">
        <v>3</v>
      </c>
      <c r="E91" t="str">
        <f t="shared" si="5"/>
        <v>Inconsistent</v>
      </c>
      <c r="F91" t="str">
        <f t="shared" si="7"/>
        <v>Low</v>
      </c>
      <c r="G91" t="str">
        <f t="shared" si="6"/>
        <v>LOW</v>
      </c>
      <c r="H91">
        <v>0</v>
      </c>
      <c r="I91">
        <v>0</v>
      </c>
      <c r="J91">
        <v>1</v>
      </c>
      <c r="K91" t="s">
        <v>16</v>
      </c>
      <c r="L91" t="s">
        <v>16</v>
      </c>
      <c r="M91" t="s">
        <v>17</v>
      </c>
      <c r="N91">
        <v>1</v>
      </c>
    </row>
    <row r="92" ht="17" spans="1:14">
      <c r="A92" s="1" t="s">
        <v>110</v>
      </c>
      <c r="B92" t="s">
        <v>24</v>
      </c>
      <c r="C92" t="str">
        <f t="shared" si="4"/>
        <v>OS</v>
      </c>
      <c r="D92">
        <v>3</v>
      </c>
      <c r="E92" t="str">
        <f t="shared" si="5"/>
        <v>Inconsistent</v>
      </c>
      <c r="F92" t="str">
        <f t="shared" si="7"/>
        <v>Low</v>
      </c>
      <c r="G92" t="str">
        <f t="shared" si="6"/>
        <v>LOW</v>
      </c>
      <c r="H92">
        <v>1</v>
      </c>
      <c r="I92">
        <v>0</v>
      </c>
      <c r="J92">
        <v>1</v>
      </c>
      <c r="K92" t="s">
        <v>16</v>
      </c>
      <c r="L92" t="s">
        <v>16</v>
      </c>
      <c r="M92" t="s">
        <v>17</v>
      </c>
      <c r="N92">
        <v>1</v>
      </c>
    </row>
    <row r="93" ht="17" spans="1:14">
      <c r="A93" s="1" t="s">
        <v>111</v>
      </c>
      <c r="B93" t="s">
        <v>24</v>
      </c>
      <c r="C93" t="str">
        <f t="shared" si="4"/>
        <v>OS</v>
      </c>
      <c r="D93">
        <v>3</v>
      </c>
      <c r="E93" t="str">
        <f t="shared" si="5"/>
        <v>Inconsistent</v>
      </c>
      <c r="F93" t="str">
        <f t="shared" si="7"/>
        <v>Low</v>
      </c>
      <c r="G93" t="str">
        <f t="shared" si="6"/>
        <v>LOW</v>
      </c>
      <c r="H93">
        <v>0</v>
      </c>
      <c r="I93">
        <v>0</v>
      </c>
      <c r="J93">
        <v>1</v>
      </c>
      <c r="K93" t="s">
        <v>16</v>
      </c>
      <c r="L93" t="s">
        <v>16</v>
      </c>
      <c r="M93" t="s">
        <v>17</v>
      </c>
      <c r="N93">
        <v>1</v>
      </c>
    </row>
    <row r="94" ht="34" spans="1:14">
      <c r="A94" s="1" t="s">
        <v>112</v>
      </c>
      <c r="B94" t="s">
        <v>24</v>
      </c>
      <c r="C94" t="str">
        <f t="shared" si="4"/>
        <v>OS</v>
      </c>
      <c r="D94">
        <v>3</v>
      </c>
      <c r="E94" t="str">
        <f t="shared" si="5"/>
        <v>Inconsistent</v>
      </c>
      <c r="F94" t="str">
        <f t="shared" si="7"/>
        <v>Low</v>
      </c>
      <c r="G94" t="str">
        <f t="shared" si="6"/>
        <v>LOW</v>
      </c>
      <c r="H94">
        <v>0</v>
      </c>
      <c r="I94">
        <v>0</v>
      </c>
      <c r="J94">
        <v>1</v>
      </c>
      <c r="K94" t="s">
        <v>16</v>
      </c>
      <c r="L94" t="s">
        <v>16</v>
      </c>
      <c r="M94" t="s">
        <v>17</v>
      </c>
      <c r="N94">
        <v>1</v>
      </c>
    </row>
    <row r="95" ht="17" spans="1:14">
      <c r="A95" s="1" t="s">
        <v>113</v>
      </c>
      <c r="B95" t="s">
        <v>20</v>
      </c>
      <c r="C95" t="str">
        <f t="shared" si="4"/>
        <v>TS</v>
      </c>
      <c r="D95">
        <v>3</v>
      </c>
      <c r="E95" t="str">
        <f t="shared" si="5"/>
        <v>Consistent</v>
      </c>
      <c r="F95" t="str">
        <f t="shared" si="7"/>
        <v>High</v>
      </c>
      <c r="G95" t="str">
        <f t="shared" si="6"/>
        <v>HIGH</v>
      </c>
      <c r="H95">
        <v>0</v>
      </c>
      <c r="I95">
        <v>0</v>
      </c>
      <c r="J95">
        <v>1</v>
      </c>
      <c r="K95" t="s">
        <v>16</v>
      </c>
      <c r="L95" t="s">
        <v>16</v>
      </c>
      <c r="M95" t="s">
        <v>17</v>
      </c>
      <c r="N95">
        <v>1</v>
      </c>
    </row>
    <row r="96" ht="17" spans="1:14">
      <c r="A96" s="1" t="s">
        <v>114</v>
      </c>
      <c r="B96" t="s">
        <v>24</v>
      </c>
      <c r="C96" t="str">
        <f t="shared" si="4"/>
        <v>OS</v>
      </c>
      <c r="D96">
        <v>3</v>
      </c>
      <c r="E96" t="str">
        <f t="shared" si="5"/>
        <v>Inconsistent</v>
      </c>
      <c r="F96" t="str">
        <f t="shared" si="7"/>
        <v>Low</v>
      </c>
      <c r="G96" t="str">
        <f t="shared" si="6"/>
        <v>LOW</v>
      </c>
      <c r="H96">
        <v>0</v>
      </c>
      <c r="I96">
        <v>0</v>
      </c>
      <c r="J96">
        <v>1</v>
      </c>
      <c r="K96" t="s">
        <v>16</v>
      </c>
      <c r="L96" t="s">
        <v>16</v>
      </c>
      <c r="M96" t="s">
        <v>17</v>
      </c>
      <c r="N96">
        <v>1</v>
      </c>
    </row>
    <row r="97" ht="17" spans="1:14">
      <c r="A97" s="1" t="s">
        <v>115</v>
      </c>
      <c r="B97" t="s">
        <v>20</v>
      </c>
      <c r="C97" t="str">
        <f t="shared" si="4"/>
        <v>TS</v>
      </c>
      <c r="D97">
        <v>3</v>
      </c>
      <c r="E97" t="str">
        <f t="shared" si="5"/>
        <v>Consistent</v>
      </c>
      <c r="F97" t="str">
        <f t="shared" si="7"/>
        <v>High</v>
      </c>
      <c r="G97" t="str">
        <f t="shared" si="6"/>
        <v>HIGH</v>
      </c>
      <c r="H97">
        <v>0</v>
      </c>
      <c r="I97">
        <v>0</v>
      </c>
      <c r="J97">
        <v>1</v>
      </c>
      <c r="K97" t="s">
        <v>16</v>
      </c>
      <c r="L97" t="s">
        <v>16</v>
      </c>
      <c r="M97" t="s">
        <v>17</v>
      </c>
      <c r="N97">
        <v>1</v>
      </c>
    </row>
    <row r="98" ht="34" spans="1:14">
      <c r="A98" s="1" t="s">
        <v>116</v>
      </c>
      <c r="B98" t="s">
        <v>15</v>
      </c>
      <c r="C98" t="str">
        <f t="shared" si="4"/>
        <v>OS</v>
      </c>
      <c r="D98">
        <v>3</v>
      </c>
      <c r="E98" t="str">
        <f t="shared" si="5"/>
        <v>Inconsistent</v>
      </c>
      <c r="F98" t="str">
        <f t="shared" si="7"/>
        <v>Low</v>
      </c>
      <c r="G98" t="str">
        <f t="shared" si="6"/>
        <v>LOW</v>
      </c>
      <c r="H98">
        <v>0</v>
      </c>
      <c r="I98">
        <v>1</v>
      </c>
      <c r="J98">
        <v>0</v>
      </c>
      <c r="K98" t="s">
        <v>16</v>
      </c>
      <c r="L98" t="s">
        <v>16</v>
      </c>
      <c r="M98" t="s">
        <v>17</v>
      </c>
      <c r="N98">
        <v>1</v>
      </c>
    </row>
    <row r="99" ht="17" spans="1:14">
      <c r="A99" s="1" t="s">
        <v>117</v>
      </c>
      <c r="B99" t="s">
        <v>24</v>
      </c>
      <c r="C99" t="str">
        <f t="shared" si="4"/>
        <v>OS</v>
      </c>
      <c r="D99">
        <v>3</v>
      </c>
      <c r="E99" t="str">
        <f t="shared" si="5"/>
        <v>Inconsistent</v>
      </c>
      <c r="F99" t="str">
        <f t="shared" si="7"/>
        <v>Low</v>
      </c>
      <c r="G99" t="str">
        <f t="shared" si="6"/>
        <v>LOW</v>
      </c>
      <c r="H99">
        <v>0</v>
      </c>
      <c r="I99">
        <v>0</v>
      </c>
      <c r="J99">
        <v>1</v>
      </c>
      <c r="K99" t="s">
        <v>16</v>
      </c>
      <c r="L99" t="s">
        <v>16</v>
      </c>
      <c r="M99" t="s">
        <v>17</v>
      </c>
      <c r="N99">
        <v>1</v>
      </c>
    </row>
    <row r="100" ht="34" spans="1:14">
      <c r="A100" s="1" t="s">
        <v>118</v>
      </c>
      <c r="B100" t="s">
        <v>20</v>
      </c>
      <c r="C100" t="str">
        <f t="shared" si="4"/>
        <v>TS</v>
      </c>
      <c r="D100">
        <v>3</v>
      </c>
      <c r="E100" t="str">
        <f t="shared" si="5"/>
        <v>Consistent</v>
      </c>
      <c r="F100" t="str">
        <f t="shared" si="7"/>
        <v>High</v>
      </c>
      <c r="G100" t="str">
        <f t="shared" si="6"/>
        <v>HIGH</v>
      </c>
      <c r="H100">
        <v>0</v>
      </c>
      <c r="I100">
        <v>0</v>
      </c>
      <c r="J100">
        <v>1</v>
      </c>
      <c r="K100" t="s">
        <v>16</v>
      </c>
      <c r="L100" t="s">
        <v>16</v>
      </c>
      <c r="M100" t="s">
        <v>17</v>
      </c>
      <c r="N100">
        <v>1</v>
      </c>
    </row>
    <row r="101" ht="17" spans="1:14">
      <c r="A101" s="1" t="s">
        <v>119</v>
      </c>
      <c r="B101" t="s">
        <v>24</v>
      </c>
      <c r="C101" t="str">
        <f t="shared" si="4"/>
        <v>OS</v>
      </c>
      <c r="D101">
        <v>3</v>
      </c>
      <c r="E101" t="str">
        <f t="shared" si="5"/>
        <v>Inconsistent</v>
      </c>
      <c r="F101" t="str">
        <f t="shared" si="7"/>
        <v>Low</v>
      </c>
      <c r="G101" t="str">
        <f t="shared" si="6"/>
        <v>LOW</v>
      </c>
      <c r="H101">
        <v>0</v>
      </c>
      <c r="I101">
        <v>0</v>
      </c>
      <c r="J101">
        <v>1</v>
      </c>
      <c r="K101" t="s">
        <v>16</v>
      </c>
      <c r="L101" t="s">
        <v>16</v>
      </c>
      <c r="M101" t="s">
        <v>17</v>
      </c>
      <c r="N101">
        <v>1</v>
      </c>
    </row>
    <row r="102" ht="34" spans="1:14">
      <c r="A102" s="1" t="s">
        <v>120</v>
      </c>
      <c r="B102" t="s">
        <v>20</v>
      </c>
      <c r="C102" t="str">
        <f t="shared" si="4"/>
        <v>TS</v>
      </c>
      <c r="D102">
        <v>3</v>
      </c>
      <c r="E102" t="str">
        <f t="shared" si="5"/>
        <v>Consistent</v>
      </c>
      <c r="F102" t="str">
        <f t="shared" si="7"/>
        <v>High</v>
      </c>
      <c r="G102" t="str">
        <f t="shared" si="6"/>
        <v>HIGH</v>
      </c>
      <c r="H102">
        <v>1</v>
      </c>
      <c r="I102">
        <v>1</v>
      </c>
      <c r="J102">
        <v>1</v>
      </c>
      <c r="K102" t="s">
        <v>16</v>
      </c>
      <c r="L102" t="s">
        <v>16</v>
      </c>
      <c r="M102" t="s">
        <v>17</v>
      </c>
      <c r="N102">
        <v>1</v>
      </c>
    </row>
    <row r="103" ht="17" spans="1:14">
      <c r="A103" s="1" t="s">
        <v>121</v>
      </c>
      <c r="B103" t="s">
        <v>24</v>
      </c>
      <c r="C103" t="str">
        <f t="shared" si="4"/>
        <v>OS</v>
      </c>
      <c r="D103">
        <v>3</v>
      </c>
      <c r="E103" t="str">
        <f t="shared" si="5"/>
        <v>Inconsistent</v>
      </c>
      <c r="F103" t="str">
        <f t="shared" si="7"/>
        <v>Low</v>
      </c>
      <c r="G103" t="str">
        <f t="shared" si="6"/>
        <v>LOW</v>
      </c>
      <c r="H103">
        <v>0</v>
      </c>
      <c r="I103">
        <v>0</v>
      </c>
      <c r="J103">
        <v>1</v>
      </c>
      <c r="K103" t="s">
        <v>16</v>
      </c>
      <c r="L103" t="s">
        <v>16</v>
      </c>
      <c r="M103" t="s">
        <v>17</v>
      </c>
      <c r="N103">
        <v>1</v>
      </c>
    </row>
    <row r="104" ht="17" spans="1:14">
      <c r="A104" s="1" t="s">
        <v>122</v>
      </c>
      <c r="B104" t="s">
        <v>20</v>
      </c>
      <c r="C104" t="str">
        <f t="shared" si="4"/>
        <v>TS</v>
      </c>
      <c r="D104">
        <v>3</v>
      </c>
      <c r="E104" t="str">
        <f t="shared" si="5"/>
        <v>Consistent</v>
      </c>
      <c r="F104" t="str">
        <f t="shared" si="7"/>
        <v>High</v>
      </c>
      <c r="G104" t="str">
        <f t="shared" si="6"/>
        <v>HIGH</v>
      </c>
      <c r="H104">
        <v>0</v>
      </c>
      <c r="I104">
        <v>0</v>
      </c>
      <c r="J104">
        <v>1</v>
      </c>
      <c r="K104" t="s">
        <v>16</v>
      </c>
      <c r="L104" t="s">
        <v>16</v>
      </c>
      <c r="M104" t="s">
        <v>17</v>
      </c>
      <c r="N104">
        <v>1</v>
      </c>
    </row>
    <row r="105" ht="17" spans="1:14">
      <c r="A105" s="1" t="s">
        <v>123</v>
      </c>
      <c r="B105" t="s">
        <v>24</v>
      </c>
      <c r="C105" t="str">
        <f t="shared" si="4"/>
        <v>OS</v>
      </c>
      <c r="D105">
        <v>3</v>
      </c>
      <c r="E105" t="str">
        <f t="shared" si="5"/>
        <v>Inconsistent</v>
      </c>
      <c r="F105" t="str">
        <f t="shared" si="7"/>
        <v>Low</v>
      </c>
      <c r="G105" t="str">
        <f t="shared" si="6"/>
        <v>LOW</v>
      </c>
      <c r="H105">
        <v>0</v>
      </c>
      <c r="I105">
        <v>0</v>
      </c>
      <c r="J105">
        <v>1</v>
      </c>
      <c r="K105" t="s">
        <v>16</v>
      </c>
      <c r="L105" t="s">
        <v>16</v>
      </c>
      <c r="M105" t="s">
        <v>17</v>
      </c>
      <c r="N105">
        <v>1</v>
      </c>
    </row>
    <row r="106" ht="17" spans="1:14">
      <c r="A106" s="1" t="s">
        <v>124</v>
      </c>
      <c r="B106" t="s">
        <v>24</v>
      </c>
      <c r="C106" t="str">
        <f t="shared" si="4"/>
        <v>OS</v>
      </c>
      <c r="D106">
        <v>3</v>
      </c>
      <c r="E106" t="str">
        <f t="shared" si="5"/>
        <v>Inconsistent</v>
      </c>
      <c r="F106" t="str">
        <f t="shared" si="7"/>
        <v>Low</v>
      </c>
      <c r="G106" t="str">
        <f t="shared" si="6"/>
        <v>LOW</v>
      </c>
      <c r="H106">
        <v>0</v>
      </c>
      <c r="I106">
        <v>0</v>
      </c>
      <c r="J106">
        <v>1</v>
      </c>
      <c r="K106" t="s">
        <v>16</v>
      </c>
      <c r="L106" t="s">
        <v>16</v>
      </c>
      <c r="M106" t="s">
        <v>17</v>
      </c>
      <c r="N106">
        <v>1</v>
      </c>
    </row>
    <row r="107" ht="17" spans="1:14">
      <c r="A107" s="1" t="s">
        <v>125</v>
      </c>
      <c r="B107" t="s">
        <v>24</v>
      </c>
      <c r="C107" t="str">
        <f t="shared" si="4"/>
        <v>OS</v>
      </c>
      <c r="D107">
        <v>3</v>
      </c>
      <c r="E107" t="str">
        <f t="shared" si="5"/>
        <v>Inconsistent</v>
      </c>
      <c r="F107" t="str">
        <f t="shared" si="7"/>
        <v>Low</v>
      </c>
      <c r="G107" t="str">
        <f t="shared" si="6"/>
        <v>LOW</v>
      </c>
      <c r="H107">
        <v>0</v>
      </c>
      <c r="I107">
        <v>0</v>
      </c>
      <c r="J107">
        <v>1</v>
      </c>
      <c r="K107" t="s">
        <v>16</v>
      </c>
      <c r="L107" t="s">
        <v>16</v>
      </c>
      <c r="M107" t="s">
        <v>17</v>
      </c>
      <c r="N107">
        <v>1</v>
      </c>
    </row>
    <row r="108" ht="34" spans="1:14">
      <c r="A108" s="1" t="s">
        <v>126</v>
      </c>
      <c r="B108" t="s">
        <v>20</v>
      </c>
      <c r="C108" t="str">
        <f t="shared" si="4"/>
        <v>TS</v>
      </c>
      <c r="D108">
        <v>3</v>
      </c>
      <c r="E108" t="str">
        <f t="shared" si="5"/>
        <v>Consistent</v>
      </c>
      <c r="F108" t="str">
        <f t="shared" si="7"/>
        <v>High</v>
      </c>
      <c r="G108" t="str">
        <f t="shared" si="6"/>
        <v>HIGH</v>
      </c>
      <c r="H108">
        <v>0</v>
      </c>
      <c r="I108">
        <v>0</v>
      </c>
      <c r="J108">
        <v>1</v>
      </c>
      <c r="K108" t="s">
        <v>16</v>
      </c>
      <c r="L108" t="s">
        <v>16</v>
      </c>
      <c r="M108" t="s">
        <v>17</v>
      </c>
      <c r="N108">
        <v>1</v>
      </c>
    </row>
    <row r="109" ht="17" spans="1:14">
      <c r="A109" s="1" t="s">
        <v>127</v>
      </c>
      <c r="B109" t="s">
        <v>20</v>
      </c>
      <c r="C109" t="str">
        <f t="shared" si="4"/>
        <v>TS</v>
      </c>
      <c r="D109">
        <v>3</v>
      </c>
      <c r="E109" t="str">
        <f t="shared" si="5"/>
        <v>Consistent</v>
      </c>
      <c r="F109" t="str">
        <f t="shared" si="7"/>
        <v>High</v>
      </c>
      <c r="G109" t="str">
        <f t="shared" si="6"/>
        <v>HIGH</v>
      </c>
      <c r="H109">
        <v>0</v>
      </c>
      <c r="I109">
        <v>0</v>
      </c>
      <c r="J109">
        <v>1</v>
      </c>
      <c r="K109" t="s">
        <v>16</v>
      </c>
      <c r="L109" t="s">
        <v>16</v>
      </c>
      <c r="M109" t="s">
        <v>17</v>
      </c>
      <c r="N109">
        <v>1</v>
      </c>
    </row>
    <row r="110" ht="17" spans="1:14">
      <c r="A110" s="1" t="s">
        <v>128</v>
      </c>
      <c r="B110" t="s">
        <v>24</v>
      </c>
      <c r="C110" t="str">
        <f t="shared" si="4"/>
        <v>OS</v>
      </c>
      <c r="D110">
        <v>3</v>
      </c>
      <c r="E110" t="str">
        <f t="shared" si="5"/>
        <v>Inconsistent</v>
      </c>
      <c r="F110" t="str">
        <f t="shared" si="7"/>
        <v>Low</v>
      </c>
      <c r="G110" t="str">
        <f t="shared" si="6"/>
        <v>LOW</v>
      </c>
      <c r="H110">
        <v>1</v>
      </c>
      <c r="I110">
        <v>0</v>
      </c>
      <c r="J110">
        <v>1</v>
      </c>
      <c r="K110" t="s">
        <v>16</v>
      </c>
      <c r="L110" t="s">
        <v>16</v>
      </c>
      <c r="M110" t="s">
        <v>17</v>
      </c>
      <c r="N110">
        <v>1</v>
      </c>
    </row>
    <row r="111" ht="17" spans="1:14">
      <c r="A111" s="1" t="s">
        <v>129</v>
      </c>
      <c r="B111" t="s">
        <v>20</v>
      </c>
      <c r="C111" t="str">
        <f t="shared" si="4"/>
        <v>TS</v>
      </c>
      <c r="D111">
        <v>3</v>
      </c>
      <c r="E111" t="str">
        <f t="shared" si="5"/>
        <v>Consistent</v>
      </c>
      <c r="F111" t="str">
        <f t="shared" si="7"/>
        <v>High</v>
      </c>
      <c r="G111" t="str">
        <f t="shared" si="6"/>
        <v>HIGH</v>
      </c>
      <c r="H111">
        <v>0</v>
      </c>
      <c r="I111">
        <v>0</v>
      </c>
      <c r="J111">
        <v>1</v>
      </c>
      <c r="K111" t="s">
        <v>16</v>
      </c>
      <c r="L111" t="s">
        <v>16</v>
      </c>
      <c r="M111" t="s">
        <v>17</v>
      </c>
      <c r="N111">
        <v>1</v>
      </c>
    </row>
    <row r="112" ht="17" spans="1:14">
      <c r="A112" s="1" t="s">
        <v>130</v>
      </c>
      <c r="B112" t="s">
        <v>24</v>
      </c>
      <c r="C112" t="str">
        <f t="shared" si="4"/>
        <v>OS</v>
      </c>
      <c r="D112">
        <v>3</v>
      </c>
      <c r="E112" t="str">
        <f t="shared" si="5"/>
        <v>Inconsistent</v>
      </c>
      <c r="F112" t="str">
        <f t="shared" si="7"/>
        <v>Low</v>
      </c>
      <c r="G112" t="str">
        <f t="shared" si="6"/>
        <v>LOW</v>
      </c>
      <c r="H112">
        <v>0</v>
      </c>
      <c r="I112">
        <v>0</v>
      </c>
      <c r="J112">
        <v>1</v>
      </c>
      <c r="K112" t="s">
        <v>16</v>
      </c>
      <c r="L112" t="s">
        <v>16</v>
      </c>
      <c r="M112" t="s">
        <v>17</v>
      </c>
      <c r="N112">
        <v>1</v>
      </c>
    </row>
    <row r="113" ht="34" spans="1:14">
      <c r="A113" s="1" t="s">
        <v>131</v>
      </c>
      <c r="B113" t="s">
        <v>20</v>
      </c>
      <c r="C113" t="str">
        <f t="shared" si="4"/>
        <v>TS</v>
      </c>
      <c r="D113">
        <v>3</v>
      </c>
      <c r="E113" t="str">
        <f t="shared" si="5"/>
        <v>Consistent</v>
      </c>
      <c r="F113" t="str">
        <f t="shared" si="7"/>
        <v>High</v>
      </c>
      <c r="G113" t="str">
        <f t="shared" si="6"/>
        <v>HIGH</v>
      </c>
      <c r="H113">
        <v>0</v>
      </c>
      <c r="I113">
        <v>0</v>
      </c>
      <c r="J113">
        <v>1</v>
      </c>
      <c r="K113" t="s">
        <v>16</v>
      </c>
      <c r="L113" t="s">
        <v>16</v>
      </c>
      <c r="M113" t="s">
        <v>17</v>
      </c>
      <c r="N113">
        <v>1</v>
      </c>
    </row>
    <row r="114" ht="17" spans="1:14">
      <c r="A114" s="1" t="s">
        <v>132</v>
      </c>
      <c r="B114" t="s">
        <v>20</v>
      </c>
      <c r="C114" t="str">
        <f t="shared" si="4"/>
        <v>TS</v>
      </c>
      <c r="D114">
        <v>3</v>
      </c>
      <c r="E114" t="str">
        <f t="shared" si="5"/>
        <v>Consistent</v>
      </c>
      <c r="F114" t="str">
        <f t="shared" si="7"/>
        <v>High</v>
      </c>
      <c r="G114" t="str">
        <f t="shared" si="6"/>
        <v>HIGH</v>
      </c>
      <c r="H114">
        <v>0</v>
      </c>
      <c r="I114">
        <v>0</v>
      </c>
      <c r="J114">
        <v>1</v>
      </c>
      <c r="K114" t="s">
        <v>16</v>
      </c>
      <c r="L114" t="s">
        <v>16</v>
      </c>
      <c r="M114" t="s">
        <v>17</v>
      </c>
      <c r="N114">
        <v>1</v>
      </c>
    </row>
    <row r="115" ht="17" spans="1:14">
      <c r="A115" s="1" t="s">
        <v>133</v>
      </c>
      <c r="B115" t="s">
        <v>24</v>
      </c>
      <c r="C115" t="str">
        <f t="shared" si="4"/>
        <v>OS</v>
      </c>
      <c r="D115">
        <v>3</v>
      </c>
      <c r="E115" t="str">
        <f t="shared" si="5"/>
        <v>Inconsistent</v>
      </c>
      <c r="F115" t="str">
        <f t="shared" si="7"/>
        <v>Low</v>
      </c>
      <c r="G115" t="str">
        <f t="shared" si="6"/>
        <v>LOW</v>
      </c>
      <c r="H115">
        <v>0</v>
      </c>
      <c r="I115">
        <v>0</v>
      </c>
      <c r="J115">
        <v>1</v>
      </c>
      <c r="K115" t="s">
        <v>16</v>
      </c>
      <c r="L115" t="s">
        <v>16</v>
      </c>
      <c r="M115" t="s">
        <v>17</v>
      </c>
      <c r="N115">
        <v>1</v>
      </c>
    </row>
    <row r="116" ht="17" spans="1:14">
      <c r="A116" s="1" t="s">
        <v>134</v>
      </c>
      <c r="B116" t="s">
        <v>24</v>
      </c>
      <c r="C116" t="str">
        <f t="shared" si="4"/>
        <v>OS</v>
      </c>
      <c r="D116">
        <v>3</v>
      </c>
      <c r="E116" t="str">
        <f t="shared" si="5"/>
        <v>Inconsistent</v>
      </c>
      <c r="F116" t="str">
        <f t="shared" si="7"/>
        <v>Low</v>
      </c>
      <c r="G116" t="str">
        <f t="shared" si="6"/>
        <v>LOW</v>
      </c>
      <c r="H116">
        <v>0</v>
      </c>
      <c r="I116">
        <v>0</v>
      </c>
      <c r="J116">
        <v>1</v>
      </c>
      <c r="K116" t="s">
        <v>16</v>
      </c>
      <c r="L116" t="s">
        <v>16</v>
      </c>
      <c r="M116" t="s">
        <v>17</v>
      </c>
      <c r="N116">
        <v>1</v>
      </c>
    </row>
    <row r="117" ht="17" spans="1:14">
      <c r="A117" s="1" t="s">
        <v>135</v>
      </c>
      <c r="B117" t="s">
        <v>20</v>
      </c>
      <c r="C117" t="str">
        <f t="shared" si="4"/>
        <v>TS</v>
      </c>
      <c r="D117">
        <v>3</v>
      </c>
      <c r="E117" t="str">
        <f t="shared" si="5"/>
        <v>Consistent</v>
      </c>
      <c r="F117" t="str">
        <f t="shared" si="7"/>
        <v>High</v>
      </c>
      <c r="G117" t="str">
        <f t="shared" si="6"/>
        <v>HIGH</v>
      </c>
      <c r="H117">
        <v>0</v>
      </c>
      <c r="I117">
        <v>0</v>
      </c>
      <c r="J117">
        <v>1</v>
      </c>
      <c r="K117" t="s">
        <v>16</v>
      </c>
      <c r="L117" t="s">
        <v>16</v>
      </c>
      <c r="M117" t="s">
        <v>17</v>
      </c>
      <c r="N117">
        <v>1</v>
      </c>
    </row>
    <row r="118" ht="17" spans="1:14">
      <c r="A118" s="1" t="s">
        <v>136</v>
      </c>
      <c r="B118" t="s">
        <v>20</v>
      </c>
      <c r="C118" t="str">
        <f t="shared" si="4"/>
        <v>TS</v>
      </c>
      <c r="D118">
        <v>3</v>
      </c>
      <c r="E118" t="str">
        <f t="shared" si="5"/>
        <v>Consistent</v>
      </c>
      <c r="F118" t="str">
        <f t="shared" si="7"/>
        <v>High</v>
      </c>
      <c r="G118" t="str">
        <f t="shared" si="6"/>
        <v>HIGH</v>
      </c>
      <c r="H118">
        <v>0</v>
      </c>
      <c r="I118">
        <v>0</v>
      </c>
      <c r="J118">
        <v>1</v>
      </c>
      <c r="K118" t="s">
        <v>16</v>
      </c>
      <c r="L118" t="s">
        <v>16</v>
      </c>
      <c r="M118" t="s">
        <v>17</v>
      </c>
      <c r="N118">
        <v>1</v>
      </c>
    </row>
    <row r="119" ht="34" spans="1:14">
      <c r="A119" s="1" t="s">
        <v>137</v>
      </c>
      <c r="B119" t="s">
        <v>24</v>
      </c>
      <c r="C119" t="str">
        <f t="shared" si="4"/>
        <v>OS</v>
      </c>
      <c r="D119">
        <v>3</v>
      </c>
      <c r="E119" t="str">
        <f t="shared" si="5"/>
        <v>Inconsistent</v>
      </c>
      <c r="F119" t="str">
        <f t="shared" si="7"/>
        <v>Low</v>
      </c>
      <c r="G119" t="str">
        <f t="shared" si="6"/>
        <v>LOW</v>
      </c>
      <c r="H119">
        <v>0</v>
      </c>
      <c r="I119">
        <v>0</v>
      </c>
      <c r="J119">
        <v>1</v>
      </c>
      <c r="K119" t="s">
        <v>16</v>
      </c>
      <c r="L119" t="s">
        <v>16</v>
      </c>
      <c r="M119" t="s">
        <v>17</v>
      </c>
      <c r="N119">
        <v>1</v>
      </c>
    </row>
    <row r="120" ht="51" spans="1:14">
      <c r="A120" s="1" t="s">
        <v>138</v>
      </c>
      <c r="B120" t="s">
        <v>20</v>
      </c>
      <c r="C120" t="str">
        <f t="shared" si="4"/>
        <v>TS</v>
      </c>
      <c r="D120">
        <v>3</v>
      </c>
      <c r="E120" t="str">
        <f t="shared" si="5"/>
        <v>Consistent</v>
      </c>
      <c r="F120" t="str">
        <f t="shared" si="7"/>
        <v>High</v>
      </c>
      <c r="G120" t="str">
        <f t="shared" si="6"/>
        <v>HIGH</v>
      </c>
      <c r="H120">
        <v>0</v>
      </c>
      <c r="I120">
        <v>0</v>
      </c>
      <c r="J120">
        <v>1</v>
      </c>
      <c r="K120" t="s">
        <v>16</v>
      </c>
      <c r="L120" t="s">
        <v>16</v>
      </c>
      <c r="M120" t="s">
        <v>17</v>
      </c>
      <c r="N120">
        <v>1</v>
      </c>
    </row>
    <row r="121" ht="17" spans="1:14">
      <c r="A121" s="1" t="s">
        <v>139</v>
      </c>
      <c r="B121" t="s">
        <v>20</v>
      </c>
      <c r="C121" t="str">
        <f t="shared" si="4"/>
        <v>TS</v>
      </c>
      <c r="D121">
        <v>3</v>
      </c>
      <c r="E121" t="str">
        <f t="shared" si="5"/>
        <v>Consistent</v>
      </c>
      <c r="F121" t="str">
        <f t="shared" si="7"/>
        <v>High</v>
      </c>
      <c r="G121" t="str">
        <f t="shared" si="6"/>
        <v>HIGH</v>
      </c>
      <c r="H121">
        <v>0</v>
      </c>
      <c r="I121">
        <v>0</v>
      </c>
      <c r="J121">
        <v>1</v>
      </c>
      <c r="K121" t="s">
        <v>16</v>
      </c>
      <c r="L121" t="s">
        <v>16</v>
      </c>
      <c r="M121" t="s">
        <v>17</v>
      </c>
      <c r="N121">
        <v>1</v>
      </c>
    </row>
    <row r="122" ht="17" spans="1:14">
      <c r="A122" s="1" t="s">
        <v>140</v>
      </c>
      <c r="B122" t="s">
        <v>20</v>
      </c>
      <c r="C122" t="str">
        <f t="shared" si="4"/>
        <v>TS</v>
      </c>
      <c r="D122">
        <v>3</v>
      </c>
      <c r="E122" t="str">
        <f t="shared" si="5"/>
        <v>Consistent</v>
      </c>
      <c r="F122" t="str">
        <f t="shared" si="7"/>
        <v>High</v>
      </c>
      <c r="G122" t="str">
        <f t="shared" si="6"/>
        <v>HIGH</v>
      </c>
      <c r="H122">
        <v>0</v>
      </c>
      <c r="I122">
        <v>0</v>
      </c>
      <c r="J122">
        <v>1</v>
      </c>
      <c r="K122" t="s">
        <v>16</v>
      </c>
      <c r="L122" t="s">
        <v>16</v>
      </c>
      <c r="M122" t="s">
        <v>17</v>
      </c>
      <c r="N122">
        <v>1</v>
      </c>
    </row>
    <row r="123" ht="17" spans="1:14">
      <c r="A123" s="1" t="s">
        <v>141</v>
      </c>
      <c r="B123" t="s">
        <v>24</v>
      </c>
      <c r="C123" t="str">
        <f t="shared" si="4"/>
        <v>OS</v>
      </c>
      <c r="D123">
        <v>3</v>
      </c>
      <c r="E123" t="str">
        <f t="shared" si="5"/>
        <v>Inconsistent</v>
      </c>
      <c r="F123" t="str">
        <f t="shared" si="7"/>
        <v>Low</v>
      </c>
      <c r="G123" t="str">
        <f t="shared" si="6"/>
        <v>LOW</v>
      </c>
      <c r="H123">
        <v>0</v>
      </c>
      <c r="I123">
        <v>0</v>
      </c>
      <c r="J123">
        <v>1</v>
      </c>
      <c r="K123" t="s">
        <v>16</v>
      </c>
      <c r="L123" t="s">
        <v>16</v>
      </c>
      <c r="M123" t="s">
        <v>17</v>
      </c>
      <c r="N123">
        <v>1</v>
      </c>
    </row>
    <row r="124" ht="34" spans="1:14">
      <c r="A124" s="1" t="s">
        <v>142</v>
      </c>
      <c r="B124" t="s">
        <v>24</v>
      </c>
      <c r="C124" t="str">
        <f t="shared" si="4"/>
        <v>OS</v>
      </c>
      <c r="D124">
        <v>3</v>
      </c>
      <c r="E124" t="str">
        <f t="shared" si="5"/>
        <v>Inconsistent</v>
      </c>
      <c r="F124" t="str">
        <f t="shared" si="7"/>
        <v>Low</v>
      </c>
      <c r="G124" t="str">
        <f t="shared" si="6"/>
        <v>LOW</v>
      </c>
      <c r="H124">
        <v>0</v>
      </c>
      <c r="I124">
        <v>0</v>
      </c>
      <c r="J124">
        <v>1</v>
      </c>
      <c r="K124" t="s">
        <v>16</v>
      </c>
      <c r="L124" t="s">
        <v>16</v>
      </c>
      <c r="M124" t="s">
        <v>17</v>
      </c>
      <c r="N124">
        <v>1</v>
      </c>
    </row>
    <row r="125" ht="17" spans="1:14">
      <c r="A125" s="1" t="s">
        <v>143</v>
      </c>
      <c r="B125" t="s">
        <v>24</v>
      </c>
      <c r="C125" t="str">
        <f t="shared" si="4"/>
        <v>OS</v>
      </c>
      <c r="D125">
        <v>3</v>
      </c>
      <c r="E125" t="str">
        <f t="shared" si="5"/>
        <v>Inconsistent</v>
      </c>
      <c r="F125" t="str">
        <f t="shared" si="7"/>
        <v>Low</v>
      </c>
      <c r="G125" t="str">
        <f t="shared" si="6"/>
        <v>LOW</v>
      </c>
      <c r="H125">
        <v>0</v>
      </c>
      <c r="I125">
        <v>0</v>
      </c>
      <c r="J125">
        <v>1</v>
      </c>
      <c r="K125" t="s">
        <v>16</v>
      </c>
      <c r="L125" t="s">
        <v>16</v>
      </c>
      <c r="M125" t="s">
        <v>17</v>
      </c>
      <c r="N125">
        <v>1</v>
      </c>
    </row>
    <row r="126" ht="17" spans="1:14">
      <c r="A126" s="1" t="s">
        <v>144</v>
      </c>
      <c r="B126" t="s">
        <v>24</v>
      </c>
      <c r="C126" t="str">
        <f t="shared" si="4"/>
        <v>OS</v>
      </c>
      <c r="D126">
        <v>3</v>
      </c>
      <c r="E126" t="str">
        <f t="shared" si="5"/>
        <v>Inconsistent</v>
      </c>
      <c r="F126" t="str">
        <f t="shared" si="7"/>
        <v>Low</v>
      </c>
      <c r="G126" t="str">
        <f t="shared" si="6"/>
        <v>LOW</v>
      </c>
      <c r="H126">
        <v>0</v>
      </c>
      <c r="I126">
        <v>0</v>
      </c>
      <c r="J126">
        <v>1</v>
      </c>
      <c r="K126" t="s">
        <v>16</v>
      </c>
      <c r="L126" t="s">
        <v>16</v>
      </c>
      <c r="M126" t="s">
        <v>17</v>
      </c>
      <c r="N126">
        <v>1</v>
      </c>
    </row>
    <row r="127" ht="17" spans="1:14">
      <c r="A127" s="1" t="s">
        <v>145</v>
      </c>
      <c r="B127" t="s">
        <v>24</v>
      </c>
      <c r="C127" t="str">
        <f t="shared" si="4"/>
        <v>OS</v>
      </c>
      <c r="D127">
        <v>3</v>
      </c>
      <c r="E127" t="str">
        <f t="shared" si="5"/>
        <v>Inconsistent</v>
      </c>
      <c r="F127" t="str">
        <f t="shared" si="7"/>
        <v>Low</v>
      </c>
      <c r="G127" t="str">
        <f t="shared" si="6"/>
        <v>LOW</v>
      </c>
      <c r="H127">
        <v>0</v>
      </c>
      <c r="I127">
        <v>0</v>
      </c>
      <c r="J127">
        <v>1</v>
      </c>
      <c r="K127" t="s">
        <v>16</v>
      </c>
      <c r="L127" t="s">
        <v>16</v>
      </c>
      <c r="M127" t="s">
        <v>17</v>
      </c>
      <c r="N127">
        <v>1</v>
      </c>
    </row>
    <row r="128" ht="34" spans="1:14">
      <c r="A128" s="1" t="s">
        <v>146</v>
      </c>
      <c r="B128" t="s">
        <v>15</v>
      </c>
      <c r="C128" t="str">
        <f t="shared" si="4"/>
        <v>OS</v>
      </c>
      <c r="D128">
        <v>3</v>
      </c>
      <c r="E128" t="str">
        <f t="shared" si="5"/>
        <v>Inconsistent</v>
      </c>
      <c r="F128" t="str">
        <f t="shared" si="7"/>
        <v>Low</v>
      </c>
      <c r="G128" t="str">
        <f t="shared" si="6"/>
        <v>LOW</v>
      </c>
      <c r="H128">
        <v>1</v>
      </c>
      <c r="I128">
        <v>1</v>
      </c>
      <c r="J128">
        <v>0</v>
      </c>
      <c r="K128" t="s">
        <v>16</v>
      </c>
      <c r="L128" t="s">
        <v>16</v>
      </c>
      <c r="M128" t="s">
        <v>17</v>
      </c>
      <c r="N128">
        <v>1</v>
      </c>
    </row>
    <row r="129" ht="34" spans="1:14">
      <c r="A129" s="1" t="s">
        <v>147</v>
      </c>
      <c r="B129" t="s">
        <v>15</v>
      </c>
      <c r="C129" t="str">
        <f t="shared" si="4"/>
        <v>OS</v>
      </c>
      <c r="D129">
        <v>3</v>
      </c>
      <c r="E129" t="str">
        <f t="shared" si="5"/>
        <v>Inconsistent</v>
      </c>
      <c r="F129" t="str">
        <f t="shared" si="7"/>
        <v>Low</v>
      </c>
      <c r="G129" t="str">
        <f t="shared" si="6"/>
        <v>LOW</v>
      </c>
      <c r="H129">
        <v>0</v>
      </c>
      <c r="I129">
        <v>1</v>
      </c>
      <c r="J129">
        <v>0</v>
      </c>
      <c r="K129" t="s">
        <v>16</v>
      </c>
      <c r="L129" t="s">
        <v>16</v>
      </c>
      <c r="M129" t="s">
        <v>17</v>
      </c>
      <c r="N129">
        <v>1</v>
      </c>
    </row>
    <row r="130" ht="34" spans="1:14">
      <c r="A130" s="1" t="s">
        <v>148</v>
      </c>
      <c r="B130" t="s">
        <v>20</v>
      </c>
      <c r="C130" t="str">
        <f>IF(B130="NEUTRAL","TS","OS")</f>
        <v>TS</v>
      </c>
      <c r="D130">
        <v>3</v>
      </c>
      <c r="E130" t="str">
        <f>IF(C130="TS",IF(D130=3,"Consistent",IF(OR(D130=2,D130=4),"Partially Consistent","Inconsistent")),IF(D130=3,"Inconsistent",IF(AND(D130=5,B130="POSITIVE"),"Consistent",IF(AND(D130=1,B130="NEGATIVE"),"Consistent",IF(AND(D130=4,B130="POSITIVE"),"Partially Consistent",IF(AND(D130=2,B130="NEGATIVE"),"Partially Consistent","Inconsistent"))))))</f>
        <v>Consistent</v>
      </c>
      <c r="F130" t="str">
        <f>IF(C130="TS","High","Low")</f>
        <v>High</v>
      </c>
      <c r="G130" t="str">
        <f>IF(AND(B130="NEUTRAL",F130="Low"),"LOW",IF(AND(C130="TS",F130="High",D130=3),"HIGH",IF(AND(C130="TS",F130="High",OR(D130=2,D130=4)),"MODERATE",IF(AND(C130="TS",F130="High",OR(D130=1,D130=5)),"LOW",IF(AND(C130="OS",E130="Consistent",OR(D130=1,D130=5)),"MODERATE",IF(AND(C130="OS",E130="Partially Consistent",OR(D130=2,D130=4)),"MODERATE","LOW"))))))</f>
        <v>HIGH</v>
      </c>
      <c r="H130">
        <v>1</v>
      </c>
      <c r="I130">
        <v>0</v>
      </c>
      <c r="J130">
        <v>1</v>
      </c>
      <c r="K130" t="s">
        <v>16</v>
      </c>
      <c r="L130" t="s">
        <v>16</v>
      </c>
      <c r="M130" t="s">
        <v>17</v>
      </c>
      <c r="N130">
        <v>1</v>
      </c>
    </row>
    <row r="131" ht="17" spans="1:14">
      <c r="A131" s="1" t="s">
        <v>149</v>
      </c>
      <c r="B131" t="s">
        <v>20</v>
      </c>
      <c r="C131" t="str">
        <f>IF(B131="NEUTRAL","TS","OS")</f>
        <v>TS</v>
      </c>
      <c r="D131">
        <v>3</v>
      </c>
      <c r="E131" t="str">
        <f>IF(C131="TS",IF(D131=3,"Consistent",IF(OR(D131=2,D131=4),"Partially Consistent","Inconsistent")),IF(D131=3,"Inconsistent",IF(AND(D131=5,B131="POSITIVE"),"Consistent",IF(AND(D131=1,B131="NEGATIVE"),"Consistent",IF(AND(D131=4,B131="POSITIVE"),"Partially Consistent",IF(AND(D131=2,B131="NEGATIVE"),"Partially Consistent","Inconsistent"))))))</f>
        <v>Consistent</v>
      </c>
      <c r="F131" t="str">
        <f>IF(C131="TS","High","Low")</f>
        <v>High</v>
      </c>
      <c r="G131" t="str">
        <f>IF(AND(B131="NEUTRAL",F131="Low"),"LOW",IF(AND(C131="TS",F131="High",D131=3),"HIGH",IF(AND(C131="TS",F131="High",OR(D131=2,D131=4)),"MODERATE",IF(AND(C131="TS",F131="High",OR(D131=1,D131=5)),"LOW",IF(AND(C131="OS",E131="Consistent",OR(D131=1,D131=5)),"MODERATE",IF(AND(C131="OS",E131="Partially Consistent",OR(D131=2,D131=4)),"MODERATE","LOW"))))))</f>
        <v>HIGH</v>
      </c>
      <c r="H131">
        <v>1</v>
      </c>
      <c r="I131">
        <v>0</v>
      </c>
      <c r="J131">
        <v>1</v>
      </c>
      <c r="K131" t="s">
        <v>16</v>
      </c>
      <c r="L131" t="s">
        <v>16</v>
      </c>
      <c r="M131" t="s">
        <v>17</v>
      </c>
      <c r="N131">
        <v>1</v>
      </c>
    </row>
    <row r="132" ht="17" spans="1:14">
      <c r="A132" s="1" t="s">
        <v>150</v>
      </c>
      <c r="B132" t="s">
        <v>24</v>
      </c>
      <c r="C132" t="str">
        <f>IF(B132="NEUTRAL","TS","OS")</f>
        <v>OS</v>
      </c>
      <c r="D132">
        <v>3</v>
      </c>
      <c r="E132" t="str">
        <f>IF(C132="TS",IF(D132=3,"Consistent",IF(OR(D132=2,D132=4),"Partially Consistent","Inconsistent")),IF(D132=3,"Inconsistent",IF(AND(D132=5,B132="POSITIVE"),"Consistent",IF(AND(D132=1,B132="NEGATIVE"),"Consistent",IF(AND(D132=4,B132="POSITIVE"),"Partially Consistent",IF(AND(D132=2,B132="NEGATIVE"),"Partially Consistent","Inconsistent"))))))</f>
        <v>Inconsistent</v>
      </c>
      <c r="F132" t="str">
        <f>IF(C132="TS","High","Low")</f>
        <v>Low</v>
      </c>
      <c r="G132" t="str">
        <f>IF(AND(B132="NEUTRAL",F132="Low"),"LOW",IF(AND(C132="TS",F132="High",D132=3),"HIGH",IF(AND(C132="TS",F132="High",OR(D132=2,D132=4)),"MODERATE",IF(AND(C132="TS",F132="High",OR(D132=1,D132=5)),"LOW",IF(AND(C132="OS",E132="Consistent",OR(D132=1,D132=5)),"MODERATE",IF(AND(C132="OS",E132="Partially Consistent",OR(D132=2,D132=4)),"MODERATE","LOW"))))))</f>
        <v>LOW</v>
      </c>
      <c r="H132">
        <v>0</v>
      </c>
      <c r="I132">
        <v>0</v>
      </c>
      <c r="J132">
        <v>1</v>
      </c>
      <c r="K132" t="s">
        <v>16</v>
      </c>
      <c r="L132" t="s">
        <v>16</v>
      </c>
      <c r="M132" t="s">
        <v>17</v>
      </c>
      <c r="N132">
        <v>1</v>
      </c>
    </row>
    <row r="133" ht="34" spans="1:14">
      <c r="A133" s="1" t="s">
        <v>151</v>
      </c>
      <c r="B133" t="s">
        <v>20</v>
      </c>
      <c r="C133" t="str">
        <f>IF(B133="NEUTRAL","TS","OS")</f>
        <v>TS</v>
      </c>
      <c r="D133">
        <v>3</v>
      </c>
      <c r="E133" t="str">
        <f>IF(C133="TS",IF(D133=3,"Consistent",IF(OR(D133=2,D133=4),"Partially Consistent","Inconsistent")),IF(D133=3,"Inconsistent",IF(AND(D133=5,B133="POSITIVE"),"Consistent",IF(AND(D133=1,B133="NEGATIVE"),"Consistent",IF(AND(D133=4,B133="POSITIVE"),"Partially Consistent",IF(AND(D133=2,B133="NEGATIVE"),"Partially Consistent","Inconsistent"))))))</f>
        <v>Consistent</v>
      </c>
      <c r="F133" t="str">
        <f>IF(C133="TS","High","Low")</f>
        <v>High</v>
      </c>
      <c r="G133" t="str">
        <f>IF(AND(B133="NEUTRAL",F133="Low"),"LOW",IF(AND(C133="TS",F133="High",D133=3),"HIGH",IF(AND(C133="TS",F133="High",OR(D133=2,D133=4)),"MODERATE",IF(AND(C133="TS",F133="High",OR(D133=1,D133=5)),"LOW",IF(AND(C133="OS",E133="Consistent",OR(D133=1,D133=5)),"MODERATE",IF(AND(C133="OS",E133="Partially Consistent",OR(D133=2,D133=4)),"MODERATE","LOW"))))))</f>
        <v>HIGH</v>
      </c>
      <c r="H133">
        <v>0</v>
      </c>
      <c r="I133">
        <v>0</v>
      </c>
      <c r="J133">
        <v>1</v>
      </c>
      <c r="K133" t="s">
        <v>16</v>
      </c>
      <c r="L133" t="s">
        <v>16</v>
      </c>
      <c r="M133" t="s">
        <v>17</v>
      </c>
      <c r="N133">
        <v>1</v>
      </c>
    </row>
    <row r="134" ht="34" spans="1:14">
      <c r="A134" s="1" t="s">
        <v>152</v>
      </c>
      <c r="B134" t="s">
        <v>15</v>
      </c>
      <c r="C134" t="str">
        <f>IF(B134="NEUTRAL","TS","OS")</f>
        <v>OS</v>
      </c>
      <c r="D134">
        <v>3</v>
      </c>
      <c r="E134" t="str">
        <f>IF(C134="TS",IF(D134=3,"Consistent",IF(OR(D134=2,D134=4),"Partially Consistent","Inconsistent")),IF(D134=3,"Inconsistent",IF(AND(D134=5,B134="POSITIVE"),"Consistent",IF(AND(D134=1,B134="NEGATIVE"),"Consistent",IF(AND(D134=4,B134="POSITIVE"),"Partially Consistent",IF(AND(D134=2,B134="NEGATIVE"),"Partially Consistent","Inconsistent"))))))</f>
        <v>Inconsistent</v>
      </c>
      <c r="F134" t="str">
        <f>IF(C134="TS","High","Low")</f>
        <v>Low</v>
      </c>
      <c r="G134" t="str">
        <f>IF(AND(B134="NEUTRAL",F134="Low"),"LOW",IF(AND(C134="TS",F134="High",D134=3),"HIGH",IF(AND(C134="TS",F134="High",OR(D134=2,D134=4)),"MODERATE",IF(AND(C134="TS",F134="High",OR(D134=1,D134=5)),"LOW",IF(AND(C134="OS",E134="Consistent",OR(D134=1,D134=5)),"MODERATE",IF(AND(C134="OS",E134="Partially Consistent",OR(D134=2,D134=4)),"MODERATE","LOW"))))))</f>
        <v>LOW</v>
      </c>
      <c r="H134">
        <v>0</v>
      </c>
      <c r="I134">
        <v>1</v>
      </c>
      <c r="J134">
        <v>0</v>
      </c>
      <c r="K134" t="s">
        <v>16</v>
      </c>
      <c r="L134" t="s">
        <v>16</v>
      </c>
      <c r="M134" t="s">
        <v>17</v>
      </c>
      <c r="N134">
        <v>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A$1048576"/>
    </sheetView>
  </sheetViews>
  <sheetFormatPr defaultColWidth="9" defaultRowHeight="16.8"/>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All_Reviews</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2025-05-24T11:59:00Z</dcterms:created>
  <dcterms:modified xsi:type="dcterms:W3CDTF">2025-05-24T19:48:32Z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824237A9910840EB848022468124614D_12</vt:lpwstr>
  </property>
  <property fmtid="{D5CDD505-2E9C-101B-9397-08002B2CF9AE}" pid="3" name="KSOProductBuildVer">
    <vt:lpwstr>1033-6.13.1.8710</vt:lpwstr>
  </property>
  <property fmtid="{D5CDD505-2E9C-101B-9397-08002B2CF9AE}" pid="4" name="KSOReadingLayout">
    <vt:bool>true</vt:bool>
  </property>
</Properties>
</file>