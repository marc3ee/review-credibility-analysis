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All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<sst xmlns="http://schemas.openxmlformats.org/spreadsheetml/2006/main" count="315" uniqueCount="69">
  <si>
    <t>Review</t>
  </si>
  <si>
    <t>Sentiment</t>
  </si>
  <si>
    <t>Sidedness</t>
  </si>
  <si>
    <t>Star Rating</t>
  </si>
  <si>
    <t>Consistency</t>
  </si>
  <si>
    <t>Info Diversity</t>
  </si>
  <si>
    <t>PERCEIVED HELPFULNESS</t>
  </si>
  <si>
    <t>PD_F</t>
  </si>
  <si>
    <t>PD_F_TMP</t>
  </si>
  <si>
    <t>MAN_UI</t>
  </si>
  <si>
    <t>SPM</t>
  </si>
  <si>
    <t>CREDIBILITY</t>
  </si>
  <si>
    <t>Product_URL</t>
  </si>
  <si>
    <t>Product_Number</t>
  </si>
  <si>
    <t>gandaa nito mukang expensive</t>
  </si>
  <si>
    <t>POSITIVE</t>
  </si>
  <si>
    <t/>
  </si>
  <si>
    <t>https://www.lazada.com.ph/products/pdp-i2711622771-s12970446850.html</t>
  </si>
  <si>
    <t>stylish and trendy design, excellent craftsmanship, high-quality pu leather material, high-quality pu leather material, versatile and practical,</t>
  </si>
  <si>
    <t>maganda po talaga sya. . murang mura at maganda ang color versatile and practical, material: sling bag color: khaki</t>
  </si>
  <si>
    <t>perfect for everyday use, available in multiple colors, versatile and practical, great value for money,</t>
  </si>
  <si>
    <t>stylish and trendy design, beautiful chain strap detail, perfect for everyday use, high-quality pu leather material,</t>
  </si>
  <si>
    <t>NEUTRAL</t>
  </si>
  <si>
    <t>great value for money, durability: good price: good design: good</t>
  </si>
  <si>
    <t>perfect for everyday use, beautiful chain strap detail, great value for money,</t>
  </si>
  <si>
    <t>the bag has its good durability. . . makapal sya. . . . the color and the appearance. . . . i love it all. . . . it has a unique design and beautiful. . . . love it much. . . . the delivery. . . the parcel and the package, the goods/products are all in order. . . everything is good. . . love it. . . thanks sa lazada. . .</t>
  </si>
  <si>
    <t>comfortable to wear, perfect for everyday use, beautiful chain strap detail, high-quality pu leather material,</t>
  </si>
  <si>
    <t>maganda siya, sulit na din yung bayad nakakabitin lng oara skain yung sling nya hehw pero legit maganda pede sya pang gift</t>
  </si>
  <si>
    <t>color: may pagka dirty white size: ang cute nya, good for pang gala material: cguro tatagal to, pag marunong kang mag alaga ng gamit</t>
  </si>
  <si>
    <t>perfect for everyday use, durability: excellent craftsmanship,</t>
  </si>
  <si>
    <t>perfect for everyday use, beautiful chain strap detail, comfortable to wear, great value for money, high-quality pu leather material, excellent craftsmanship,</t>
  </si>
  <si>
    <t>ganda nmn thank u seller at lazada dndnxsmjejdjnsn dndmdmmsmmssm snsmmsmsmsmmsmsmmsmmsmsm</t>
  </si>
  <si>
    <t>good equality maganda nmn sya salamat kuya rider maaasahan talaga kayu maraming maraming salamat</t>
  </si>
  <si>
    <t>stylish and trendy design, comfortable to wear, convenient crossbody style,</t>
  </si>
  <si>
    <t>maganda sana kahit mumurahin kaso may butas. .</t>
  </si>
  <si>
    <t>excellent craftsmanship, available in multiple colors, convenient crossbody style, comfortable to wear, great value for money, stylish and trendy design, beautiful chain strap detail,</t>
  </si>
  <si>
    <t>excellent craftsmanship, stylish and trendy design, versatile and practical, versatile and practical, versatile and practical, versatile and practical, versatile and practical,</t>
  </si>
  <si>
    <t>stylish and trendy design, more on handbag sya maigsi lang ang chain strap. may mga konting labis lang ng sinulid sa pagkakatahi, pero okay lang.</t>
  </si>
  <si>
    <t>madumi tapus mali ung kulay</t>
  </si>
  <si>
    <t>NEGATIVE</t>
  </si>
  <si>
    <t>i actually didn' t receive the item. i' m expecting it to be redeliver but out of nowhere its been tagged as delivered.</t>
  </si>
  <si>
    <t>maganda sya sakto lang ang size thank you seller at sa rider</t>
  </si>
  <si>
    <t>mura nga sya pero hindi maganda ung quality nung bag. . sobrang nipis nya lang tas may tastas ung tahi nung bag. .</t>
  </si>
  <si>
    <t>i dont recommend this bag. . you get what you spent. not good quality so cheap looking. i can not give it away. nakakahiya! ! ! !</t>
  </si>
  <si>
    <t>color: damaged item, pangit.</t>
  </si>
  <si>
    <t>basta ampangit. wag kayo magsale ng malaki kapag pangit rin lang ipapadala niyo material: pangit size: okay color: okay</t>
  </si>
  <si>
    <t>manipis madaling masira</t>
  </si>
  <si>
    <t>its not good tho im expecting it since the price is cheap. hdjfhcjjcjcjdj</t>
  </si>
  <si>
    <t>bfhfiejfbfiehwidbfkfkd</t>
  </si>
  <si>
    <t>ntanggal agad ung bilog nia mbilis mcra</t>
  </si>
  <si>
    <t>may punit sya tapos may nka dikit na bubblegum</t>
  </si>
  <si>
    <t>oki lang</t>
  </si>
  <si>
    <t>perfect pang biglaan na lakad isang gamitan lang, 4weeks nangingitim na yung strap. .</t>
  </si>
  <si>
    <t>the product is good for its price, but if you want a quality bag, this bag is not for you. . . . .</t>
  </si>
  <si>
    <t>it' s not what i expected yung price nya tama langdin naman sa actual item nya pwede na pero not pag everyday use</t>
  </si>
  <si>
    <t>nasira sya agad and nangalawang agaf</t>
  </si>
  <si>
    <t>low quality</t>
  </si>
  <si>
    <t>ok naman magagamit naman siya</t>
  </si>
  <si>
    <t>fast delivery.</t>
  </si>
  <si>
    <t>its alright, the chain is short, and the bag is has really cheap quality, but its really cute so yeah.</t>
  </si>
  <si>
    <t>akala ko maganda ang bag hindi pala salamat parin</t>
  </si>
  <si>
    <t>worth the price</t>
  </si>
  <si>
    <t>eto medyo ok, kaso napipi rin siya at mukha madumi. oo mura siya pero sana naman medyo matino yubg quality.</t>
  </si>
  <si>
    <t>ok nmn tama lang s price muka xa d matibay wag lang llagyan ng madami sakto lang para tumagal at d macra. . .</t>
  </si>
  <si>
    <t>buhol chain and natutuklap na yung bag pero the rest naorder ko na bag sa shop na to okay lang</t>
  </si>
  <si>
    <t>ang layo ng quality sa picture ninyo, pambata at carton yung loob pagnabasa ito panigurado sira at yung handle niya mukhang hindi matibay, hindi pwede lagyan ng marami sa loob at manipis lng yung tela. bigay ko nlng sa pamangkin kong dalaginding.</t>
  </si>
  <si>
    <t>na-expectation vs reality ako. sa picture at video kasi malaki ung bag tapos nung nareceive ko, ang liit lang pala.</t>
  </si>
  <si>
    <t>ok na sana. pero kung ano sana ung pinili ayun ang ibigay. . instead of white, khaki ung shinip tas ang malala damage pa tsk. . ung black na bag tastas din ung gilid ng tahi haaayss pero anu nga ba naman ieexpect mo sa mura</t>
  </si>
  <si>
    <t>manipis lang cya tapos wag naman sana ipakita yung pampadikit kasi pumangit tignan po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</si>
</sst>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Font="1" applyFill="1" applyAlignment="1"/>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2"/>
  <sheetViews>
    <sheetView tabSelected="1" workbookViewId="0">
      <selection activeCell="B62" sqref="B62"/>
    </sheetView>
  </sheetViews>
  <sheetFormatPr defaultColWidth="9" defaultRowHeight="16.8"/>
  <cols>
    <col min="1" max="1" width="80.859375" style="1" customWidth="1"/>
    <col min="13" max="13" width="67.5625" style="2" customWidth="1"/>
  </cols>
  <sheetData>
    <row r="1" ht="17" spans="1:14">
      <c r="A1" s="3" t="s">
        <v>0</v>
      </c>
      <c r="B1" s="4" t="s">
        <v>1</v>
      </c>
      <c r="C1" s="4" t="s">
        <v>2</v>
      </c>
      <c r="D1" s="4" t="s">
        <v>3</v>
      </c>
      <c r="E1" s="4" t="s">
        <v>4</v>
      </c>
      <c r="F1" s="4" t="s">
        <v>5</v>
      </c>
      <c r="G1" s="4" t="s">
        <v>6</v>
      </c>
      <c r="H1" s="4" t="s">
        <v>7</v>
      </c>
      <c r="I1" s="4" t="s">
        <v>8</v>
      </c>
      <c r="J1" s="4" t="s">
        <v>9</v>
      </c>
      <c r="K1" s="4" t="s">
        <v>10</v>
      </c>
      <c r="L1" s="4" t="s">
        <v>11</v>
      </c>
      <c r="M1" s="5" t="s">
        <v>12</v>
      </c>
      <c r="N1" s="4" t="s">
        <v>13</v>
      </c>
    </row>
    <row r="2" ht="17" spans="1:14">
      <c r="A2" s="1" t="s">
        <v>14</v>
      </c>
      <c r="B2" t="s">
        <v>15</v>
      </c>
      <c r="C2" t="str">
        <f t="shared" ref="C2:C61" si="0">IF(B2="NEUTRAL","TS","OS")</f>
        <v>OS</v>
      </c>
      <c r="D2">
        <v>5</v>
      </c>
      <c r="E2" t="str">
        <f t="shared" ref="E2:E61" si="1">IF(C2="TS",IF(D2=3,"Consistent",IF(OR(D2=2,D2=4),"Partially Consistent","Inconsistent")),IF(D2=3,"Inconsistent",IF(AND(D2=5,B2="POSITIVE"),"Consistent",IF(AND(D2=1,B2="NEGATIVE"),"Consistent",IF(AND(D2=4,B2="POSITIVE"),"Partially Consistent",IF(AND(D2=2,B2="NEGATIVE"),"Partially Consistent","Inconsistent"))))))</f>
        <v>Consistent</v>
      </c>
      <c r="F2" t="str">
        <f t="shared" ref="F2:F61" si="2">IF(C2="TS","High","Low")</f>
        <v>Low</v>
      </c>
      <c r="G2" t="str">
        <f t="shared" ref="G2:G61" si="3">IF(AND(B2="NEUTRAL",F2="Low"),"LOW",IF(AND(C2="TS",F2="High",D2=3),"HIGH",IF(AND(C2="TS",F2="High",OR(D2=2,D2=4)),"MODERATE",IF(AND(C2="TS",F2="High",OR(D2=1,D2=5)),"LOW",IF(AND(C2="OS",E2="Consistent",OR(D2=1,D2=5)),"MODERATE",IF(AND(C2="OS",E2="Partially Consistent",OR(D2=2,D2=4)),"MODERATE","LOW"))))))</f>
        <v>MODERATE</v>
      </c>
      <c r="H2">
        <v>0</v>
      </c>
      <c r="I2">
        <v>0</v>
      </c>
      <c r="J2">
        <v>1</v>
      </c>
      <c r="K2" t="s">
        <v>16</v>
      </c>
      <c r="L2" t="s">
        <v>16</v>
      </c>
      <c r="M2" s="2" t="s">
        <v>17</v>
      </c>
      <c r="N2">
        <v>1</v>
      </c>
    </row>
    <row r="3" ht="34" spans="1:14">
      <c r="A3" s="1" t="s">
        <v>18</v>
      </c>
      <c r="B3" t="s">
        <v>15</v>
      </c>
      <c r="C3" t="str">
        <f t="shared" si="0"/>
        <v>OS</v>
      </c>
      <c r="D3">
        <v>5</v>
      </c>
      <c r="E3" t="str">
        <f t="shared" si="1"/>
        <v>Consistent</v>
      </c>
      <c r="F3" t="str">
        <f t="shared" si="2"/>
        <v>Low</v>
      </c>
      <c r="G3" t="str">
        <f t="shared" si="3"/>
        <v>MODERATE</v>
      </c>
      <c r="H3">
        <v>0</v>
      </c>
      <c r="I3">
        <v>1</v>
      </c>
      <c r="J3">
        <v>0</v>
      </c>
      <c r="K3" t="s">
        <v>16</v>
      </c>
      <c r="L3" t="s">
        <v>16</v>
      </c>
      <c r="M3" s="2" t="s">
        <v>17</v>
      </c>
      <c r="N3">
        <v>1</v>
      </c>
    </row>
    <row r="4" ht="34" spans="1:14">
      <c r="A4" s="1" t="s">
        <v>19</v>
      </c>
      <c r="B4" t="s">
        <v>15</v>
      </c>
      <c r="C4" t="str">
        <f t="shared" si="0"/>
        <v>OS</v>
      </c>
      <c r="D4">
        <v>5</v>
      </c>
      <c r="E4" t="str">
        <f t="shared" si="1"/>
        <v>Consistent</v>
      </c>
      <c r="F4" t="str">
        <f t="shared" si="2"/>
        <v>Low</v>
      </c>
      <c r="G4" t="str">
        <f t="shared" si="3"/>
        <v>MODERATE</v>
      </c>
      <c r="H4">
        <v>1</v>
      </c>
      <c r="I4">
        <v>0</v>
      </c>
      <c r="J4">
        <v>1</v>
      </c>
      <c r="K4" t="s">
        <v>16</v>
      </c>
      <c r="L4" t="s">
        <v>16</v>
      </c>
      <c r="M4" s="2" t="s">
        <v>17</v>
      </c>
      <c r="N4">
        <v>1</v>
      </c>
    </row>
    <row r="5" ht="17" spans="1:14">
      <c r="A5" s="1" t="s">
        <v>20</v>
      </c>
      <c r="B5" t="s">
        <v>15</v>
      </c>
      <c r="C5" t="str">
        <f t="shared" si="0"/>
        <v>OS</v>
      </c>
      <c r="D5">
        <v>5</v>
      </c>
      <c r="E5" t="str">
        <f t="shared" si="1"/>
        <v>Consistent</v>
      </c>
      <c r="F5" t="str">
        <f t="shared" si="2"/>
        <v>Low</v>
      </c>
      <c r="G5" t="str">
        <f t="shared" si="3"/>
        <v>MODERATE</v>
      </c>
      <c r="H5">
        <v>0</v>
      </c>
      <c r="I5">
        <v>1</v>
      </c>
      <c r="J5">
        <v>0</v>
      </c>
      <c r="K5" t="s">
        <v>16</v>
      </c>
      <c r="L5" t="s">
        <v>16</v>
      </c>
      <c r="M5" s="2" t="s">
        <v>17</v>
      </c>
      <c r="N5">
        <v>1</v>
      </c>
    </row>
    <row r="6" ht="34" spans="1:14">
      <c r="A6" s="1" t="s">
        <v>21</v>
      </c>
      <c r="B6" t="s">
        <v>22</v>
      </c>
      <c r="C6" t="str">
        <f t="shared" si="0"/>
        <v>TS</v>
      </c>
      <c r="D6">
        <v>5</v>
      </c>
      <c r="E6" t="str">
        <f t="shared" si="1"/>
        <v>Inconsistent</v>
      </c>
      <c r="F6" t="str">
        <f t="shared" si="2"/>
        <v>High</v>
      </c>
      <c r="G6" t="str">
        <f t="shared" si="3"/>
        <v>LOW</v>
      </c>
      <c r="H6">
        <v>0</v>
      </c>
      <c r="I6">
        <v>1</v>
      </c>
      <c r="J6">
        <v>0</v>
      </c>
      <c r="K6" t="s">
        <v>16</v>
      </c>
      <c r="L6" t="s">
        <v>16</v>
      </c>
      <c r="M6" s="2" t="s">
        <v>17</v>
      </c>
      <c r="N6">
        <v>1</v>
      </c>
    </row>
    <row r="7" ht="17" spans="1:14">
      <c r="A7" s="1" t="s">
        <v>23</v>
      </c>
      <c r="B7" t="s">
        <v>15</v>
      </c>
      <c r="C7" t="str">
        <f t="shared" si="0"/>
        <v>OS</v>
      </c>
      <c r="D7">
        <v>5</v>
      </c>
      <c r="E7" t="str">
        <f t="shared" si="1"/>
        <v>Consistent</v>
      </c>
      <c r="F7" t="str">
        <f t="shared" si="2"/>
        <v>Low</v>
      </c>
      <c r="G7" t="str">
        <f t="shared" si="3"/>
        <v>MODERATE</v>
      </c>
      <c r="H7">
        <v>1</v>
      </c>
      <c r="I7">
        <v>1</v>
      </c>
      <c r="J7">
        <v>1</v>
      </c>
      <c r="K7" t="s">
        <v>16</v>
      </c>
      <c r="L7" t="s">
        <v>16</v>
      </c>
      <c r="M7" s="2" t="s">
        <v>17</v>
      </c>
      <c r="N7">
        <v>1</v>
      </c>
    </row>
    <row r="8" ht="17" spans="1:14">
      <c r="A8" s="1" t="s">
        <v>24</v>
      </c>
      <c r="B8" t="s">
        <v>15</v>
      </c>
      <c r="C8" t="str">
        <f t="shared" si="0"/>
        <v>OS</v>
      </c>
      <c r="D8">
        <v>5</v>
      </c>
      <c r="E8" t="str">
        <f t="shared" si="1"/>
        <v>Consistent</v>
      </c>
      <c r="F8" t="str">
        <f t="shared" si="2"/>
        <v>Low</v>
      </c>
      <c r="G8" t="str">
        <f t="shared" si="3"/>
        <v>MODERATE</v>
      </c>
      <c r="H8">
        <v>0</v>
      </c>
      <c r="I8">
        <v>1</v>
      </c>
      <c r="J8">
        <v>0</v>
      </c>
      <c r="K8" t="s">
        <v>16</v>
      </c>
      <c r="L8" t="s">
        <v>16</v>
      </c>
      <c r="M8" s="2" t="s">
        <v>17</v>
      </c>
      <c r="N8">
        <v>1</v>
      </c>
    </row>
    <row r="9" ht="51" spans="1:14">
      <c r="A9" s="1" t="s">
        <v>25</v>
      </c>
      <c r="B9" t="s">
        <v>15</v>
      </c>
      <c r="C9" t="str">
        <f t="shared" si="0"/>
        <v>OS</v>
      </c>
      <c r="D9">
        <v>5</v>
      </c>
      <c r="E9" t="str">
        <f t="shared" si="1"/>
        <v>Consistent</v>
      </c>
      <c r="F9" t="str">
        <f t="shared" si="2"/>
        <v>Low</v>
      </c>
      <c r="G9" t="str">
        <f t="shared" si="3"/>
        <v>MODERATE</v>
      </c>
      <c r="H9">
        <v>0</v>
      </c>
      <c r="I9">
        <v>0</v>
      </c>
      <c r="J9">
        <v>1</v>
      </c>
      <c r="K9" t="s">
        <v>16</v>
      </c>
      <c r="L9" t="s">
        <v>16</v>
      </c>
      <c r="M9" s="2" t="s">
        <v>17</v>
      </c>
      <c r="N9">
        <v>1</v>
      </c>
    </row>
    <row r="10" ht="34" spans="1:14">
      <c r="A10" s="1" t="s">
        <v>26</v>
      </c>
      <c r="B10" t="s">
        <v>15</v>
      </c>
      <c r="C10" t="str">
        <f t="shared" si="0"/>
        <v>OS</v>
      </c>
      <c r="D10">
        <v>5</v>
      </c>
      <c r="E10" t="str">
        <f t="shared" si="1"/>
        <v>Consistent</v>
      </c>
      <c r="F10" t="str">
        <f t="shared" si="2"/>
        <v>Low</v>
      </c>
      <c r="G10" t="str">
        <f t="shared" si="3"/>
        <v>MODERATE</v>
      </c>
      <c r="H10">
        <v>0</v>
      </c>
      <c r="I10">
        <v>1</v>
      </c>
      <c r="J10">
        <v>0</v>
      </c>
      <c r="K10" t="s">
        <v>16</v>
      </c>
      <c r="L10" t="s">
        <v>16</v>
      </c>
      <c r="M10" s="2" t="s">
        <v>17</v>
      </c>
      <c r="N10">
        <v>1</v>
      </c>
    </row>
    <row r="11" ht="34" spans="1:14">
      <c r="A11" s="1" t="s">
        <v>27</v>
      </c>
      <c r="B11" t="s">
        <v>15</v>
      </c>
      <c r="C11" t="str">
        <f t="shared" si="0"/>
        <v>OS</v>
      </c>
      <c r="D11">
        <v>5</v>
      </c>
      <c r="E11" t="str">
        <f t="shared" si="1"/>
        <v>Consistent</v>
      </c>
      <c r="F11" t="str">
        <f t="shared" si="2"/>
        <v>Low</v>
      </c>
      <c r="G11" t="str">
        <f t="shared" si="3"/>
        <v>MODERATE</v>
      </c>
      <c r="H11">
        <v>0</v>
      </c>
      <c r="I11">
        <v>0</v>
      </c>
      <c r="J11">
        <v>1</v>
      </c>
      <c r="K11" t="s">
        <v>16</v>
      </c>
      <c r="L11" t="s">
        <v>16</v>
      </c>
      <c r="M11" s="2" t="s">
        <v>17</v>
      </c>
      <c r="N11">
        <v>1</v>
      </c>
    </row>
    <row r="12" ht="17" spans="1:14">
      <c r="A12" s="1" t="s">
        <v>23</v>
      </c>
      <c r="B12" t="s">
        <v>15</v>
      </c>
      <c r="C12" t="str">
        <f t="shared" si="0"/>
        <v>OS</v>
      </c>
      <c r="D12">
        <v>5</v>
      </c>
      <c r="E12" t="str">
        <f t="shared" si="1"/>
        <v>Consistent</v>
      </c>
      <c r="F12" t="str">
        <f t="shared" si="2"/>
        <v>Low</v>
      </c>
      <c r="G12" t="str">
        <f t="shared" si="3"/>
        <v>MODERATE</v>
      </c>
      <c r="H12">
        <v>1</v>
      </c>
      <c r="I12">
        <v>1</v>
      </c>
      <c r="J12">
        <v>1</v>
      </c>
      <c r="K12" t="s">
        <v>16</v>
      </c>
      <c r="L12" t="s">
        <v>16</v>
      </c>
      <c r="M12" s="2" t="s">
        <v>17</v>
      </c>
      <c r="N12">
        <v>1</v>
      </c>
    </row>
    <row r="13" ht="17" spans="1:14">
      <c r="A13" s="1" t="s">
        <v>24</v>
      </c>
      <c r="B13" t="s">
        <v>15</v>
      </c>
      <c r="C13" t="str">
        <f t="shared" si="0"/>
        <v>OS</v>
      </c>
      <c r="D13">
        <v>5</v>
      </c>
      <c r="E13" t="str">
        <f t="shared" si="1"/>
        <v>Consistent</v>
      </c>
      <c r="F13" t="str">
        <f t="shared" si="2"/>
        <v>Low</v>
      </c>
      <c r="G13" t="str">
        <f t="shared" si="3"/>
        <v>MODERATE</v>
      </c>
      <c r="H13">
        <v>0</v>
      </c>
      <c r="I13">
        <v>1</v>
      </c>
      <c r="J13">
        <v>0</v>
      </c>
      <c r="K13" t="s">
        <v>16</v>
      </c>
      <c r="L13" t="s">
        <v>16</v>
      </c>
      <c r="M13" s="2" t="s">
        <v>17</v>
      </c>
      <c r="N13">
        <v>1</v>
      </c>
    </row>
    <row r="14" ht="51" spans="1:14">
      <c r="A14" s="1" t="s">
        <v>25</v>
      </c>
      <c r="B14" t="s">
        <v>15</v>
      </c>
      <c r="C14" t="str">
        <f t="shared" si="0"/>
        <v>OS</v>
      </c>
      <c r="D14">
        <v>5</v>
      </c>
      <c r="E14" t="str">
        <f t="shared" si="1"/>
        <v>Consistent</v>
      </c>
      <c r="F14" t="str">
        <f t="shared" si="2"/>
        <v>Low</v>
      </c>
      <c r="G14" t="str">
        <f t="shared" si="3"/>
        <v>MODERATE</v>
      </c>
      <c r="H14">
        <v>0</v>
      </c>
      <c r="I14">
        <v>0</v>
      </c>
      <c r="J14">
        <v>1</v>
      </c>
      <c r="K14" t="s">
        <v>16</v>
      </c>
      <c r="L14" t="s">
        <v>16</v>
      </c>
      <c r="M14" s="2" t="s">
        <v>17</v>
      </c>
      <c r="N14">
        <v>1</v>
      </c>
    </row>
    <row r="15" ht="34" spans="1:14">
      <c r="A15" s="1" t="s">
        <v>26</v>
      </c>
      <c r="B15" t="s">
        <v>15</v>
      </c>
      <c r="C15" t="str">
        <f t="shared" si="0"/>
        <v>OS</v>
      </c>
      <c r="D15">
        <v>5</v>
      </c>
      <c r="E15" t="str">
        <f t="shared" si="1"/>
        <v>Consistent</v>
      </c>
      <c r="F15" t="str">
        <f t="shared" si="2"/>
        <v>Low</v>
      </c>
      <c r="G15" t="str">
        <f t="shared" si="3"/>
        <v>MODERATE</v>
      </c>
      <c r="H15">
        <v>0</v>
      </c>
      <c r="I15">
        <v>1</v>
      </c>
      <c r="J15">
        <v>0</v>
      </c>
      <c r="K15" t="s">
        <v>16</v>
      </c>
      <c r="L15" t="s">
        <v>16</v>
      </c>
      <c r="M15" s="2" t="s">
        <v>17</v>
      </c>
      <c r="N15">
        <v>1</v>
      </c>
    </row>
    <row r="16" ht="34" spans="1:14">
      <c r="A16" s="1" t="s">
        <v>27</v>
      </c>
      <c r="B16" t="s">
        <v>15</v>
      </c>
      <c r="C16" t="str">
        <f t="shared" si="0"/>
        <v>OS</v>
      </c>
      <c r="D16">
        <v>5</v>
      </c>
      <c r="E16" t="str">
        <f t="shared" si="1"/>
        <v>Consistent</v>
      </c>
      <c r="F16" t="str">
        <f t="shared" si="2"/>
        <v>Low</v>
      </c>
      <c r="G16" t="str">
        <f t="shared" si="3"/>
        <v>MODERATE</v>
      </c>
      <c r="H16">
        <v>0</v>
      </c>
      <c r="I16">
        <v>0</v>
      </c>
      <c r="J16">
        <v>1</v>
      </c>
      <c r="K16" t="s">
        <v>16</v>
      </c>
      <c r="L16" t="s">
        <v>16</v>
      </c>
      <c r="M16" s="2" t="s">
        <v>17</v>
      </c>
      <c r="N16">
        <v>1</v>
      </c>
    </row>
    <row r="17" ht="34" spans="1:14">
      <c r="A17" s="1" t="s">
        <v>28</v>
      </c>
      <c r="B17" t="s">
        <v>22</v>
      </c>
      <c r="C17" t="str">
        <f t="shared" si="0"/>
        <v>TS</v>
      </c>
      <c r="D17">
        <v>5</v>
      </c>
      <c r="E17" t="str">
        <f t="shared" si="1"/>
        <v>Inconsistent</v>
      </c>
      <c r="F17" t="str">
        <f t="shared" si="2"/>
        <v>High</v>
      </c>
      <c r="G17" t="str">
        <f t="shared" si="3"/>
        <v>LOW</v>
      </c>
      <c r="H17">
        <v>1</v>
      </c>
      <c r="I17">
        <v>0</v>
      </c>
      <c r="J17">
        <v>1</v>
      </c>
      <c r="K17" t="s">
        <v>16</v>
      </c>
      <c r="L17" t="s">
        <v>16</v>
      </c>
      <c r="M17" s="2" t="s">
        <v>17</v>
      </c>
      <c r="N17">
        <v>1</v>
      </c>
    </row>
    <row r="18" ht="17" spans="1:14">
      <c r="A18" s="1" t="s">
        <v>29</v>
      </c>
      <c r="B18" t="s">
        <v>15</v>
      </c>
      <c r="C18" t="str">
        <f t="shared" si="0"/>
        <v>OS</v>
      </c>
      <c r="D18">
        <v>5</v>
      </c>
      <c r="E18" t="str">
        <f t="shared" si="1"/>
        <v>Consistent</v>
      </c>
      <c r="F18" t="str">
        <f t="shared" si="2"/>
        <v>Low</v>
      </c>
      <c r="G18" t="str">
        <f t="shared" si="3"/>
        <v>MODERATE</v>
      </c>
      <c r="H18">
        <v>1</v>
      </c>
      <c r="I18">
        <v>1</v>
      </c>
      <c r="J18">
        <v>0</v>
      </c>
      <c r="K18" t="s">
        <v>16</v>
      </c>
      <c r="L18" t="s">
        <v>16</v>
      </c>
      <c r="M18" s="2" t="s">
        <v>17</v>
      </c>
      <c r="N18">
        <v>1</v>
      </c>
    </row>
    <row r="19" ht="34" spans="1:14">
      <c r="A19" s="1" t="s">
        <v>30</v>
      </c>
      <c r="B19" t="s">
        <v>15</v>
      </c>
      <c r="C19" t="str">
        <f t="shared" si="0"/>
        <v>OS</v>
      </c>
      <c r="D19">
        <v>5</v>
      </c>
      <c r="E19" t="str">
        <f t="shared" si="1"/>
        <v>Consistent</v>
      </c>
      <c r="F19" t="str">
        <f t="shared" si="2"/>
        <v>Low</v>
      </c>
      <c r="G19" t="str">
        <f t="shared" si="3"/>
        <v>MODERATE</v>
      </c>
      <c r="H19">
        <v>0</v>
      </c>
      <c r="I19">
        <v>1</v>
      </c>
      <c r="J19">
        <v>0</v>
      </c>
      <c r="K19" t="s">
        <v>16</v>
      </c>
      <c r="L19" t="s">
        <v>16</v>
      </c>
      <c r="M19" s="2" t="s">
        <v>17</v>
      </c>
      <c r="N19">
        <v>1</v>
      </c>
    </row>
    <row r="20" ht="34" spans="1:14">
      <c r="A20" s="1" t="s">
        <v>31</v>
      </c>
      <c r="B20" t="s">
        <v>15</v>
      </c>
      <c r="C20" t="str">
        <f t="shared" si="0"/>
        <v>OS</v>
      </c>
      <c r="D20">
        <v>5</v>
      </c>
      <c r="E20" t="str">
        <f t="shared" si="1"/>
        <v>Consistent</v>
      </c>
      <c r="F20" t="str">
        <f t="shared" si="2"/>
        <v>Low</v>
      </c>
      <c r="G20" t="str">
        <f t="shared" si="3"/>
        <v>MODERATE</v>
      </c>
      <c r="H20">
        <v>0</v>
      </c>
      <c r="I20">
        <v>0</v>
      </c>
      <c r="J20">
        <v>1</v>
      </c>
      <c r="K20" t="s">
        <v>16</v>
      </c>
      <c r="L20" t="s">
        <v>16</v>
      </c>
      <c r="M20" s="2" t="s">
        <v>17</v>
      </c>
      <c r="N20">
        <v>1</v>
      </c>
    </row>
    <row r="21" ht="34" spans="1:14">
      <c r="A21" s="1" t="s">
        <v>32</v>
      </c>
      <c r="B21" t="s">
        <v>15</v>
      </c>
      <c r="C21" t="str">
        <f t="shared" si="0"/>
        <v>OS</v>
      </c>
      <c r="D21">
        <v>5</v>
      </c>
      <c r="E21" t="str">
        <f t="shared" si="1"/>
        <v>Consistent</v>
      </c>
      <c r="F21" t="str">
        <f t="shared" si="2"/>
        <v>Low</v>
      </c>
      <c r="G21" t="str">
        <f t="shared" si="3"/>
        <v>MODERATE</v>
      </c>
      <c r="H21">
        <v>0</v>
      </c>
      <c r="I21">
        <v>0</v>
      </c>
      <c r="J21">
        <v>1</v>
      </c>
      <c r="K21" t="s">
        <v>16</v>
      </c>
      <c r="L21" t="s">
        <v>16</v>
      </c>
      <c r="M21" s="2" t="s">
        <v>17</v>
      </c>
      <c r="N21">
        <v>1</v>
      </c>
    </row>
    <row r="22" ht="34" spans="1:14">
      <c r="A22" s="1" t="s">
        <v>28</v>
      </c>
      <c r="B22" t="s">
        <v>22</v>
      </c>
      <c r="C22" t="str">
        <f t="shared" si="0"/>
        <v>TS</v>
      </c>
      <c r="D22">
        <v>5</v>
      </c>
      <c r="E22" t="str">
        <f t="shared" si="1"/>
        <v>Inconsistent</v>
      </c>
      <c r="F22" t="str">
        <f t="shared" si="2"/>
        <v>High</v>
      </c>
      <c r="G22" t="str">
        <f t="shared" si="3"/>
        <v>LOW</v>
      </c>
      <c r="H22">
        <v>1</v>
      </c>
      <c r="I22">
        <v>0</v>
      </c>
      <c r="J22">
        <v>1</v>
      </c>
      <c r="K22" t="s">
        <v>16</v>
      </c>
      <c r="L22" t="s">
        <v>16</v>
      </c>
      <c r="M22" s="2" t="s">
        <v>17</v>
      </c>
      <c r="N22">
        <v>1</v>
      </c>
    </row>
    <row r="23" ht="17" spans="1:14">
      <c r="A23" s="1" t="s">
        <v>29</v>
      </c>
      <c r="B23" t="s">
        <v>15</v>
      </c>
      <c r="C23" t="str">
        <f t="shared" si="0"/>
        <v>OS</v>
      </c>
      <c r="D23">
        <v>5</v>
      </c>
      <c r="E23" t="str">
        <f t="shared" si="1"/>
        <v>Consistent</v>
      </c>
      <c r="F23" t="str">
        <f t="shared" si="2"/>
        <v>Low</v>
      </c>
      <c r="G23" t="str">
        <f t="shared" si="3"/>
        <v>MODERATE</v>
      </c>
      <c r="H23">
        <v>1</v>
      </c>
      <c r="I23">
        <v>1</v>
      </c>
      <c r="J23">
        <v>0</v>
      </c>
      <c r="K23" t="s">
        <v>16</v>
      </c>
      <c r="L23" t="s">
        <v>16</v>
      </c>
      <c r="M23" s="2" t="s">
        <v>17</v>
      </c>
      <c r="N23">
        <v>1</v>
      </c>
    </row>
    <row r="24" ht="34" spans="1:14">
      <c r="A24" s="1" t="s">
        <v>30</v>
      </c>
      <c r="B24" t="s">
        <v>15</v>
      </c>
      <c r="C24" t="str">
        <f t="shared" si="0"/>
        <v>OS</v>
      </c>
      <c r="D24">
        <v>5</v>
      </c>
      <c r="E24" t="str">
        <f t="shared" si="1"/>
        <v>Consistent</v>
      </c>
      <c r="F24" t="str">
        <f t="shared" si="2"/>
        <v>Low</v>
      </c>
      <c r="G24" t="str">
        <f t="shared" si="3"/>
        <v>MODERATE</v>
      </c>
      <c r="H24">
        <v>0</v>
      </c>
      <c r="I24">
        <v>1</v>
      </c>
      <c r="J24">
        <v>0</v>
      </c>
      <c r="K24" t="s">
        <v>16</v>
      </c>
      <c r="L24" t="s">
        <v>16</v>
      </c>
      <c r="M24" s="2" t="s">
        <v>17</v>
      </c>
      <c r="N24">
        <v>1</v>
      </c>
    </row>
    <row r="25" ht="34" spans="1:14">
      <c r="A25" s="1" t="s">
        <v>31</v>
      </c>
      <c r="B25" t="s">
        <v>15</v>
      </c>
      <c r="C25" t="str">
        <f t="shared" si="0"/>
        <v>OS</v>
      </c>
      <c r="D25">
        <v>5</v>
      </c>
      <c r="E25" t="str">
        <f t="shared" si="1"/>
        <v>Consistent</v>
      </c>
      <c r="F25" t="str">
        <f t="shared" si="2"/>
        <v>Low</v>
      </c>
      <c r="G25" t="str">
        <f t="shared" si="3"/>
        <v>MODERATE</v>
      </c>
      <c r="H25">
        <v>0</v>
      </c>
      <c r="I25">
        <v>0</v>
      </c>
      <c r="J25">
        <v>1</v>
      </c>
      <c r="K25" t="s">
        <v>16</v>
      </c>
      <c r="L25" t="s">
        <v>16</v>
      </c>
      <c r="M25" s="2" t="s">
        <v>17</v>
      </c>
      <c r="N25">
        <v>1</v>
      </c>
    </row>
    <row r="26" ht="34" spans="1:14">
      <c r="A26" s="1" t="s">
        <v>32</v>
      </c>
      <c r="B26" t="s">
        <v>15</v>
      </c>
      <c r="C26" t="str">
        <f t="shared" si="0"/>
        <v>OS</v>
      </c>
      <c r="D26">
        <v>5</v>
      </c>
      <c r="E26" t="str">
        <f t="shared" si="1"/>
        <v>Consistent</v>
      </c>
      <c r="F26" t="str">
        <f t="shared" si="2"/>
        <v>Low</v>
      </c>
      <c r="G26" t="str">
        <f t="shared" si="3"/>
        <v>MODERATE</v>
      </c>
      <c r="H26">
        <v>0</v>
      </c>
      <c r="I26">
        <v>0</v>
      </c>
      <c r="J26">
        <v>1</v>
      </c>
      <c r="K26" t="s">
        <v>16</v>
      </c>
      <c r="L26" t="s">
        <v>16</v>
      </c>
      <c r="M26" s="2" t="s">
        <v>17</v>
      </c>
      <c r="N26">
        <v>1</v>
      </c>
    </row>
    <row r="27" ht="17" spans="1:14">
      <c r="A27" s="1" t="s">
        <v>33</v>
      </c>
      <c r="B27" t="s">
        <v>15</v>
      </c>
      <c r="C27" t="str">
        <f t="shared" si="0"/>
        <v>OS</v>
      </c>
      <c r="D27">
        <v>5</v>
      </c>
      <c r="E27" t="str">
        <f t="shared" si="1"/>
        <v>Consistent</v>
      </c>
      <c r="F27" t="str">
        <f t="shared" si="2"/>
        <v>Low</v>
      </c>
      <c r="G27" t="str">
        <f t="shared" si="3"/>
        <v>MODERATE</v>
      </c>
      <c r="H27">
        <v>0</v>
      </c>
      <c r="I27">
        <v>1</v>
      </c>
      <c r="J27">
        <v>0</v>
      </c>
      <c r="K27" t="s">
        <v>16</v>
      </c>
      <c r="L27" t="s">
        <v>16</v>
      </c>
      <c r="M27" s="2" t="s">
        <v>17</v>
      </c>
      <c r="N27">
        <v>1</v>
      </c>
    </row>
    <row r="28" ht="17" spans="1:14">
      <c r="A28" s="1" t="s">
        <v>34</v>
      </c>
      <c r="B28" t="s">
        <v>22</v>
      </c>
      <c r="C28" t="str">
        <f t="shared" si="0"/>
        <v>TS</v>
      </c>
      <c r="D28">
        <v>4</v>
      </c>
      <c r="E28" t="str">
        <f t="shared" si="1"/>
        <v>Partially Consistent</v>
      </c>
      <c r="F28" t="str">
        <f t="shared" si="2"/>
        <v>High</v>
      </c>
      <c r="G28" t="str">
        <f t="shared" si="3"/>
        <v>MODERATE</v>
      </c>
      <c r="H28">
        <v>0</v>
      </c>
      <c r="I28">
        <v>0</v>
      </c>
      <c r="J28">
        <v>1</v>
      </c>
      <c r="K28" t="s">
        <v>16</v>
      </c>
      <c r="L28" t="s">
        <v>16</v>
      </c>
      <c r="M28" s="2" t="s">
        <v>17</v>
      </c>
      <c r="N28">
        <v>1</v>
      </c>
    </row>
    <row r="29" ht="34" spans="1:14">
      <c r="A29" s="1" t="s">
        <v>35</v>
      </c>
      <c r="B29" t="s">
        <v>15</v>
      </c>
      <c r="C29" t="str">
        <f t="shared" si="0"/>
        <v>OS</v>
      </c>
      <c r="D29">
        <v>5</v>
      </c>
      <c r="E29" t="str">
        <f t="shared" si="1"/>
        <v>Consistent</v>
      </c>
      <c r="F29" t="str">
        <f t="shared" si="2"/>
        <v>Low</v>
      </c>
      <c r="G29" t="str">
        <f t="shared" si="3"/>
        <v>MODERATE</v>
      </c>
      <c r="H29">
        <v>0</v>
      </c>
      <c r="I29">
        <v>1</v>
      </c>
      <c r="J29">
        <v>0</v>
      </c>
      <c r="K29" t="s">
        <v>16</v>
      </c>
      <c r="L29" t="s">
        <v>16</v>
      </c>
      <c r="M29" s="2" t="s">
        <v>17</v>
      </c>
      <c r="N29">
        <v>1</v>
      </c>
    </row>
    <row r="30" ht="34" spans="1:14">
      <c r="A30" s="1" t="s">
        <v>36</v>
      </c>
      <c r="B30" t="s">
        <v>15</v>
      </c>
      <c r="C30" t="str">
        <f t="shared" si="0"/>
        <v>OS</v>
      </c>
      <c r="D30">
        <v>5</v>
      </c>
      <c r="E30" t="str">
        <f t="shared" si="1"/>
        <v>Consistent</v>
      </c>
      <c r="F30" t="str">
        <f t="shared" si="2"/>
        <v>Low</v>
      </c>
      <c r="G30" t="str">
        <f t="shared" si="3"/>
        <v>MODERATE</v>
      </c>
      <c r="H30">
        <v>0</v>
      </c>
      <c r="I30">
        <v>1</v>
      </c>
      <c r="J30">
        <v>0</v>
      </c>
      <c r="K30" t="s">
        <v>16</v>
      </c>
      <c r="L30" t="s">
        <v>16</v>
      </c>
      <c r="M30" s="2" t="s">
        <v>17</v>
      </c>
      <c r="N30">
        <v>1</v>
      </c>
    </row>
    <row r="31" ht="34" spans="1:14">
      <c r="A31" s="1" t="s">
        <v>37</v>
      </c>
      <c r="B31" t="s">
        <v>22</v>
      </c>
      <c r="C31" t="str">
        <f t="shared" si="0"/>
        <v>TS</v>
      </c>
      <c r="D31">
        <v>5</v>
      </c>
      <c r="E31" t="str">
        <f t="shared" si="1"/>
        <v>Inconsistent</v>
      </c>
      <c r="F31" t="str">
        <f t="shared" si="2"/>
        <v>High</v>
      </c>
      <c r="G31" t="str">
        <f t="shared" si="3"/>
        <v>LOW</v>
      </c>
      <c r="H31">
        <v>0</v>
      </c>
      <c r="I31">
        <v>0</v>
      </c>
      <c r="J31">
        <v>1</v>
      </c>
      <c r="K31" t="s">
        <v>16</v>
      </c>
      <c r="L31" t="s">
        <v>16</v>
      </c>
      <c r="M31" s="2" t="s">
        <v>17</v>
      </c>
      <c r="N31">
        <v>1</v>
      </c>
    </row>
    <row r="32" ht="17" spans="1:14">
      <c r="A32" s="1" t="s">
        <v>38</v>
      </c>
      <c r="B32" t="s">
        <v>39</v>
      </c>
      <c r="C32" t="str">
        <f t="shared" si="0"/>
        <v>OS</v>
      </c>
      <c r="D32">
        <v>1</v>
      </c>
      <c r="E32" t="str">
        <f t="shared" si="1"/>
        <v>Consistent</v>
      </c>
      <c r="F32" t="str">
        <f t="shared" si="2"/>
        <v>Low</v>
      </c>
      <c r="G32" t="str">
        <f t="shared" si="3"/>
        <v>MODERATE</v>
      </c>
      <c r="H32">
        <v>0</v>
      </c>
      <c r="I32">
        <v>0</v>
      </c>
      <c r="J32">
        <v>1</v>
      </c>
      <c r="K32" t="s">
        <v>16</v>
      </c>
      <c r="L32" t="s">
        <v>16</v>
      </c>
      <c r="M32" s="2" t="s">
        <v>17</v>
      </c>
      <c r="N32">
        <v>1</v>
      </c>
    </row>
    <row r="33" ht="34" spans="1:14">
      <c r="A33" s="1" t="s">
        <v>40</v>
      </c>
      <c r="B33" t="s">
        <v>22</v>
      </c>
      <c r="C33" t="str">
        <f t="shared" si="0"/>
        <v>TS</v>
      </c>
      <c r="D33">
        <v>1</v>
      </c>
      <c r="E33" t="str">
        <f t="shared" si="1"/>
        <v>Inconsistent</v>
      </c>
      <c r="F33" t="str">
        <f t="shared" si="2"/>
        <v>High</v>
      </c>
      <c r="G33" t="str">
        <f t="shared" si="3"/>
        <v>LOW</v>
      </c>
      <c r="H33">
        <v>0</v>
      </c>
      <c r="I33">
        <v>0</v>
      </c>
      <c r="J33">
        <v>1</v>
      </c>
      <c r="K33" t="s">
        <v>16</v>
      </c>
      <c r="L33" t="s">
        <v>16</v>
      </c>
      <c r="M33" s="2" t="s">
        <v>17</v>
      </c>
      <c r="N33">
        <v>1</v>
      </c>
    </row>
    <row r="34" ht="17" spans="1:14">
      <c r="A34" s="1" t="s">
        <v>41</v>
      </c>
      <c r="B34" t="s">
        <v>15</v>
      </c>
      <c r="C34" t="str">
        <f t="shared" si="0"/>
        <v>OS</v>
      </c>
      <c r="D34">
        <v>1</v>
      </c>
      <c r="E34" t="str">
        <f t="shared" si="1"/>
        <v>Inconsistent</v>
      </c>
      <c r="F34" t="str">
        <f t="shared" si="2"/>
        <v>Low</v>
      </c>
      <c r="G34" t="str">
        <f t="shared" si="3"/>
        <v>LOW</v>
      </c>
      <c r="H34">
        <v>0</v>
      </c>
      <c r="I34">
        <v>0</v>
      </c>
      <c r="J34">
        <v>1</v>
      </c>
      <c r="K34" t="s">
        <v>16</v>
      </c>
      <c r="L34" t="s">
        <v>16</v>
      </c>
      <c r="M34" s="2" t="s">
        <v>17</v>
      </c>
      <c r="N34">
        <v>1</v>
      </c>
    </row>
    <row r="35" ht="34" spans="1:14">
      <c r="A35" s="1" t="s">
        <v>42</v>
      </c>
      <c r="B35" t="s">
        <v>22</v>
      </c>
      <c r="C35" t="str">
        <f t="shared" si="0"/>
        <v>TS</v>
      </c>
      <c r="D35">
        <v>1</v>
      </c>
      <c r="E35" t="str">
        <f t="shared" si="1"/>
        <v>Inconsistent</v>
      </c>
      <c r="F35" t="str">
        <f t="shared" si="2"/>
        <v>High</v>
      </c>
      <c r="G35" t="str">
        <f t="shared" si="3"/>
        <v>LOW</v>
      </c>
      <c r="H35">
        <v>0</v>
      </c>
      <c r="I35">
        <v>0</v>
      </c>
      <c r="J35">
        <v>1</v>
      </c>
      <c r="K35" t="s">
        <v>16</v>
      </c>
      <c r="L35" t="s">
        <v>16</v>
      </c>
      <c r="M35" s="2" t="s">
        <v>17</v>
      </c>
      <c r="N35">
        <v>1</v>
      </c>
    </row>
    <row r="36" ht="34" spans="1:14">
      <c r="A36" s="1" t="s">
        <v>43</v>
      </c>
      <c r="B36" t="s">
        <v>39</v>
      </c>
      <c r="C36" t="str">
        <f t="shared" si="0"/>
        <v>OS</v>
      </c>
      <c r="D36">
        <v>1</v>
      </c>
      <c r="E36" t="str">
        <f t="shared" si="1"/>
        <v>Consistent</v>
      </c>
      <c r="F36" t="str">
        <f t="shared" si="2"/>
        <v>Low</v>
      </c>
      <c r="G36" t="str">
        <f t="shared" si="3"/>
        <v>MODERATE</v>
      </c>
      <c r="H36">
        <v>0</v>
      </c>
      <c r="I36">
        <v>0</v>
      </c>
      <c r="J36">
        <v>1</v>
      </c>
      <c r="K36" t="s">
        <v>16</v>
      </c>
      <c r="L36" t="s">
        <v>16</v>
      </c>
      <c r="M36" s="2" t="s">
        <v>17</v>
      </c>
      <c r="N36">
        <v>1</v>
      </c>
    </row>
    <row r="37" ht="17" spans="1:14">
      <c r="A37" s="1" t="s">
        <v>44</v>
      </c>
      <c r="B37" t="s">
        <v>39</v>
      </c>
      <c r="C37" t="str">
        <f t="shared" si="0"/>
        <v>OS</v>
      </c>
      <c r="D37">
        <v>1</v>
      </c>
      <c r="E37" t="str">
        <f t="shared" si="1"/>
        <v>Consistent</v>
      </c>
      <c r="F37" t="str">
        <f t="shared" si="2"/>
        <v>Low</v>
      </c>
      <c r="G37" t="str">
        <f t="shared" si="3"/>
        <v>MODERATE</v>
      </c>
      <c r="H37">
        <v>1</v>
      </c>
      <c r="I37">
        <v>0</v>
      </c>
      <c r="J37">
        <v>1</v>
      </c>
      <c r="K37" t="s">
        <v>16</v>
      </c>
      <c r="L37" t="s">
        <v>16</v>
      </c>
      <c r="M37" s="2" t="s">
        <v>17</v>
      </c>
      <c r="N37">
        <v>1</v>
      </c>
    </row>
    <row r="38" ht="34" spans="1:14">
      <c r="A38" s="1" t="s">
        <v>45</v>
      </c>
      <c r="B38" t="s">
        <v>39</v>
      </c>
      <c r="C38" t="str">
        <f t="shared" si="0"/>
        <v>OS</v>
      </c>
      <c r="D38">
        <v>1</v>
      </c>
      <c r="E38" t="str">
        <f t="shared" si="1"/>
        <v>Consistent</v>
      </c>
      <c r="F38" t="str">
        <f t="shared" si="2"/>
        <v>Low</v>
      </c>
      <c r="G38" t="str">
        <f t="shared" si="3"/>
        <v>MODERATE</v>
      </c>
      <c r="H38">
        <v>1</v>
      </c>
      <c r="I38">
        <v>0</v>
      </c>
      <c r="J38">
        <v>1</v>
      </c>
      <c r="K38" t="s">
        <v>16</v>
      </c>
      <c r="L38" t="s">
        <v>16</v>
      </c>
      <c r="M38" s="2" t="s">
        <v>17</v>
      </c>
      <c r="N38">
        <v>1</v>
      </c>
    </row>
    <row r="39" ht="17" spans="1:14">
      <c r="A39" s="1" t="s">
        <v>46</v>
      </c>
      <c r="B39" t="s">
        <v>22</v>
      </c>
      <c r="C39" t="str">
        <f t="shared" si="0"/>
        <v>TS</v>
      </c>
      <c r="D39">
        <v>1</v>
      </c>
      <c r="E39" t="str">
        <f t="shared" si="1"/>
        <v>Inconsistent</v>
      </c>
      <c r="F39" t="str">
        <f t="shared" si="2"/>
        <v>High</v>
      </c>
      <c r="G39" t="str">
        <f t="shared" si="3"/>
        <v>LOW</v>
      </c>
      <c r="H39">
        <v>0</v>
      </c>
      <c r="I39">
        <v>0</v>
      </c>
      <c r="J39">
        <v>1</v>
      </c>
      <c r="K39" t="s">
        <v>16</v>
      </c>
      <c r="L39" t="s">
        <v>16</v>
      </c>
      <c r="M39" s="2" t="s">
        <v>17</v>
      </c>
      <c r="N39">
        <v>1</v>
      </c>
    </row>
    <row r="40" ht="17" spans="1:14">
      <c r="A40" s="1" t="s">
        <v>47</v>
      </c>
      <c r="B40" t="s">
        <v>22</v>
      </c>
      <c r="C40" t="str">
        <f t="shared" si="0"/>
        <v>TS</v>
      </c>
      <c r="D40">
        <v>1</v>
      </c>
      <c r="E40" t="str">
        <f t="shared" si="1"/>
        <v>Inconsistent</v>
      </c>
      <c r="F40" t="str">
        <f t="shared" si="2"/>
        <v>High</v>
      </c>
      <c r="G40" t="str">
        <f t="shared" si="3"/>
        <v>LOW</v>
      </c>
      <c r="H40">
        <v>0</v>
      </c>
      <c r="I40">
        <v>0</v>
      </c>
      <c r="J40">
        <v>1</v>
      </c>
      <c r="K40" t="s">
        <v>16</v>
      </c>
      <c r="L40" t="s">
        <v>16</v>
      </c>
      <c r="M40" s="2" t="s">
        <v>17</v>
      </c>
      <c r="N40">
        <v>1</v>
      </c>
    </row>
    <row r="41" ht="17" spans="1:14">
      <c r="A41" s="1" t="s">
        <v>48</v>
      </c>
      <c r="B41" t="s">
        <v>39</v>
      </c>
      <c r="C41" t="str">
        <f t="shared" si="0"/>
        <v>OS</v>
      </c>
      <c r="D41">
        <v>1</v>
      </c>
      <c r="E41" t="str">
        <f t="shared" si="1"/>
        <v>Consistent</v>
      </c>
      <c r="F41" t="str">
        <f t="shared" si="2"/>
        <v>Low</v>
      </c>
      <c r="G41" t="str">
        <f t="shared" si="3"/>
        <v>MODERATE</v>
      </c>
      <c r="H41">
        <v>0</v>
      </c>
      <c r="I41">
        <v>0</v>
      </c>
      <c r="J41">
        <v>1</v>
      </c>
      <c r="K41" t="s">
        <v>16</v>
      </c>
      <c r="L41" t="s">
        <v>16</v>
      </c>
      <c r="M41" s="2" t="s">
        <v>17</v>
      </c>
      <c r="N41">
        <v>1</v>
      </c>
    </row>
    <row r="42" ht="17" spans="1:14">
      <c r="A42" s="1" t="s">
        <v>49</v>
      </c>
      <c r="B42" t="s">
        <v>39</v>
      </c>
      <c r="C42" t="str">
        <f t="shared" si="0"/>
        <v>OS</v>
      </c>
      <c r="D42">
        <v>3</v>
      </c>
      <c r="E42" t="str">
        <f t="shared" si="1"/>
        <v>Inconsistent</v>
      </c>
      <c r="F42" t="str">
        <f t="shared" si="2"/>
        <v>Low</v>
      </c>
      <c r="G42" t="str">
        <f t="shared" si="3"/>
        <v>LOW</v>
      </c>
      <c r="H42">
        <v>0</v>
      </c>
      <c r="I42">
        <v>0</v>
      </c>
      <c r="J42">
        <v>1</v>
      </c>
      <c r="K42" t="s">
        <v>16</v>
      </c>
      <c r="L42" t="s">
        <v>16</v>
      </c>
      <c r="M42" s="2" t="s">
        <v>17</v>
      </c>
      <c r="N42">
        <v>1</v>
      </c>
    </row>
    <row r="43" ht="17" spans="1:14">
      <c r="A43" s="1" t="s">
        <v>50</v>
      </c>
      <c r="B43" t="s">
        <v>39</v>
      </c>
      <c r="C43" t="str">
        <f t="shared" si="0"/>
        <v>OS</v>
      </c>
      <c r="D43">
        <v>3</v>
      </c>
      <c r="E43" t="str">
        <f t="shared" si="1"/>
        <v>Inconsistent</v>
      </c>
      <c r="F43" t="str">
        <f t="shared" si="2"/>
        <v>Low</v>
      </c>
      <c r="G43" t="str">
        <f t="shared" si="3"/>
        <v>LOW</v>
      </c>
      <c r="H43">
        <v>0</v>
      </c>
      <c r="I43">
        <v>0</v>
      </c>
      <c r="J43">
        <v>1</v>
      </c>
      <c r="K43" t="s">
        <v>16</v>
      </c>
      <c r="L43" t="s">
        <v>16</v>
      </c>
      <c r="M43" s="2" t="s">
        <v>17</v>
      </c>
      <c r="N43">
        <v>1</v>
      </c>
    </row>
    <row r="44" ht="17" spans="1:14">
      <c r="A44" s="1" t="s">
        <v>51</v>
      </c>
      <c r="B44" t="s">
        <v>22</v>
      </c>
      <c r="C44" t="str">
        <f t="shared" si="0"/>
        <v>TS</v>
      </c>
      <c r="D44">
        <v>3</v>
      </c>
      <c r="E44" t="str">
        <f t="shared" si="1"/>
        <v>Consistent</v>
      </c>
      <c r="F44" t="str">
        <f t="shared" si="2"/>
        <v>High</v>
      </c>
      <c r="G44" t="str">
        <f t="shared" si="3"/>
        <v>HIGH</v>
      </c>
      <c r="H44">
        <v>0</v>
      </c>
      <c r="I44">
        <v>0</v>
      </c>
      <c r="J44">
        <v>1</v>
      </c>
      <c r="K44" t="s">
        <v>16</v>
      </c>
      <c r="L44" t="s">
        <v>16</v>
      </c>
      <c r="M44" s="2" t="s">
        <v>17</v>
      </c>
      <c r="N44">
        <v>1</v>
      </c>
    </row>
    <row r="45" ht="17" spans="1:14">
      <c r="A45" s="1" t="s">
        <v>52</v>
      </c>
      <c r="B45" t="s">
        <v>22</v>
      </c>
      <c r="C45" t="str">
        <f t="shared" si="0"/>
        <v>TS</v>
      </c>
      <c r="D45">
        <v>3</v>
      </c>
      <c r="E45" t="str">
        <f t="shared" si="1"/>
        <v>Consistent</v>
      </c>
      <c r="F45" t="str">
        <f t="shared" si="2"/>
        <v>High</v>
      </c>
      <c r="G45" t="str">
        <f t="shared" si="3"/>
        <v>HIGH</v>
      </c>
      <c r="H45">
        <v>0</v>
      </c>
      <c r="I45">
        <v>0</v>
      </c>
      <c r="J45">
        <v>1</v>
      </c>
      <c r="K45" t="s">
        <v>16</v>
      </c>
      <c r="L45" t="s">
        <v>16</v>
      </c>
      <c r="M45" s="2" t="s">
        <v>17</v>
      </c>
      <c r="N45">
        <v>1</v>
      </c>
    </row>
    <row r="46" ht="17" spans="1:14">
      <c r="A46" s="1" t="s">
        <v>53</v>
      </c>
      <c r="B46" t="s">
        <v>22</v>
      </c>
      <c r="C46" t="str">
        <f t="shared" si="0"/>
        <v>TS</v>
      </c>
      <c r="D46">
        <v>3</v>
      </c>
      <c r="E46" t="str">
        <f t="shared" si="1"/>
        <v>Consistent</v>
      </c>
      <c r="F46" t="str">
        <f t="shared" si="2"/>
        <v>High</v>
      </c>
      <c r="G46" t="str">
        <f t="shared" si="3"/>
        <v>HIGH</v>
      </c>
      <c r="H46">
        <v>0</v>
      </c>
      <c r="I46">
        <v>0</v>
      </c>
      <c r="J46">
        <v>1</v>
      </c>
      <c r="K46" t="s">
        <v>16</v>
      </c>
      <c r="L46" t="s">
        <v>16</v>
      </c>
      <c r="M46" s="2" t="s">
        <v>17</v>
      </c>
      <c r="N46">
        <v>1</v>
      </c>
    </row>
    <row r="47" ht="34" spans="1:14">
      <c r="A47" s="1" t="s">
        <v>54</v>
      </c>
      <c r="B47" t="s">
        <v>22</v>
      </c>
      <c r="C47" t="str">
        <f t="shared" si="0"/>
        <v>TS</v>
      </c>
      <c r="D47">
        <v>3</v>
      </c>
      <c r="E47" t="str">
        <f t="shared" si="1"/>
        <v>Consistent</v>
      </c>
      <c r="F47" t="str">
        <f t="shared" si="2"/>
        <v>High</v>
      </c>
      <c r="G47" t="str">
        <f t="shared" si="3"/>
        <v>HIGH</v>
      </c>
      <c r="H47">
        <v>0</v>
      </c>
      <c r="I47">
        <v>0</v>
      </c>
      <c r="J47">
        <v>1</v>
      </c>
      <c r="K47" t="s">
        <v>16</v>
      </c>
      <c r="L47" t="s">
        <v>16</v>
      </c>
      <c r="M47" s="2" t="s">
        <v>17</v>
      </c>
      <c r="N47">
        <v>1</v>
      </c>
    </row>
    <row r="48" ht="17" spans="1:14">
      <c r="A48" s="1" t="s">
        <v>55</v>
      </c>
      <c r="B48" t="s">
        <v>39</v>
      </c>
      <c r="C48" t="str">
        <f t="shared" si="0"/>
        <v>OS</v>
      </c>
      <c r="D48">
        <v>3</v>
      </c>
      <c r="E48" t="str">
        <f t="shared" si="1"/>
        <v>Inconsistent</v>
      </c>
      <c r="F48" t="str">
        <f t="shared" si="2"/>
        <v>Low</v>
      </c>
      <c r="G48" t="str">
        <f t="shared" si="3"/>
        <v>LOW</v>
      </c>
      <c r="H48">
        <v>0</v>
      </c>
      <c r="I48">
        <v>0</v>
      </c>
      <c r="J48">
        <v>1</v>
      </c>
      <c r="K48" t="s">
        <v>16</v>
      </c>
      <c r="L48" t="s">
        <v>16</v>
      </c>
      <c r="M48" s="2" t="s">
        <v>17</v>
      </c>
      <c r="N48">
        <v>1</v>
      </c>
    </row>
    <row r="49" ht="17" spans="1:14">
      <c r="A49" s="1" t="s">
        <v>56</v>
      </c>
      <c r="B49" t="s">
        <v>39</v>
      </c>
      <c r="C49" t="str">
        <f t="shared" si="0"/>
        <v>OS</v>
      </c>
      <c r="D49">
        <v>3</v>
      </c>
      <c r="E49" t="str">
        <f t="shared" si="1"/>
        <v>Inconsistent</v>
      </c>
      <c r="F49" t="str">
        <f t="shared" si="2"/>
        <v>Low</v>
      </c>
      <c r="G49" t="str">
        <f t="shared" si="3"/>
        <v>LOW</v>
      </c>
      <c r="H49">
        <v>0</v>
      </c>
      <c r="I49">
        <v>0</v>
      </c>
      <c r="J49">
        <v>1</v>
      </c>
      <c r="K49" t="s">
        <v>16</v>
      </c>
      <c r="L49" t="s">
        <v>16</v>
      </c>
      <c r="M49" s="2" t="s">
        <v>17</v>
      </c>
      <c r="N49">
        <v>1</v>
      </c>
    </row>
    <row r="50" ht="17" spans="1:14">
      <c r="A50" s="1" t="s">
        <v>57</v>
      </c>
      <c r="B50" t="s">
        <v>22</v>
      </c>
      <c r="C50" t="str">
        <f t="shared" si="0"/>
        <v>TS</v>
      </c>
      <c r="D50">
        <v>3</v>
      </c>
      <c r="E50" t="str">
        <f t="shared" si="1"/>
        <v>Consistent</v>
      </c>
      <c r="F50" t="str">
        <f t="shared" si="2"/>
        <v>High</v>
      </c>
      <c r="G50" t="str">
        <f t="shared" si="3"/>
        <v>HIGH</v>
      </c>
      <c r="H50">
        <v>0</v>
      </c>
      <c r="I50">
        <v>0</v>
      </c>
      <c r="J50">
        <v>1</v>
      </c>
      <c r="K50" t="s">
        <v>16</v>
      </c>
      <c r="L50" t="s">
        <v>16</v>
      </c>
      <c r="M50" s="2" t="s">
        <v>17</v>
      </c>
      <c r="N50">
        <v>1</v>
      </c>
    </row>
    <row r="51" ht="17" spans="1:14">
      <c r="A51" s="1" t="s">
        <v>58</v>
      </c>
      <c r="B51" t="s">
        <v>15</v>
      </c>
      <c r="C51" t="str">
        <f t="shared" si="0"/>
        <v>OS</v>
      </c>
      <c r="D51">
        <v>3</v>
      </c>
      <c r="E51" t="str">
        <f t="shared" si="1"/>
        <v>Inconsistent</v>
      </c>
      <c r="F51" t="str">
        <f t="shared" si="2"/>
        <v>Low</v>
      </c>
      <c r="G51" t="str">
        <f t="shared" si="3"/>
        <v>LOW</v>
      </c>
      <c r="H51">
        <v>0</v>
      </c>
      <c r="I51">
        <v>0</v>
      </c>
      <c r="J51">
        <v>1</v>
      </c>
      <c r="K51" t="s">
        <v>16</v>
      </c>
      <c r="L51" t="s">
        <v>16</v>
      </c>
      <c r="M51" s="2" t="s">
        <v>17</v>
      </c>
      <c r="N51">
        <v>1</v>
      </c>
    </row>
    <row r="52" ht="17" spans="1:14">
      <c r="A52" s="1" t="s">
        <v>59</v>
      </c>
      <c r="B52" t="s">
        <v>22</v>
      </c>
      <c r="C52" t="str">
        <f t="shared" si="0"/>
        <v>TS</v>
      </c>
      <c r="D52">
        <v>3</v>
      </c>
      <c r="E52" t="str">
        <f t="shared" si="1"/>
        <v>Consistent</v>
      </c>
      <c r="F52" t="str">
        <f t="shared" si="2"/>
        <v>High</v>
      </c>
      <c r="G52" t="str">
        <f t="shared" si="3"/>
        <v>HIGH</v>
      </c>
      <c r="H52">
        <v>0</v>
      </c>
      <c r="I52">
        <v>0</v>
      </c>
      <c r="J52">
        <v>1</v>
      </c>
      <c r="K52" t="s">
        <v>16</v>
      </c>
      <c r="L52" t="s">
        <v>16</v>
      </c>
      <c r="M52" s="2" t="s">
        <v>17</v>
      </c>
      <c r="N52">
        <v>1</v>
      </c>
    </row>
    <row r="53" ht="17" spans="1:14">
      <c r="A53" s="1" t="s">
        <v>60</v>
      </c>
      <c r="B53" t="s">
        <v>15</v>
      </c>
      <c r="C53" t="str">
        <f t="shared" si="0"/>
        <v>OS</v>
      </c>
      <c r="D53">
        <v>3</v>
      </c>
      <c r="E53" t="str">
        <f t="shared" si="1"/>
        <v>Inconsistent</v>
      </c>
      <c r="F53" t="str">
        <f t="shared" si="2"/>
        <v>Low</v>
      </c>
      <c r="G53" t="str">
        <f t="shared" si="3"/>
        <v>LOW</v>
      </c>
      <c r="H53">
        <v>0</v>
      </c>
      <c r="I53">
        <v>0</v>
      </c>
      <c r="J53">
        <v>1</v>
      </c>
      <c r="K53" t="s">
        <v>16</v>
      </c>
      <c r="L53" t="s">
        <v>16</v>
      </c>
      <c r="M53" s="2" t="s">
        <v>17</v>
      </c>
      <c r="N53">
        <v>1</v>
      </c>
    </row>
    <row r="54" ht="17" spans="1:14">
      <c r="A54" s="1" t="s">
        <v>61</v>
      </c>
      <c r="B54" t="s">
        <v>15</v>
      </c>
      <c r="C54" t="str">
        <f t="shared" si="0"/>
        <v>OS</v>
      </c>
      <c r="D54">
        <v>3</v>
      </c>
      <c r="E54" t="str">
        <f t="shared" si="1"/>
        <v>Inconsistent</v>
      </c>
      <c r="F54" t="str">
        <f t="shared" si="2"/>
        <v>Low</v>
      </c>
      <c r="G54" t="str">
        <f t="shared" si="3"/>
        <v>LOW</v>
      </c>
      <c r="H54">
        <v>0</v>
      </c>
      <c r="I54">
        <v>0</v>
      </c>
      <c r="J54">
        <v>1</v>
      </c>
      <c r="K54" t="s">
        <v>16</v>
      </c>
      <c r="L54" t="s">
        <v>16</v>
      </c>
      <c r="M54" s="2" t="s">
        <v>17</v>
      </c>
      <c r="N54">
        <v>1</v>
      </c>
    </row>
    <row r="55" ht="34" spans="1:14">
      <c r="A55" s="1" t="s">
        <v>62</v>
      </c>
      <c r="B55" t="s">
        <v>22</v>
      </c>
      <c r="C55" t="str">
        <f t="shared" si="0"/>
        <v>TS</v>
      </c>
      <c r="D55">
        <v>3</v>
      </c>
      <c r="E55" t="str">
        <f t="shared" si="1"/>
        <v>Consistent</v>
      </c>
      <c r="F55" t="str">
        <f t="shared" si="2"/>
        <v>High</v>
      </c>
      <c r="G55" t="str">
        <f t="shared" si="3"/>
        <v>HIGH</v>
      </c>
      <c r="H55">
        <v>0</v>
      </c>
      <c r="I55">
        <v>0</v>
      </c>
      <c r="J55">
        <v>1</v>
      </c>
      <c r="K55" t="s">
        <v>16</v>
      </c>
      <c r="L55" t="s">
        <v>16</v>
      </c>
      <c r="M55" s="2" t="s">
        <v>17</v>
      </c>
      <c r="N55">
        <v>1</v>
      </c>
    </row>
    <row r="56" ht="34" spans="1:14">
      <c r="A56" s="1" t="s">
        <v>63</v>
      </c>
      <c r="B56" t="s">
        <v>22</v>
      </c>
      <c r="C56" t="str">
        <f t="shared" si="0"/>
        <v>TS</v>
      </c>
      <c r="D56">
        <v>3</v>
      </c>
      <c r="E56" t="str">
        <f t="shared" si="1"/>
        <v>Consistent</v>
      </c>
      <c r="F56" t="str">
        <f t="shared" si="2"/>
        <v>High</v>
      </c>
      <c r="G56" t="str">
        <f t="shared" si="3"/>
        <v>HIGH</v>
      </c>
      <c r="H56">
        <v>0</v>
      </c>
      <c r="I56">
        <v>0</v>
      </c>
      <c r="J56">
        <v>1</v>
      </c>
      <c r="K56" t="s">
        <v>16</v>
      </c>
      <c r="L56" t="s">
        <v>16</v>
      </c>
      <c r="M56" s="2" t="s">
        <v>17</v>
      </c>
      <c r="N56">
        <v>1</v>
      </c>
    </row>
    <row r="57" ht="17" spans="1:14">
      <c r="A57" s="1" t="s">
        <v>64</v>
      </c>
      <c r="B57" t="s">
        <v>22</v>
      </c>
      <c r="C57" t="str">
        <f t="shared" si="0"/>
        <v>TS</v>
      </c>
      <c r="D57">
        <v>3</v>
      </c>
      <c r="E57" t="str">
        <f t="shared" si="1"/>
        <v>Consistent</v>
      </c>
      <c r="F57" t="str">
        <f t="shared" si="2"/>
        <v>High</v>
      </c>
      <c r="G57" t="str">
        <f t="shared" si="3"/>
        <v>HIGH</v>
      </c>
      <c r="H57">
        <v>0</v>
      </c>
      <c r="I57">
        <v>0</v>
      </c>
      <c r="J57">
        <v>1</v>
      </c>
      <c r="K57" t="s">
        <v>16</v>
      </c>
      <c r="L57" t="s">
        <v>16</v>
      </c>
      <c r="M57" s="2" t="s">
        <v>17</v>
      </c>
      <c r="N57">
        <v>1</v>
      </c>
    </row>
    <row r="58" ht="51" spans="1:14">
      <c r="A58" s="1" t="s">
        <v>65</v>
      </c>
      <c r="B58" t="s">
        <v>39</v>
      </c>
      <c r="C58" t="str">
        <f t="shared" si="0"/>
        <v>OS</v>
      </c>
      <c r="D58">
        <v>3</v>
      </c>
      <c r="E58" t="str">
        <f t="shared" si="1"/>
        <v>Inconsistent</v>
      </c>
      <c r="F58" t="str">
        <f t="shared" si="2"/>
        <v>Low</v>
      </c>
      <c r="G58" t="str">
        <f t="shared" si="3"/>
        <v>LOW</v>
      </c>
      <c r="H58">
        <v>0</v>
      </c>
      <c r="I58">
        <v>0</v>
      </c>
      <c r="J58">
        <v>1</v>
      </c>
      <c r="K58" t="s">
        <v>16</v>
      </c>
      <c r="L58" t="s">
        <v>16</v>
      </c>
      <c r="M58" s="2" t="s">
        <v>17</v>
      </c>
      <c r="N58">
        <v>1</v>
      </c>
    </row>
    <row r="59" ht="34" spans="1:14">
      <c r="A59" s="1" t="s">
        <v>66</v>
      </c>
      <c r="B59" t="s">
        <v>39</v>
      </c>
      <c r="C59" t="str">
        <f t="shared" si="0"/>
        <v>OS</v>
      </c>
      <c r="D59">
        <v>3</v>
      </c>
      <c r="E59" t="str">
        <f t="shared" si="1"/>
        <v>Inconsistent</v>
      </c>
      <c r="F59" t="str">
        <f t="shared" si="2"/>
        <v>Low</v>
      </c>
      <c r="G59" t="str">
        <f t="shared" si="3"/>
        <v>LOW</v>
      </c>
      <c r="H59">
        <v>0</v>
      </c>
      <c r="I59">
        <v>0</v>
      </c>
      <c r="J59">
        <v>1</v>
      </c>
      <c r="K59" t="s">
        <v>16</v>
      </c>
      <c r="L59" t="s">
        <v>16</v>
      </c>
      <c r="M59" s="2" t="s">
        <v>17</v>
      </c>
      <c r="N59">
        <v>1</v>
      </c>
    </row>
    <row r="60" ht="51" spans="1:14">
      <c r="A60" s="1" t="s">
        <v>67</v>
      </c>
      <c r="B60" t="s">
        <v>39</v>
      </c>
      <c r="C60" t="str">
        <f t="shared" si="0"/>
        <v>OS</v>
      </c>
      <c r="D60">
        <v>3</v>
      </c>
      <c r="E60" t="str">
        <f t="shared" si="1"/>
        <v>Inconsistent</v>
      </c>
      <c r="F60" t="str">
        <f t="shared" si="2"/>
        <v>Low</v>
      </c>
      <c r="G60" t="str">
        <f t="shared" si="3"/>
        <v>LOW</v>
      </c>
      <c r="H60">
        <v>0</v>
      </c>
      <c r="I60">
        <v>0</v>
      </c>
      <c r="J60">
        <v>1</v>
      </c>
      <c r="K60" t="s">
        <v>16</v>
      </c>
      <c r="L60" t="s">
        <v>16</v>
      </c>
      <c r="M60" s="2" t="s">
        <v>17</v>
      </c>
      <c r="N60">
        <v>1</v>
      </c>
    </row>
    <row r="61" ht="17" spans="1:14">
      <c r="A61" s="1" t="s">
        <v>68</v>
      </c>
      <c r="B61" t="s">
        <v>39</v>
      </c>
      <c r="C61" t="str">
        <f t="shared" si="0"/>
        <v>OS</v>
      </c>
      <c r="D61">
        <v>3</v>
      </c>
      <c r="E61" t="str">
        <f t="shared" si="1"/>
        <v>Inconsistent</v>
      </c>
      <c r="F61" t="str">
        <f t="shared" si="2"/>
        <v>Low</v>
      </c>
      <c r="G61" t="str">
        <f t="shared" si="3"/>
        <v>LOW</v>
      </c>
      <c r="H61">
        <v>0</v>
      </c>
      <c r="I61">
        <v>0</v>
      </c>
      <c r="J61">
        <v>1</v>
      </c>
      <c r="K61" t="s">
        <v>16</v>
      </c>
      <c r="L61" t="s">
        <v>16</v>
      </c>
      <c r="M61" s="2" t="s">
        <v>17</v>
      </c>
      <c r="N61">
        <v>1</v>
      </c>
    </row>
    <row r="62" spans="2:2">
      <c r="B62"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2025-05-24T12:29:00Z</dcterms:created>
  <dcterms:modified xsi:type="dcterms:W3CDTF">2025-05-24T21:16:29Z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8F6C19ED3E53E1BFADC631680838CA10_42</vt:lpwstr>
  </property>
  <property fmtid="{D5CDD505-2E9C-101B-9397-08002B2CF9AE}" pid="4" name="KSOProductBuildVer">
    <vt:lpwstr>1033-6.13.1.8710</vt:lpwstr>
  </property>
</Properties>
</file>